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veron/Desktop/clinical appts project/data/"/>
    </mc:Choice>
  </mc:AlternateContent>
  <xr:revisionPtr revIDLastSave="0" documentId="8_{CF8FBD6D-2D96-AB48-95C6-5560FAE60DE8}" xr6:coauthVersionLast="47" xr6:coauthVersionMax="47" xr10:uidLastSave="{00000000-0000-0000-0000-000000000000}"/>
  <bookViews>
    <workbookView xWindow="0" yWindow="660" windowWidth="29400" windowHeight="18460" activeTab="2" xr2:uid="{5535B0A5-790E-E445-9AB3-A0DE10C618FD}"/>
  </bookViews>
  <sheets>
    <sheet name="messy_clinic_appointments" sheetId="1" r:id="rId1"/>
    <sheet name="Working Sheet" sheetId="2" r:id="rId2"/>
    <sheet name="Pivot Tables" sheetId="3" r:id="rId3"/>
    <sheet name="Charts" sheetId="4" r:id="rId4"/>
  </sheets>
  <definedNames>
    <definedName name="_xlnm._FilterDatabase" localSheetId="0" hidden="1">messy_clinic_appointments!$A$1:$J$1001</definedName>
    <definedName name="_xlnm._FilterDatabase" localSheetId="1" hidden="1">'Working Sheet'!$A$1:$T$1001</definedName>
    <definedName name="Slicer_department_fixed">#N/A</definedName>
    <definedName name="Slicer_department_fixed1">#N/A</definedName>
    <definedName name="Slicer_department_fixed2">#N/A</definedName>
  </definedNames>
  <calcPr calcId="191029"/>
  <pivotCaches>
    <pivotCache cacheId="1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9" i="2" l="1" a="1"/>
  <c r="U9" i="2" s="1"/>
  <c r="U3" i="2" a="1"/>
  <c r="U3" i="2" s="1"/>
  <c r="U4" i="2" a="1"/>
  <c r="U4" i="2"/>
  <c r="U5" i="2" a="1"/>
  <c r="U5" i="2" s="1"/>
  <c r="U6" i="2" a="1"/>
  <c r="U6" i="2" s="1"/>
  <c r="U7" i="2" a="1"/>
  <c r="U7" i="2" s="1"/>
  <c r="U8" i="2" a="1"/>
  <c r="U8" i="2" s="1"/>
  <c r="U10" i="2" a="1"/>
  <c r="U10" i="2" s="1"/>
  <c r="U11" i="2" a="1"/>
  <c r="U11" i="2" s="1"/>
  <c r="U12" i="2" a="1"/>
  <c r="U12" i="2"/>
  <c r="U13" i="2" a="1"/>
  <c r="U13" i="2" s="1"/>
  <c r="U14" i="2" a="1"/>
  <c r="U14" i="2" s="1"/>
  <c r="U15" i="2" a="1"/>
  <c r="U15" i="2" s="1"/>
  <c r="U16" i="2" a="1"/>
  <c r="U16" i="2" s="1"/>
  <c r="U17" i="2" a="1"/>
  <c r="U17" i="2"/>
  <c r="U18" i="2" a="1"/>
  <c r="U18" i="2" s="1"/>
  <c r="U19" i="2" a="1"/>
  <c r="U19" i="2" s="1"/>
  <c r="U20" i="2" a="1"/>
  <c r="U20" i="2" s="1"/>
  <c r="U21" i="2" a="1"/>
  <c r="U21" i="2" s="1"/>
  <c r="U22" i="2" a="1"/>
  <c r="U22" i="2" s="1"/>
  <c r="U23" i="2" a="1"/>
  <c r="U23" i="2" s="1"/>
  <c r="U24" i="2" a="1"/>
  <c r="U24" i="2" s="1"/>
  <c r="U25" i="2" a="1"/>
  <c r="U25" i="2" s="1"/>
  <c r="U26" i="2" a="1"/>
  <c r="U26" i="2" s="1"/>
  <c r="U27" i="2" a="1"/>
  <c r="U27" i="2" s="1"/>
  <c r="U28" i="2" a="1"/>
  <c r="U28" i="2" s="1"/>
  <c r="U29" i="2" a="1"/>
  <c r="U29" i="2" s="1"/>
  <c r="U30" i="2" a="1"/>
  <c r="U30" i="2" s="1"/>
  <c r="U31" i="2" a="1"/>
  <c r="U31" i="2" s="1"/>
  <c r="U32" i="2" a="1"/>
  <c r="U32" i="2"/>
  <c r="U33" i="2" a="1"/>
  <c r="U33" i="2"/>
  <c r="U34" i="2" a="1"/>
  <c r="U34" i="2" s="1"/>
  <c r="U35" i="2" a="1"/>
  <c r="U35" i="2" s="1"/>
  <c r="U36" i="2" a="1"/>
  <c r="U36" i="2" s="1"/>
  <c r="U37" i="2" a="1"/>
  <c r="U37" i="2"/>
  <c r="U38" i="2" a="1"/>
  <c r="U38" i="2" s="1"/>
  <c r="U39" i="2" a="1"/>
  <c r="U39" i="2" s="1"/>
  <c r="U40" i="2" a="1"/>
  <c r="U40" i="2" s="1"/>
  <c r="U41" i="2" a="1"/>
  <c r="U41" i="2" s="1"/>
  <c r="U42" i="2" a="1"/>
  <c r="U42" i="2" s="1"/>
  <c r="U43" i="2" a="1"/>
  <c r="U43" i="2" s="1"/>
  <c r="U44" i="2" a="1"/>
  <c r="U44" i="2"/>
  <c r="U45" i="2" a="1"/>
  <c r="U45" i="2" s="1"/>
  <c r="U46" i="2" a="1"/>
  <c r="U46" i="2" s="1"/>
  <c r="U47" i="2" a="1"/>
  <c r="U47" i="2" s="1"/>
  <c r="U48" i="2" a="1"/>
  <c r="U48" i="2" s="1"/>
  <c r="U49" i="2" a="1"/>
  <c r="U49" i="2" s="1"/>
  <c r="U50" i="2" a="1"/>
  <c r="U50" i="2" s="1"/>
  <c r="U51" i="2" a="1"/>
  <c r="U51" i="2" s="1"/>
  <c r="U52" i="2" a="1"/>
  <c r="U52" i="2" s="1"/>
  <c r="U53" i="2" a="1"/>
  <c r="U53" i="2" s="1"/>
  <c r="U54" i="2" a="1"/>
  <c r="U54" i="2" s="1"/>
  <c r="U55" i="2" a="1"/>
  <c r="U55" i="2" s="1"/>
  <c r="U56" i="2" a="1"/>
  <c r="U56" i="2" s="1"/>
  <c r="U57" i="2" a="1"/>
  <c r="U57" i="2" s="1"/>
  <c r="U58" i="2" a="1"/>
  <c r="U58" i="2" s="1"/>
  <c r="U59" i="2" a="1"/>
  <c r="U59" i="2" s="1"/>
  <c r="U60" i="2" a="1"/>
  <c r="U60" i="2" s="1"/>
  <c r="U61" i="2" a="1"/>
  <c r="U61" i="2" s="1"/>
  <c r="U62" i="2" a="1"/>
  <c r="U62" i="2" s="1"/>
  <c r="U63" i="2" a="1"/>
  <c r="U63" i="2" s="1"/>
  <c r="U64" i="2" a="1"/>
  <c r="U64" i="2"/>
  <c r="U65" i="2" a="1"/>
  <c r="U65" i="2" s="1"/>
  <c r="U66" i="2" a="1"/>
  <c r="U66" i="2" s="1"/>
  <c r="U67" i="2" a="1"/>
  <c r="U67" i="2" s="1"/>
  <c r="U68" i="2" a="1"/>
  <c r="U68" i="2" s="1"/>
  <c r="U69" i="2" a="1"/>
  <c r="U69" i="2"/>
  <c r="U70" i="2" a="1"/>
  <c r="U70" i="2" s="1"/>
  <c r="U71" i="2" a="1"/>
  <c r="U71" i="2" s="1"/>
  <c r="U72" i="2" a="1"/>
  <c r="U72" i="2" s="1"/>
  <c r="U73" i="2" a="1"/>
  <c r="U73" i="2" s="1"/>
  <c r="U74" i="2" a="1"/>
  <c r="U74" i="2" s="1"/>
  <c r="U75" i="2" a="1"/>
  <c r="U75" i="2" s="1"/>
  <c r="U76" i="2" a="1"/>
  <c r="U76" i="2"/>
  <c r="U77" i="2" a="1"/>
  <c r="U77" i="2" s="1"/>
  <c r="U78" i="2" a="1"/>
  <c r="U78" i="2" s="1"/>
  <c r="U79" i="2" a="1"/>
  <c r="U79" i="2" s="1"/>
  <c r="U80" i="2" a="1"/>
  <c r="U80" i="2" s="1"/>
  <c r="U81" i="2" a="1"/>
  <c r="U81" i="2" s="1"/>
  <c r="U82" i="2" a="1"/>
  <c r="U82" i="2" s="1"/>
  <c r="U83" i="2" a="1"/>
  <c r="U83" i="2" s="1"/>
  <c r="U84" i="2" a="1"/>
  <c r="U84" i="2" s="1"/>
  <c r="U85" i="2" a="1"/>
  <c r="U85" i="2" s="1"/>
  <c r="U86" i="2" a="1"/>
  <c r="U86" i="2" s="1"/>
  <c r="U87" i="2" a="1"/>
  <c r="U87" i="2" s="1"/>
  <c r="U88" i="2" a="1"/>
  <c r="U88" i="2" s="1"/>
  <c r="U89" i="2" a="1"/>
  <c r="U89" i="2" s="1"/>
  <c r="U90" i="2" a="1"/>
  <c r="U90" i="2" s="1"/>
  <c r="U91" i="2" a="1"/>
  <c r="U91" i="2" s="1"/>
  <c r="U92" i="2" a="1"/>
  <c r="U92" i="2" s="1"/>
  <c r="U93" i="2" a="1"/>
  <c r="U93" i="2" s="1"/>
  <c r="U94" i="2" a="1"/>
  <c r="U94" i="2" s="1"/>
  <c r="U95" i="2" a="1"/>
  <c r="U95" i="2" s="1"/>
  <c r="U96" i="2" a="1"/>
  <c r="U96" i="2"/>
  <c r="U97" i="2" a="1"/>
  <c r="U97" i="2"/>
  <c r="U98" i="2" a="1"/>
  <c r="U98" i="2" s="1"/>
  <c r="U99" i="2" a="1"/>
  <c r="U99" i="2" s="1"/>
  <c r="U100" i="2" a="1"/>
  <c r="U100" i="2" s="1"/>
  <c r="U101" i="2" a="1"/>
  <c r="U101" i="2"/>
  <c r="U102" i="2" a="1"/>
  <c r="U102" i="2" s="1"/>
  <c r="U103" i="2" a="1"/>
  <c r="U103" i="2" s="1"/>
  <c r="U104" i="2" a="1"/>
  <c r="U104" i="2" s="1"/>
  <c r="U105" i="2" a="1"/>
  <c r="U105" i="2" s="1"/>
  <c r="U106" i="2" a="1"/>
  <c r="U106" i="2" s="1"/>
  <c r="U107" i="2" a="1"/>
  <c r="U107" i="2" s="1"/>
  <c r="U108" i="2" a="1"/>
  <c r="U108" i="2"/>
  <c r="U109" i="2" a="1"/>
  <c r="U109" i="2" s="1"/>
  <c r="U110" i="2" a="1"/>
  <c r="U110" i="2" s="1"/>
  <c r="U111" i="2" a="1"/>
  <c r="U111" i="2" s="1"/>
  <c r="U112" i="2" a="1"/>
  <c r="U112" i="2" s="1"/>
  <c r="U113" i="2" a="1"/>
  <c r="U113" i="2" s="1"/>
  <c r="U114" i="2" a="1"/>
  <c r="U114" i="2" s="1"/>
  <c r="U115" i="2" a="1"/>
  <c r="U115" i="2" s="1"/>
  <c r="U116" i="2" a="1"/>
  <c r="U116" i="2" s="1"/>
  <c r="U117" i="2" a="1"/>
  <c r="U117" i="2" s="1"/>
  <c r="U118" i="2" a="1"/>
  <c r="U118" i="2" s="1"/>
  <c r="U119" i="2" a="1"/>
  <c r="U119" i="2" s="1"/>
  <c r="U120" i="2" a="1"/>
  <c r="U120" i="2" s="1"/>
  <c r="U121" i="2" a="1"/>
  <c r="U121" i="2" s="1"/>
  <c r="U122" i="2" a="1"/>
  <c r="U122" i="2" s="1"/>
  <c r="U123" i="2" a="1"/>
  <c r="U123" i="2" s="1"/>
  <c r="U124" i="2" a="1"/>
  <c r="U124" i="2" s="1"/>
  <c r="U125" i="2" a="1"/>
  <c r="U125" i="2" s="1"/>
  <c r="U126" i="2" a="1"/>
  <c r="U126" i="2" s="1"/>
  <c r="U127" i="2" a="1"/>
  <c r="U127" i="2" s="1"/>
  <c r="U128" i="2" a="1"/>
  <c r="U128" i="2"/>
  <c r="U129" i="2" a="1"/>
  <c r="U129" i="2" s="1"/>
  <c r="U130" i="2" a="1"/>
  <c r="U130" i="2" s="1"/>
  <c r="U131" i="2" a="1"/>
  <c r="U131" i="2" s="1"/>
  <c r="U132" i="2" a="1"/>
  <c r="U132" i="2" s="1"/>
  <c r="U133" i="2" a="1"/>
  <c r="U133" i="2"/>
  <c r="U134" i="2" a="1"/>
  <c r="U134" i="2" s="1"/>
  <c r="U135" i="2" a="1"/>
  <c r="U135" i="2" s="1"/>
  <c r="U136" i="2" a="1"/>
  <c r="U136" i="2" s="1"/>
  <c r="U137" i="2" a="1"/>
  <c r="U137" i="2" s="1"/>
  <c r="U138" i="2" a="1"/>
  <c r="U138" i="2" s="1"/>
  <c r="U139" i="2" a="1"/>
  <c r="U139" i="2" s="1"/>
  <c r="U140" i="2" a="1"/>
  <c r="U140" i="2"/>
  <c r="U141" i="2" a="1"/>
  <c r="U141" i="2" s="1"/>
  <c r="U142" i="2" a="1"/>
  <c r="U142" i="2" s="1"/>
  <c r="U143" i="2" a="1"/>
  <c r="U143" i="2" s="1"/>
  <c r="U144" i="2" a="1"/>
  <c r="U144" i="2" s="1"/>
  <c r="U145" i="2" a="1"/>
  <c r="U145" i="2" s="1"/>
  <c r="U146" i="2" a="1"/>
  <c r="U146" i="2" s="1"/>
  <c r="U147" i="2" a="1"/>
  <c r="U147" i="2" s="1"/>
  <c r="U148" i="2" a="1"/>
  <c r="U148" i="2" s="1"/>
  <c r="U149" i="2" a="1"/>
  <c r="U149" i="2" s="1"/>
  <c r="U150" i="2" a="1"/>
  <c r="U150" i="2" s="1"/>
  <c r="U151" i="2" a="1"/>
  <c r="U151" i="2" s="1"/>
  <c r="U152" i="2" a="1"/>
  <c r="U152" i="2" s="1"/>
  <c r="U153" i="2" a="1"/>
  <c r="U153" i="2" s="1"/>
  <c r="U154" i="2" a="1"/>
  <c r="U154" i="2" s="1"/>
  <c r="U155" i="2" a="1"/>
  <c r="U155" i="2" s="1"/>
  <c r="U156" i="2" a="1"/>
  <c r="U156" i="2" s="1"/>
  <c r="U157" i="2" a="1"/>
  <c r="U157" i="2" s="1"/>
  <c r="U158" i="2" a="1"/>
  <c r="U158" i="2" s="1"/>
  <c r="U159" i="2" a="1"/>
  <c r="U159" i="2" s="1"/>
  <c r="U160" i="2" a="1"/>
  <c r="U160" i="2"/>
  <c r="U161" i="2" a="1"/>
  <c r="U161" i="2" s="1"/>
  <c r="U162" i="2" a="1"/>
  <c r="U162" i="2" s="1"/>
  <c r="U163" i="2" a="1"/>
  <c r="U163" i="2" s="1"/>
  <c r="U164" i="2" a="1"/>
  <c r="U164" i="2" s="1"/>
  <c r="U165" i="2" a="1"/>
  <c r="U165" i="2"/>
  <c r="U166" i="2" a="1"/>
  <c r="U166" i="2" s="1"/>
  <c r="U167" i="2" a="1"/>
  <c r="U167" i="2" s="1"/>
  <c r="U168" i="2" a="1"/>
  <c r="U168" i="2" s="1"/>
  <c r="U169" i="2" a="1"/>
  <c r="U169" i="2" s="1"/>
  <c r="U170" i="2" a="1"/>
  <c r="U170" i="2" s="1"/>
  <c r="U171" i="2" a="1"/>
  <c r="U171" i="2" s="1"/>
  <c r="U172" i="2" a="1"/>
  <c r="U172" i="2"/>
  <c r="U173" i="2" a="1"/>
  <c r="U173" i="2" s="1"/>
  <c r="U174" i="2" a="1"/>
  <c r="U174" i="2" s="1"/>
  <c r="U175" i="2" a="1"/>
  <c r="U175" i="2" s="1"/>
  <c r="U176" i="2" a="1"/>
  <c r="U176" i="2" s="1"/>
  <c r="U177" i="2" a="1"/>
  <c r="U177" i="2" s="1"/>
  <c r="U178" i="2" a="1"/>
  <c r="U178" i="2" s="1"/>
  <c r="U179" i="2" a="1"/>
  <c r="U179" i="2" s="1"/>
  <c r="U180" i="2" a="1"/>
  <c r="U180" i="2"/>
  <c r="U181" i="2" a="1"/>
  <c r="U181" i="2" s="1"/>
  <c r="U182" i="2" a="1"/>
  <c r="U182" i="2" s="1"/>
  <c r="U183" i="2" a="1"/>
  <c r="U183" i="2" s="1"/>
  <c r="U184" i="2" a="1"/>
  <c r="U184" i="2" s="1"/>
  <c r="U185" i="2" a="1"/>
  <c r="U185" i="2" s="1"/>
  <c r="U186" i="2" a="1"/>
  <c r="U186" i="2" s="1"/>
  <c r="U187" i="2" a="1"/>
  <c r="U187" i="2" s="1"/>
  <c r="U188" i="2" a="1"/>
  <c r="U188" i="2" s="1"/>
  <c r="U189" i="2" a="1"/>
  <c r="U189" i="2"/>
  <c r="U190" i="2" a="1"/>
  <c r="U190" i="2" s="1"/>
  <c r="U191" i="2" a="1"/>
  <c r="U191" i="2" s="1"/>
  <c r="U192" i="2" a="1"/>
  <c r="U192" i="2"/>
  <c r="U193" i="2" a="1"/>
  <c r="U193" i="2" s="1"/>
  <c r="U194" i="2" a="1"/>
  <c r="U194" i="2"/>
  <c r="U195" i="2" a="1"/>
  <c r="U195" i="2" s="1"/>
  <c r="U196" i="2" a="1"/>
  <c r="U196" i="2" s="1"/>
  <c r="U197" i="2" a="1"/>
  <c r="U197" i="2" s="1"/>
  <c r="U198" i="2" a="1"/>
  <c r="U198" i="2"/>
  <c r="U199" i="2" a="1"/>
  <c r="U199" i="2" s="1"/>
  <c r="U200" i="2" a="1"/>
  <c r="U200" i="2"/>
  <c r="U201" i="2" a="1"/>
  <c r="U201" i="2"/>
  <c r="U202" i="2" a="1"/>
  <c r="U202" i="2" s="1"/>
  <c r="U203" i="2" a="1"/>
  <c r="U203" i="2" s="1"/>
  <c r="U204" i="2" a="1"/>
  <c r="U204" i="2"/>
  <c r="U205" i="2" a="1"/>
  <c r="U205" i="2" s="1"/>
  <c r="U206" i="2" a="1"/>
  <c r="U206" i="2" s="1"/>
  <c r="U207" i="2" a="1"/>
  <c r="U207" i="2" s="1"/>
  <c r="U208" i="2" a="1"/>
  <c r="U208" i="2" s="1"/>
  <c r="U209" i="2" a="1"/>
  <c r="U209" i="2" s="1"/>
  <c r="U210" i="2" a="1"/>
  <c r="U210" i="2"/>
  <c r="U211" i="2" a="1"/>
  <c r="U211" i="2" s="1"/>
  <c r="U212" i="2" a="1"/>
  <c r="U212" i="2"/>
  <c r="U213" i="2" a="1"/>
  <c r="U213" i="2" s="1"/>
  <c r="U214" i="2" a="1"/>
  <c r="U214" i="2" s="1"/>
  <c r="U215" i="2" a="1"/>
  <c r="U215" i="2" s="1"/>
  <c r="U216" i="2" a="1"/>
  <c r="U216" i="2" s="1"/>
  <c r="U217" i="2" a="1"/>
  <c r="U217" i="2"/>
  <c r="U218" i="2" a="1"/>
  <c r="U218" i="2" s="1"/>
  <c r="U219" i="2" a="1"/>
  <c r="U219" i="2" s="1"/>
  <c r="U220" i="2" a="1"/>
  <c r="U220" i="2" s="1"/>
  <c r="U221" i="2" a="1"/>
  <c r="U221" i="2"/>
  <c r="U222" i="2" a="1"/>
  <c r="U222" i="2"/>
  <c r="U223" i="2" a="1"/>
  <c r="U223" i="2" s="1"/>
  <c r="U224" i="2" a="1"/>
  <c r="U224" i="2"/>
  <c r="U225" i="2" a="1"/>
  <c r="U225" i="2" s="1"/>
  <c r="U226" i="2" a="1"/>
  <c r="U226" i="2" s="1"/>
  <c r="U227" i="2" a="1"/>
  <c r="U227" i="2" s="1"/>
  <c r="U228" i="2" a="1"/>
  <c r="U228" i="2" s="1"/>
  <c r="U229" i="2" a="1"/>
  <c r="U229" i="2" s="1"/>
  <c r="U230" i="2" a="1"/>
  <c r="U230" i="2"/>
  <c r="U231" i="2" a="1"/>
  <c r="U231" i="2" s="1"/>
  <c r="U232" i="2" a="1"/>
  <c r="U232" i="2" s="1"/>
  <c r="U233" i="2" a="1"/>
  <c r="U233" i="2"/>
  <c r="U234" i="2" a="1"/>
  <c r="U234" i="2" s="1"/>
  <c r="U235" i="2" a="1"/>
  <c r="U235" i="2" s="1"/>
  <c r="U236" i="2" a="1"/>
  <c r="U236" i="2" s="1"/>
  <c r="U237" i="2" a="1"/>
  <c r="U237" i="2" s="1"/>
  <c r="U238" i="2" a="1"/>
  <c r="U238" i="2" s="1"/>
  <c r="U239" i="2" a="1"/>
  <c r="U239" i="2" s="1"/>
  <c r="U240" i="2" a="1"/>
  <c r="U240" i="2" s="1"/>
  <c r="U241" i="2" a="1"/>
  <c r="U241" i="2" s="1"/>
  <c r="U242" i="2" a="1"/>
  <c r="U242" i="2"/>
  <c r="U243" i="2" a="1"/>
  <c r="U243" i="2" s="1"/>
  <c r="U244" i="2" a="1"/>
  <c r="U244" i="2"/>
  <c r="U245" i="2" a="1"/>
  <c r="U245" i="2" s="1"/>
  <c r="U246" i="2" a="1"/>
  <c r="U246" i="2" s="1"/>
  <c r="U247" i="2" a="1"/>
  <c r="U247" i="2" s="1"/>
  <c r="U248" i="2" a="1"/>
  <c r="U248" i="2" s="1"/>
  <c r="U249" i="2" a="1"/>
  <c r="U249" i="2"/>
  <c r="U250" i="2" a="1"/>
  <c r="U250" i="2" s="1"/>
  <c r="U251" i="2" a="1"/>
  <c r="U251" i="2" s="1"/>
  <c r="U252" i="2" a="1"/>
  <c r="U252" i="2" s="1"/>
  <c r="U253" i="2" a="1"/>
  <c r="U253" i="2"/>
  <c r="U254" i="2" a="1"/>
  <c r="U254" i="2"/>
  <c r="U255" i="2" a="1"/>
  <c r="U255" i="2" s="1"/>
  <c r="U256" i="2" a="1"/>
  <c r="U256" i="2"/>
  <c r="U257" i="2" a="1"/>
  <c r="U257" i="2" s="1"/>
  <c r="U258" i="2" a="1"/>
  <c r="U258" i="2"/>
  <c r="U259" i="2" a="1"/>
  <c r="U259" i="2" s="1"/>
  <c r="U260" i="2" a="1"/>
  <c r="U260" i="2" s="1"/>
  <c r="U261" i="2" a="1"/>
  <c r="U261" i="2" s="1"/>
  <c r="U262" i="2" a="1"/>
  <c r="U262" i="2"/>
  <c r="U263" i="2" a="1"/>
  <c r="U263" i="2" s="1"/>
  <c r="U264" i="2" a="1"/>
  <c r="U264" i="2"/>
  <c r="U265" i="2" a="1"/>
  <c r="U265" i="2"/>
  <c r="U266" i="2" a="1"/>
  <c r="U266" i="2" s="1"/>
  <c r="U267" i="2" a="1"/>
  <c r="U267" i="2" s="1"/>
  <c r="U268" i="2" a="1"/>
  <c r="U268" i="2" s="1"/>
  <c r="U269" i="2" a="1"/>
  <c r="U269" i="2" s="1"/>
  <c r="U270" i="2" a="1"/>
  <c r="U270" i="2" s="1"/>
  <c r="U271" i="2" a="1"/>
  <c r="U271" i="2" s="1"/>
  <c r="U272" i="2" a="1"/>
  <c r="U272" i="2"/>
  <c r="U273" i="2" a="1"/>
  <c r="U273" i="2" s="1"/>
  <c r="U274" i="2" a="1"/>
  <c r="U274" i="2"/>
  <c r="U275" i="2" a="1"/>
  <c r="U275" i="2" s="1"/>
  <c r="U276" i="2" a="1"/>
  <c r="U276" i="2"/>
  <c r="U277" i="2" a="1"/>
  <c r="U277" i="2" s="1"/>
  <c r="U278" i="2" a="1"/>
  <c r="U278" i="2" s="1"/>
  <c r="U279" i="2" a="1"/>
  <c r="U279" i="2" s="1"/>
  <c r="U280" i="2" a="1"/>
  <c r="U280" i="2" s="1"/>
  <c r="U281" i="2" a="1"/>
  <c r="U281" i="2" s="1"/>
  <c r="U282" i="2" a="1"/>
  <c r="U282" i="2"/>
  <c r="U283" i="2" a="1"/>
  <c r="U283" i="2" s="1"/>
  <c r="U284" i="2" a="1"/>
  <c r="U284" i="2" s="1"/>
  <c r="U285" i="2" a="1"/>
  <c r="U285" i="2"/>
  <c r="U286" i="2" a="1"/>
  <c r="U286" i="2" s="1"/>
  <c r="U287" i="2" a="1"/>
  <c r="U287" i="2" s="1"/>
  <c r="U288" i="2" a="1"/>
  <c r="U288" i="2"/>
  <c r="U289" i="2" a="1"/>
  <c r="U289" i="2" s="1"/>
  <c r="U290" i="2" a="1"/>
  <c r="U290" i="2" s="1"/>
  <c r="U291" i="2" a="1"/>
  <c r="U291" i="2" s="1"/>
  <c r="U292" i="2" a="1"/>
  <c r="U292" i="2" s="1"/>
  <c r="U293" i="2" a="1"/>
  <c r="U293" i="2" s="1"/>
  <c r="U294" i="2" a="1"/>
  <c r="U294" i="2"/>
  <c r="U295" i="2" a="1"/>
  <c r="U295" i="2" s="1"/>
  <c r="U296" i="2" a="1"/>
  <c r="U296" i="2" s="1"/>
  <c r="U297" i="2" a="1"/>
  <c r="U297" i="2"/>
  <c r="U298" i="2" a="1"/>
  <c r="U298" i="2" s="1"/>
  <c r="U299" i="2" a="1"/>
  <c r="U299" i="2" s="1"/>
  <c r="U300" i="2" a="1"/>
  <c r="U300" i="2" s="1"/>
  <c r="U301" i="2" a="1"/>
  <c r="U301" i="2" s="1"/>
  <c r="U302" i="2" a="1"/>
  <c r="U302" i="2" s="1"/>
  <c r="U303" i="2" a="1"/>
  <c r="U303" i="2" s="1"/>
  <c r="U304" i="2" a="1"/>
  <c r="U304" i="2"/>
  <c r="U305" i="2" a="1"/>
  <c r="U305" i="2" s="1"/>
  <c r="U306" i="2" a="1"/>
  <c r="U306" i="2"/>
  <c r="U307" i="2" a="1"/>
  <c r="U307" i="2" s="1"/>
  <c r="U308" i="2" a="1"/>
  <c r="U308" i="2"/>
  <c r="U309" i="2" a="1"/>
  <c r="U309" i="2"/>
  <c r="U310" i="2" a="1"/>
  <c r="U310" i="2" s="1"/>
  <c r="U311" i="2" a="1"/>
  <c r="U311" i="2" s="1"/>
  <c r="U312" i="2" a="1"/>
  <c r="U312" i="2" s="1"/>
  <c r="U313" i="2" a="1"/>
  <c r="U313" i="2"/>
  <c r="U314" i="2" a="1"/>
  <c r="U314" i="2"/>
  <c r="U315" i="2" a="1"/>
  <c r="U315" i="2" s="1"/>
  <c r="U316" i="2" a="1"/>
  <c r="U316" i="2" s="1"/>
  <c r="U317" i="2" a="1"/>
  <c r="U317" i="2"/>
  <c r="U318" i="2" a="1"/>
  <c r="U318" i="2"/>
  <c r="U319" i="2" a="1"/>
  <c r="U319" i="2" s="1"/>
  <c r="U320" i="2" a="1"/>
  <c r="U320" i="2"/>
  <c r="U321" i="2" a="1"/>
  <c r="U321" i="2" s="1"/>
  <c r="U322" i="2" a="1"/>
  <c r="U322" i="2" s="1"/>
  <c r="U323" i="2" a="1"/>
  <c r="U323" i="2" s="1"/>
  <c r="U324" i="2" a="1"/>
  <c r="U324" i="2" s="1"/>
  <c r="U325" i="2" a="1"/>
  <c r="U325" i="2" s="1"/>
  <c r="U326" i="2" a="1"/>
  <c r="U326" i="2"/>
  <c r="U327" i="2" a="1"/>
  <c r="U327" i="2" s="1"/>
  <c r="U328" i="2" a="1"/>
  <c r="U328" i="2" s="1"/>
  <c r="U329" i="2" a="1"/>
  <c r="U329" i="2"/>
  <c r="U330" i="2" a="1"/>
  <c r="U330" i="2" s="1"/>
  <c r="U331" i="2" a="1"/>
  <c r="U331" i="2" s="1"/>
  <c r="U332" i="2" a="1"/>
  <c r="U332" i="2" s="1"/>
  <c r="U333" i="2" a="1"/>
  <c r="U333" i="2" s="1"/>
  <c r="U334" i="2" a="1"/>
  <c r="U334" i="2" s="1"/>
  <c r="U335" i="2" a="1"/>
  <c r="U335" i="2" s="1"/>
  <c r="U336" i="2" a="1"/>
  <c r="U336" i="2" s="1"/>
  <c r="U337" i="2" a="1"/>
  <c r="U337" i="2" s="1"/>
  <c r="U338" i="2" a="1"/>
  <c r="U338" i="2"/>
  <c r="U339" i="2" a="1"/>
  <c r="U339" i="2" s="1"/>
  <c r="U340" i="2" a="1"/>
  <c r="U340" i="2"/>
  <c r="U341" i="2" a="1"/>
  <c r="U341" i="2"/>
  <c r="U342" i="2" a="1"/>
  <c r="U342" i="2" s="1"/>
  <c r="U343" i="2" a="1"/>
  <c r="U343" i="2" s="1"/>
  <c r="U344" i="2" a="1"/>
  <c r="U344" i="2"/>
  <c r="U345" i="2" a="1"/>
  <c r="U345" i="2" s="1"/>
  <c r="U346" i="2" a="1"/>
  <c r="U346" i="2" s="1"/>
  <c r="U347" i="2" a="1"/>
  <c r="U347" i="2" s="1"/>
  <c r="U348" i="2" a="1"/>
  <c r="U348" i="2"/>
  <c r="U349" i="2" a="1"/>
  <c r="U349" i="2"/>
  <c r="U350" i="2" a="1"/>
  <c r="U350" i="2"/>
  <c r="U351" i="2" a="1"/>
  <c r="U351" i="2" s="1"/>
  <c r="U352" i="2" a="1"/>
  <c r="U352" i="2"/>
  <c r="U353" i="2" a="1"/>
  <c r="U353" i="2" s="1"/>
  <c r="U354" i="2" a="1"/>
  <c r="U354" i="2" s="1"/>
  <c r="U355" i="2" a="1"/>
  <c r="U355" i="2" s="1"/>
  <c r="U356" i="2" a="1"/>
  <c r="U356" i="2"/>
  <c r="U357" i="2" a="1"/>
  <c r="U357" i="2" s="1"/>
  <c r="U358" i="2" a="1"/>
  <c r="U358" i="2"/>
  <c r="U359" i="2" a="1"/>
  <c r="U359" i="2" s="1"/>
  <c r="U360" i="2" a="1"/>
  <c r="U360" i="2"/>
  <c r="U361" i="2" a="1"/>
  <c r="U361" i="2"/>
  <c r="U362" i="2" a="1"/>
  <c r="U362" i="2" s="1"/>
  <c r="U363" i="2" a="1"/>
  <c r="U363" i="2" s="1"/>
  <c r="U364" i="2" a="1"/>
  <c r="U364" i="2"/>
  <c r="U365" i="2" a="1"/>
  <c r="U365" i="2" s="1"/>
  <c r="U366" i="2" a="1"/>
  <c r="U366" i="2" s="1"/>
  <c r="U367" i="2" a="1"/>
  <c r="U367" i="2" s="1"/>
  <c r="U368" i="2" a="1"/>
  <c r="U368" i="2"/>
  <c r="U369" i="2" a="1"/>
  <c r="U369" i="2" s="1"/>
  <c r="U370" i="2" a="1"/>
  <c r="U370" i="2"/>
  <c r="U371" i="2" a="1"/>
  <c r="U371" i="2" s="1"/>
  <c r="U372" i="2" a="1"/>
  <c r="U372" i="2"/>
  <c r="U373" i="2" a="1"/>
  <c r="U373" i="2"/>
  <c r="U374" i="2" a="1"/>
  <c r="U374" i="2" s="1"/>
  <c r="U375" i="2" a="1"/>
  <c r="U375" i="2" s="1"/>
  <c r="U376" i="2" a="1"/>
  <c r="U376" i="2"/>
  <c r="U377" i="2" a="1"/>
  <c r="U377" i="2" s="1"/>
  <c r="U378" i="2" a="1"/>
  <c r="U378" i="2" s="1"/>
  <c r="U379" i="2" a="1"/>
  <c r="U379" i="2" s="1"/>
  <c r="U380" i="2" a="1"/>
  <c r="U380" i="2"/>
  <c r="U381" i="2" a="1"/>
  <c r="U381" i="2"/>
  <c r="U382" i="2" a="1"/>
  <c r="U382" i="2"/>
  <c r="U383" i="2" a="1"/>
  <c r="U383" i="2" s="1"/>
  <c r="U384" i="2" a="1"/>
  <c r="U384" i="2"/>
  <c r="U385" i="2" a="1"/>
  <c r="U385" i="2" s="1"/>
  <c r="U386" i="2" a="1"/>
  <c r="U386" i="2" s="1"/>
  <c r="U387" i="2" a="1"/>
  <c r="U387" i="2" s="1"/>
  <c r="U388" i="2" a="1"/>
  <c r="U388" i="2"/>
  <c r="U389" i="2" a="1"/>
  <c r="U389" i="2" s="1"/>
  <c r="U390" i="2" a="1"/>
  <c r="U390" i="2"/>
  <c r="U391" i="2" a="1"/>
  <c r="U391" i="2" s="1"/>
  <c r="U392" i="2" a="1"/>
  <c r="U392" i="2"/>
  <c r="U393" i="2" a="1"/>
  <c r="U393" i="2" s="1"/>
  <c r="U394" i="2" a="1"/>
  <c r="U394" i="2" s="1"/>
  <c r="U395" i="2" a="1"/>
  <c r="U395" i="2" s="1"/>
  <c r="U396" i="2" a="1"/>
  <c r="U396" i="2"/>
  <c r="U397" i="2" a="1"/>
  <c r="U397" i="2" s="1"/>
  <c r="U398" i="2" a="1"/>
  <c r="U398" i="2" s="1"/>
  <c r="U399" i="2" a="1"/>
  <c r="U399" i="2" s="1"/>
  <c r="U400" i="2" a="1"/>
  <c r="U400" i="2"/>
  <c r="U401" i="2" a="1"/>
  <c r="U401" i="2" s="1"/>
  <c r="U402" i="2" a="1"/>
  <c r="U402" i="2" s="1"/>
  <c r="U403" i="2" a="1"/>
  <c r="U403" i="2" s="1"/>
  <c r="U404" i="2" a="1"/>
  <c r="U404" i="2"/>
  <c r="U405" i="2" a="1"/>
  <c r="U405" i="2"/>
  <c r="U406" i="2" a="1"/>
  <c r="U406" i="2" s="1"/>
  <c r="U407" i="2" a="1"/>
  <c r="U407" i="2" s="1"/>
  <c r="U408" i="2" a="1"/>
  <c r="U408" i="2"/>
  <c r="U409" i="2" a="1"/>
  <c r="U409" i="2" s="1"/>
  <c r="U410" i="2" a="1"/>
  <c r="U410" i="2" s="1"/>
  <c r="U411" i="2" a="1"/>
  <c r="U411" i="2" s="1"/>
  <c r="U412" i="2" a="1"/>
  <c r="U412" i="2"/>
  <c r="U413" i="2" a="1"/>
  <c r="U413" i="2"/>
  <c r="U414" i="2" a="1"/>
  <c r="U414" i="2"/>
  <c r="U415" i="2" a="1"/>
  <c r="U415" i="2" s="1"/>
  <c r="U416" i="2" a="1"/>
  <c r="U416" i="2"/>
  <c r="U417" i="2" a="1"/>
  <c r="U417" i="2" s="1"/>
  <c r="U418" i="2" a="1"/>
  <c r="U418" i="2" s="1"/>
  <c r="U419" i="2" a="1"/>
  <c r="U419" i="2" s="1"/>
  <c r="U420" i="2" a="1"/>
  <c r="U420" i="2"/>
  <c r="U421" i="2" a="1"/>
  <c r="U421" i="2" s="1"/>
  <c r="U422" i="2" a="1"/>
  <c r="U422" i="2"/>
  <c r="U423" i="2" a="1"/>
  <c r="U423" i="2" s="1"/>
  <c r="U424" i="2" a="1"/>
  <c r="U424" i="2"/>
  <c r="U425" i="2" a="1"/>
  <c r="U425" i="2" s="1"/>
  <c r="U426" i="2" a="1"/>
  <c r="U426" i="2" s="1"/>
  <c r="U427" i="2" a="1"/>
  <c r="U427" i="2" s="1"/>
  <c r="U428" i="2" a="1"/>
  <c r="U428" i="2"/>
  <c r="U429" i="2" a="1"/>
  <c r="U429" i="2" s="1"/>
  <c r="U430" i="2" a="1"/>
  <c r="U430" i="2" s="1"/>
  <c r="U431" i="2" a="1"/>
  <c r="U431" i="2" s="1"/>
  <c r="U432" i="2" a="1"/>
  <c r="U432" i="2"/>
  <c r="U433" i="2" a="1"/>
  <c r="U433" i="2" s="1"/>
  <c r="U434" i="2" a="1"/>
  <c r="U434" i="2"/>
  <c r="U435" i="2" a="1"/>
  <c r="U435" i="2" s="1"/>
  <c r="U436" i="2" a="1"/>
  <c r="U436" i="2"/>
  <c r="U437" i="2" a="1"/>
  <c r="U437" i="2"/>
  <c r="U438" i="2" a="1"/>
  <c r="U438" i="2" s="1"/>
  <c r="U439" i="2" a="1"/>
  <c r="U439" i="2" s="1"/>
  <c r="U440" i="2" a="1"/>
  <c r="U440" i="2"/>
  <c r="U441" i="2" a="1"/>
  <c r="U441" i="2" s="1"/>
  <c r="U442" i="2" a="1"/>
  <c r="U442" i="2"/>
  <c r="U443" i="2" a="1"/>
  <c r="U443" i="2" s="1"/>
  <c r="U444" i="2" a="1"/>
  <c r="U444" i="2"/>
  <c r="U445" i="2" a="1"/>
  <c r="U445" i="2" s="1"/>
  <c r="U446" i="2" a="1"/>
  <c r="U446" i="2"/>
  <c r="U447" i="2" a="1"/>
  <c r="U447" i="2" s="1"/>
  <c r="U448" i="2" a="1"/>
  <c r="U448" i="2"/>
  <c r="U449" i="2" a="1"/>
  <c r="U449" i="2"/>
  <c r="U450" i="2" a="1"/>
  <c r="U450" i="2" s="1"/>
  <c r="U451" i="2" a="1"/>
  <c r="U451" i="2" s="1"/>
  <c r="U452" i="2" a="1"/>
  <c r="U452" i="2"/>
  <c r="U453" i="2" a="1"/>
  <c r="U453" i="2" s="1"/>
  <c r="U454" i="2" a="1"/>
  <c r="U454" i="2" s="1"/>
  <c r="U455" i="2" a="1"/>
  <c r="U455" i="2" s="1"/>
  <c r="U456" i="2" a="1"/>
  <c r="U456" i="2"/>
  <c r="U457" i="2" a="1"/>
  <c r="U457" i="2" s="1"/>
  <c r="U458" i="2" a="1"/>
  <c r="U458" i="2"/>
  <c r="U459" i="2" a="1"/>
  <c r="U459" i="2" s="1"/>
  <c r="U460" i="2" a="1"/>
  <c r="U460" i="2"/>
  <c r="U461" i="2" a="1"/>
  <c r="U461" i="2" s="1"/>
  <c r="U462" i="2" a="1"/>
  <c r="U462" i="2" s="1"/>
  <c r="U463" i="2" a="1"/>
  <c r="U463" i="2" s="1"/>
  <c r="U464" i="2" a="1"/>
  <c r="U464" i="2"/>
  <c r="U465" i="2" a="1"/>
  <c r="U465" i="2" s="1"/>
  <c r="U466" i="2" a="1"/>
  <c r="U466" i="2"/>
  <c r="U467" i="2" a="1"/>
  <c r="U467" i="2" s="1"/>
  <c r="U468" i="2" a="1"/>
  <c r="U468" i="2"/>
  <c r="U469" i="2" a="1"/>
  <c r="U469" i="2"/>
  <c r="U470" i="2" a="1"/>
  <c r="U470" i="2" s="1"/>
  <c r="U471" i="2" a="1"/>
  <c r="U471" i="2" s="1"/>
  <c r="U472" i="2" a="1"/>
  <c r="U472" i="2"/>
  <c r="U473" i="2" a="1"/>
  <c r="U473" i="2" s="1"/>
  <c r="U474" i="2" a="1"/>
  <c r="U474" i="2" s="1"/>
  <c r="U475" i="2" a="1"/>
  <c r="U475" i="2" s="1"/>
  <c r="U476" i="2" a="1"/>
  <c r="U476" i="2"/>
  <c r="U477" i="2" a="1"/>
  <c r="U477" i="2" s="1"/>
  <c r="U478" i="2" a="1"/>
  <c r="U478" i="2"/>
  <c r="U479" i="2" a="1"/>
  <c r="U479" i="2" s="1"/>
  <c r="U480" i="2" a="1"/>
  <c r="U480" i="2"/>
  <c r="U481" i="2" a="1"/>
  <c r="U481" i="2"/>
  <c r="U482" i="2" a="1"/>
  <c r="U482" i="2" s="1"/>
  <c r="U483" i="2" a="1"/>
  <c r="U483" i="2" s="1"/>
  <c r="U484" i="2" a="1"/>
  <c r="U484" i="2"/>
  <c r="U485" i="2" a="1"/>
  <c r="U485" i="2" s="1"/>
  <c r="U486" i="2" a="1"/>
  <c r="U486" i="2" s="1"/>
  <c r="U487" i="2" a="1"/>
  <c r="U487" i="2" s="1"/>
  <c r="U488" i="2" a="1"/>
  <c r="U488" i="2"/>
  <c r="U489" i="2" a="1"/>
  <c r="U489" i="2" s="1"/>
  <c r="U490" i="2" a="1"/>
  <c r="U490" i="2"/>
  <c r="U491" i="2" a="1"/>
  <c r="U491" i="2" s="1"/>
  <c r="U492" i="2" a="1"/>
  <c r="U492" i="2"/>
  <c r="U493" i="2" a="1"/>
  <c r="U493" i="2" s="1"/>
  <c r="U494" i="2" a="1"/>
  <c r="U494" i="2" s="1"/>
  <c r="U495" i="2" a="1"/>
  <c r="U495" i="2" s="1"/>
  <c r="U496" i="2" a="1"/>
  <c r="U496" i="2"/>
  <c r="U497" i="2" a="1"/>
  <c r="U497" i="2" s="1"/>
  <c r="U498" i="2" a="1"/>
  <c r="U498" i="2" s="1"/>
  <c r="U499" i="2" a="1"/>
  <c r="U499" i="2" s="1"/>
  <c r="U500" i="2" a="1"/>
  <c r="U500" i="2"/>
  <c r="U501" i="2" a="1"/>
  <c r="U501" i="2"/>
  <c r="U502" i="2" a="1"/>
  <c r="U502" i="2" s="1"/>
  <c r="U503" i="2" a="1"/>
  <c r="U503" i="2" s="1"/>
  <c r="U504" i="2" a="1"/>
  <c r="U504" i="2"/>
  <c r="U505" i="2" a="1"/>
  <c r="U505" i="2" s="1"/>
  <c r="U506" i="2" a="1"/>
  <c r="U506" i="2" s="1"/>
  <c r="U507" i="2" a="1"/>
  <c r="U507" i="2" s="1"/>
  <c r="U508" i="2" a="1"/>
  <c r="U508" i="2"/>
  <c r="U509" i="2" a="1"/>
  <c r="U509" i="2" s="1"/>
  <c r="U510" i="2" a="1"/>
  <c r="U510" i="2"/>
  <c r="U511" i="2" a="1"/>
  <c r="U511" i="2" s="1"/>
  <c r="U512" i="2" a="1"/>
  <c r="U512" i="2" s="1"/>
  <c r="U513" i="2" a="1"/>
  <c r="U513" i="2"/>
  <c r="U514" i="2" a="1"/>
  <c r="U514" i="2" s="1"/>
  <c r="U515" i="2" a="1"/>
  <c r="U515" i="2" s="1"/>
  <c r="U516" i="2" a="1"/>
  <c r="U516" i="2" s="1"/>
  <c r="U517" i="2" a="1"/>
  <c r="U517" i="2" s="1"/>
  <c r="U518" i="2" a="1"/>
  <c r="U518" i="2" s="1"/>
  <c r="U519" i="2" a="1"/>
  <c r="U519" i="2" s="1"/>
  <c r="U520" i="2" a="1"/>
  <c r="U520" i="2" s="1"/>
  <c r="U521" i="2" a="1"/>
  <c r="U521" i="2" s="1"/>
  <c r="U522" i="2" a="1"/>
  <c r="U522" i="2"/>
  <c r="U523" i="2" a="1"/>
  <c r="U523" i="2" s="1"/>
  <c r="U524" i="2" a="1"/>
  <c r="U524" i="2"/>
  <c r="U525" i="2" a="1"/>
  <c r="U525" i="2" s="1"/>
  <c r="U526" i="2" a="1"/>
  <c r="U526" i="2" s="1"/>
  <c r="U527" i="2" a="1"/>
  <c r="U527" i="2" s="1"/>
  <c r="U528" i="2" a="1"/>
  <c r="U528" i="2" s="1"/>
  <c r="U529" i="2" a="1"/>
  <c r="U529" i="2" s="1"/>
  <c r="U530" i="2" a="1"/>
  <c r="U530" i="2" s="1"/>
  <c r="U531" i="2" a="1"/>
  <c r="U531" i="2" s="1"/>
  <c r="U532" i="2" a="1"/>
  <c r="U532" i="2" s="1"/>
  <c r="U533" i="2" a="1"/>
  <c r="U533" i="2"/>
  <c r="U534" i="2" a="1"/>
  <c r="U534" i="2" s="1"/>
  <c r="U535" i="2" a="1"/>
  <c r="U535" i="2" s="1"/>
  <c r="U536" i="2" a="1"/>
  <c r="U536" i="2"/>
  <c r="U537" i="2" a="1"/>
  <c r="U537" i="2" s="1"/>
  <c r="U538" i="2" a="1"/>
  <c r="U538" i="2" s="1"/>
  <c r="U539" i="2" a="1"/>
  <c r="U539" i="2" s="1"/>
  <c r="U540" i="2" a="1"/>
  <c r="U540" i="2" s="1"/>
  <c r="U541" i="2" a="1"/>
  <c r="U541" i="2" s="1"/>
  <c r="U542" i="2" a="1"/>
  <c r="U542" i="2"/>
  <c r="U543" i="2" a="1"/>
  <c r="U543" i="2" s="1"/>
  <c r="U544" i="2" a="1"/>
  <c r="U544" i="2" s="1"/>
  <c r="U545" i="2" a="1"/>
  <c r="U545" i="2"/>
  <c r="U546" i="2" a="1"/>
  <c r="U546" i="2" s="1"/>
  <c r="U547" i="2" a="1"/>
  <c r="U547" i="2" s="1"/>
  <c r="U548" i="2" a="1"/>
  <c r="U548" i="2" s="1"/>
  <c r="U549" i="2" a="1"/>
  <c r="U549" i="2" s="1"/>
  <c r="U550" i="2" a="1"/>
  <c r="U550" i="2" s="1"/>
  <c r="U551" i="2" a="1"/>
  <c r="U551" i="2" s="1"/>
  <c r="U552" i="2" a="1"/>
  <c r="U552" i="2" s="1"/>
  <c r="U553" i="2" a="1"/>
  <c r="U553" i="2" s="1"/>
  <c r="U554" i="2" a="1"/>
  <c r="U554" i="2"/>
  <c r="U555" i="2" a="1"/>
  <c r="U555" i="2" s="1"/>
  <c r="U556" i="2" a="1"/>
  <c r="U556" i="2"/>
  <c r="U557" i="2" a="1"/>
  <c r="U557" i="2" s="1"/>
  <c r="U558" i="2" a="1"/>
  <c r="U558" i="2" s="1"/>
  <c r="U559" i="2" a="1"/>
  <c r="U559" i="2" s="1"/>
  <c r="U560" i="2" a="1"/>
  <c r="U560" i="2" s="1"/>
  <c r="U561" i="2" a="1"/>
  <c r="U561" i="2" s="1"/>
  <c r="U562" i="2" a="1"/>
  <c r="U562" i="2" s="1"/>
  <c r="U563" i="2" a="1"/>
  <c r="U563" i="2" s="1"/>
  <c r="U564" i="2" a="1"/>
  <c r="U564" i="2" s="1"/>
  <c r="U565" i="2" a="1"/>
  <c r="U565" i="2"/>
  <c r="U566" i="2" a="1"/>
  <c r="U566" i="2" s="1"/>
  <c r="U567" i="2" a="1"/>
  <c r="U567" i="2" s="1"/>
  <c r="U568" i="2" a="1"/>
  <c r="U568" i="2"/>
  <c r="U569" i="2" a="1"/>
  <c r="U569" i="2" s="1"/>
  <c r="U570" i="2" a="1"/>
  <c r="U570" i="2" s="1"/>
  <c r="U571" i="2" a="1"/>
  <c r="U571" i="2" s="1"/>
  <c r="U572" i="2" a="1"/>
  <c r="U572" i="2" s="1"/>
  <c r="U573" i="2" a="1"/>
  <c r="U573" i="2" s="1"/>
  <c r="U574" i="2" a="1"/>
  <c r="U574" i="2"/>
  <c r="U575" i="2" a="1"/>
  <c r="U575" i="2" s="1"/>
  <c r="U576" i="2" a="1"/>
  <c r="U576" i="2" s="1"/>
  <c r="U577" i="2" a="1"/>
  <c r="U577" i="2"/>
  <c r="U578" i="2" a="1"/>
  <c r="U578" i="2" s="1"/>
  <c r="U579" i="2" a="1"/>
  <c r="U579" i="2" s="1"/>
  <c r="U580" i="2" a="1"/>
  <c r="U580" i="2" s="1"/>
  <c r="U581" i="2" a="1"/>
  <c r="U581" i="2" s="1"/>
  <c r="U582" i="2" a="1"/>
  <c r="U582" i="2" s="1"/>
  <c r="U583" i="2" a="1"/>
  <c r="U583" i="2" s="1"/>
  <c r="U584" i="2" a="1"/>
  <c r="U584" i="2" s="1"/>
  <c r="U585" i="2" a="1"/>
  <c r="U585" i="2" s="1"/>
  <c r="U586" i="2" a="1"/>
  <c r="U586" i="2"/>
  <c r="U587" i="2" a="1"/>
  <c r="U587" i="2" s="1"/>
  <c r="U588" i="2" a="1"/>
  <c r="U588" i="2"/>
  <c r="U589" i="2" a="1"/>
  <c r="U589" i="2" s="1"/>
  <c r="U590" i="2" a="1"/>
  <c r="U590" i="2" s="1"/>
  <c r="U591" i="2" a="1"/>
  <c r="U591" i="2" s="1"/>
  <c r="U592" i="2" a="1"/>
  <c r="U592" i="2" s="1"/>
  <c r="U593" i="2" a="1"/>
  <c r="U593" i="2" s="1"/>
  <c r="U594" i="2" a="1"/>
  <c r="U594" i="2" s="1"/>
  <c r="U595" i="2" a="1"/>
  <c r="U595" i="2" s="1"/>
  <c r="U596" i="2" a="1"/>
  <c r="U596" i="2" s="1"/>
  <c r="U597" i="2" a="1"/>
  <c r="U597" i="2"/>
  <c r="U598" i="2" a="1"/>
  <c r="U598" i="2" s="1"/>
  <c r="U599" i="2" a="1"/>
  <c r="U599" i="2" s="1"/>
  <c r="U600" i="2" a="1"/>
  <c r="U600" i="2"/>
  <c r="U601" i="2" a="1"/>
  <c r="U601" i="2" s="1"/>
  <c r="U602" i="2" a="1"/>
  <c r="U602" i="2" s="1"/>
  <c r="U603" i="2" a="1"/>
  <c r="U603" i="2" s="1"/>
  <c r="U604" i="2" a="1"/>
  <c r="U604" i="2" s="1"/>
  <c r="U605" i="2" a="1"/>
  <c r="U605" i="2" s="1"/>
  <c r="U606" i="2" a="1"/>
  <c r="U606" i="2"/>
  <c r="U607" i="2" a="1"/>
  <c r="U607" i="2" s="1"/>
  <c r="U608" i="2" a="1"/>
  <c r="U608" i="2" s="1"/>
  <c r="U609" i="2" a="1"/>
  <c r="U609" i="2"/>
  <c r="U610" i="2" a="1"/>
  <c r="U610" i="2" s="1"/>
  <c r="U611" i="2" a="1"/>
  <c r="U611" i="2" s="1"/>
  <c r="U612" i="2" a="1"/>
  <c r="U612" i="2" s="1"/>
  <c r="U613" i="2" a="1"/>
  <c r="U613" i="2" s="1"/>
  <c r="U614" i="2" a="1"/>
  <c r="U614" i="2" s="1"/>
  <c r="U615" i="2" a="1"/>
  <c r="U615" i="2" s="1"/>
  <c r="U616" i="2" a="1"/>
  <c r="U616" i="2" s="1"/>
  <c r="U617" i="2" a="1"/>
  <c r="U617" i="2" s="1"/>
  <c r="U618" i="2" a="1"/>
  <c r="U618" i="2"/>
  <c r="U619" i="2" a="1"/>
  <c r="U619" i="2" s="1"/>
  <c r="U620" i="2" a="1"/>
  <c r="U620" i="2"/>
  <c r="U621" i="2" a="1"/>
  <c r="U621" i="2" s="1"/>
  <c r="U622" i="2" a="1"/>
  <c r="U622" i="2" s="1"/>
  <c r="U623" i="2" a="1"/>
  <c r="U623" i="2" s="1"/>
  <c r="U624" i="2" a="1"/>
  <c r="U624" i="2" s="1"/>
  <c r="U625" i="2" a="1"/>
  <c r="U625" i="2" s="1"/>
  <c r="U626" i="2" a="1"/>
  <c r="U626" i="2"/>
  <c r="U627" i="2" a="1"/>
  <c r="U627" i="2" s="1"/>
  <c r="U628" i="2" a="1"/>
  <c r="U628" i="2" s="1"/>
  <c r="U629" i="2" a="1"/>
  <c r="U629" i="2"/>
  <c r="U630" i="2" a="1"/>
  <c r="U630" i="2" s="1"/>
  <c r="U631" i="2" a="1"/>
  <c r="U631" i="2" s="1"/>
  <c r="U632" i="2" a="1"/>
  <c r="U632" i="2"/>
  <c r="U633" i="2" a="1"/>
  <c r="U633" i="2" s="1"/>
  <c r="U634" i="2" a="1"/>
  <c r="U634" i="2" s="1"/>
  <c r="U635" i="2" a="1"/>
  <c r="U635" i="2" s="1"/>
  <c r="U636" i="2" a="1"/>
  <c r="U636" i="2" s="1"/>
  <c r="U637" i="2" a="1"/>
  <c r="U637" i="2" s="1"/>
  <c r="U638" i="2" a="1"/>
  <c r="U638" i="2"/>
  <c r="U639" i="2" a="1"/>
  <c r="U639" i="2" s="1"/>
  <c r="U640" i="2" a="1"/>
  <c r="U640" i="2" s="1"/>
  <c r="U641" i="2" a="1"/>
  <c r="U641" i="2"/>
  <c r="U642" i="2" a="1"/>
  <c r="U642" i="2" s="1"/>
  <c r="U643" i="2" a="1"/>
  <c r="U643" i="2" s="1"/>
  <c r="U644" i="2" a="1"/>
  <c r="U644" i="2" s="1"/>
  <c r="U645" i="2" a="1"/>
  <c r="U645" i="2" s="1"/>
  <c r="U646" i="2" a="1"/>
  <c r="U646" i="2" s="1"/>
  <c r="U647" i="2" a="1"/>
  <c r="U647" i="2" s="1"/>
  <c r="U648" i="2" a="1"/>
  <c r="U648" i="2" s="1"/>
  <c r="U649" i="2" a="1"/>
  <c r="U649" i="2" s="1"/>
  <c r="U650" i="2" a="1"/>
  <c r="U650" i="2"/>
  <c r="U651" i="2" a="1"/>
  <c r="U651" i="2" s="1"/>
  <c r="U652" i="2" a="1"/>
  <c r="U652" i="2"/>
  <c r="U653" i="2" a="1"/>
  <c r="U653" i="2" s="1"/>
  <c r="U654" i="2" a="1"/>
  <c r="U654" i="2" s="1"/>
  <c r="U655" i="2" a="1"/>
  <c r="U655" i="2" s="1"/>
  <c r="U656" i="2" a="1"/>
  <c r="U656" i="2" s="1"/>
  <c r="U657" i="2" a="1"/>
  <c r="U657" i="2" s="1"/>
  <c r="U658" i="2" a="1"/>
  <c r="U658" i="2" s="1"/>
  <c r="U659" i="2" a="1"/>
  <c r="U659" i="2" s="1"/>
  <c r="U660" i="2" a="1"/>
  <c r="U660" i="2" s="1"/>
  <c r="U661" i="2" a="1"/>
  <c r="U661" i="2"/>
  <c r="U662" i="2" a="1"/>
  <c r="U662" i="2" s="1"/>
  <c r="U663" i="2" a="1"/>
  <c r="U663" i="2" s="1"/>
  <c r="U664" i="2" a="1"/>
  <c r="U664" i="2"/>
  <c r="U665" i="2" a="1"/>
  <c r="U665" i="2" s="1"/>
  <c r="U666" i="2" a="1"/>
  <c r="U666" i="2" s="1"/>
  <c r="U667" i="2" a="1"/>
  <c r="U667" i="2" s="1"/>
  <c r="U668" i="2" a="1"/>
  <c r="U668" i="2" s="1"/>
  <c r="U669" i="2" a="1"/>
  <c r="U669" i="2" s="1"/>
  <c r="U670" i="2" a="1"/>
  <c r="U670" i="2"/>
  <c r="U671" i="2" a="1"/>
  <c r="U671" i="2" s="1"/>
  <c r="U672" i="2" a="1"/>
  <c r="U672" i="2" s="1"/>
  <c r="U673" i="2" a="1"/>
  <c r="U673" i="2"/>
  <c r="U674" i="2" a="1"/>
  <c r="U674" i="2" s="1"/>
  <c r="U675" i="2" a="1"/>
  <c r="U675" i="2" s="1"/>
  <c r="U676" i="2" a="1"/>
  <c r="U676" i="2" s="1"/>
  <c r="U677" i="2" a="1"/>
  <c r="U677" i="2" s="1"/>
  <c r="U678" i="2" a="1"/>
  <c r="U678" i="2" s="1"/>
  <c r="U679" i="2" a="1"/>
  <c r="U679" i="2" s="1"/>
  <c r="U680" i="2" a="1"/>
  <c r="U680" i="2" s="1"/>
  <c r="U681" i="2" a="1"/>
  <c r="U681" i="2" s="1"/>
  <c r="U682" i="2" a="1"/>
  <c r="U682" i="2"/>
  <c r="U683" i="2" a="1"/>
  <c r="U683" i="2" s="1"/>
  <c r="U684" i="2" a="1"/>
  <c r="U684" i="2"/>
  <c r="U685" i="2" a="1"/>
  <c r="U685" i="2" s="1"/>
  <c r="U686" i="2" a="1"/>
  <c r="U686" i="2" s="1"/>
  <c r="U687" i="2" a="1"/>
  <c r="U687" i="2" s="1"/>
  <c r="U688" i="2" a="1"/>
  <c r="U688" i="2" s="1"/>
  <c r="U689" i="2" a="1"/>
  <c r="U689" i="2" s="1"/>
  <c r="U690" i="2" a="1"/>
  <c r="U690" i="2" s="1"/>
  <c r="U691" i="2" a="1"/>
  <c r="U691" i="2" s="1"/>
  <c r="U692" i="2" a="1"/>
  <c r="U692" i="2" s="1"/>
  <c r="U693" i="2" a="1"/>
  <c r="U693" i="2"/>
  <c r="U694" i="2" a="1"/>
  <c r="U694" i="2" s="1"/>
  <c r="U695" i="2" a="1"/>
  <c r="U695" i="2" s="1"/>
  <c r="U696" i="2" a="1"/>
  <c r="U696" i="2"/>
  <c r="U697" i="2" a="1"/>
  <c r="U697" i="2" s="1"/>
  <c r="U698" i="2" a="1"/>
  <c r="U698" i="2" s="1"/>
  <c r="U699" i="2" a="1"/>
  <c r="U699" i="2" s="1"/>
  <c r="U700" i="2" a="1"/>
  <c r="U700" i="2" s="1"/>
  <c r="U701" i="2" a="1"/>
  <c r="U701" i="2" s="1"/>
  <c r="U702" i="2" a="1"/>
  <c r="U702" i="2"/>
  <c r="U703" i="2" a="1"/>
  <c r="U703" i="2" s="1"/>
  <c r="U704" i="2" a="1"/>
  <c r="U704" i="2" s="1"/>
  <c r="U705" i="2" a="1"/>
  <c r="U705" i="2"/>
  <c r="U706" i="2" a="1"/>
  <c r="U706" i="2" s="1"/>
  <c r="U707" i="2" a="1"/>
  <c r="U707" i="2" s="1"/>
  <c r="U708" i="2" a="1"/>
  <c r="U708" i="2" s="1"/>
  <c r="U709" i="2" a="1"/>
  <c r="U709" i="2" s="1"/>
  <c r="U710" i="2" a="1"/>
  <c r="U710" i="2" s="1"/>
  <c r="U711" i="2" a="1"/>
  <c r="U711" i="2" s="1"/>
  <c r="U712" i="2" a="1"/>
  <c r="U712" i="2" s="1"/>
  <c r="U713" i="2" a="1"/>
  <c r="U713" i="2" s="1"/>
  <c r="U714" i="2" a="1"/>
  <c r="U714" i="2"/>
  <c r="U715" i="2" a="1"/>
  <c r="U715" i="2" s="1"/>
  <c r="U716" i="2" a="1"/>
  <c r="U716" i="2"/>
  <c r="U717" i="2" a="1"/>
  <c r="U717" i="2" s="1"/>
  <c r="U718" i="2" a="1"/>
  <c r="U718" i="2" s="1"/>
  <c r="U719" i="2" a="1"/>
  <c r="U719" i="2" s="1"/>
  <c r="U720" i="2" a="1"/>
  <c r="U720" i="2" s="1"/>
  <c r="U721" i="2" a="1"/>
  <c r="U721" i="2" s="1"/>
  <c r="U722" i="2" a="1"/>
  <c r="U722" i="2" s="1"/>
  <c r="U723" i="2" a="1"/>
  <c r="U723" i="2" s="1"/>
  <c r="U724" i="2" a="1"/>
  <c r="U724" i="2" s="1"/>
  <c r="U725" i="2" a="1"/>
  <c r="U725" i="2"/>
  <c r="U726" i="2" a="1"/>
  <c r="U726" i="2" s="1"/>
  <c r="U727" i="2" a="1"/>
  <c r="U727" i="2" s="1"/>
  <c r="U728" i="2" a="1"/>
  <c r="U728" i="2"/>
  <c r="U729" i="2" a="1"/>
  <c r="U729" i="2" s="1"/>
  <c r="U730" i="2" a="1"/>
  <c r="U730" i="2" s="1"/>
  <c r="U731" i="2" a="1"/>
  <c r="U731" i="2" s="1"/>
  <c r="U732" i="2" a="1"/>
  <c r="U732" i="2" s="1"/>
  <c r="U733" i="2" a="1"/>
  <c r="U733" i="2" s="1"/>
  <c r="U734" i="2" a="1"/>
  <c r="U734" i="2"/>
  <c r="U735" i="2" a="1"/>
  <c r="U735" i="2" s="1"/>
  <c r="U736" i="2" a="1"/>
  <c r="U736" i="2" s="1"/>
  <c r="U737" i="2" a="1"/>
  <c r="U737" i="2"/>
  <c r="U738" i="2" a="1"/>
  <c r="U738" i="2" s="1"/>
  <c r="U739" i="2" a="1"/>
  <c r="U739" i="2" s="1"/>
  <c r="U740" i="2" a="1"/>
  <c r="U740" i="2"/>
  <c r="U741" i="2" a="1"/>
  <c r="U741" i="2" s="1"/>
  <c r="U742" i="2" a="1"/>
  <c r="U742" i="2" s="1"/>
  <c r="U743" i="2" a="1"/>
  <c r="U743" i="2" s="1"/>
  <c r="U744" i="2" a="1"/>
  <c r="U744" i="2" s="1"/>
  <c r="U745" i="2" a="1"/>
  <c r="U745" i="2" s="1"/>
  <c r="U746" i="2" a="1"/>
  <c r="U746" i="2"/>
  <c r="U747" i="2" a="1"/>
  <c r="U747" i="2" s="1"/>
  <c r="U748" i="2" a="1"/>
  <c r="U748" i="2"/>
  <c r="U749" i="2" a="1"/>
  <c r="U749" i="2"/>
  <c r="U750" i="2" a="1"/>
  <c r="U750" i="2" s="1"/>
  <c r="U751" i="2" a="1"/>
  <c r="U751" i="2" s="1"/>
  <c r="U752" i="2" a="1"/>
  <c r="U752" i="2" s="1"/>
  <c r="U753" i="2" a="1"/>
  <c r="U753" i="2" s="1"/>
  <c r="U754" i="2" a="1"/>
  <c r="U754" i="2" s="1"/>
  <c r="U755" i="2" a="1"/>
  <c r="U755" i="2" s="1"/>
  <c r="U756" i="2" a="1"/>
  <c r="U756" i="2" s="1"/>
  <c r="U757" i="2" a="1"/>
  <c r="U757" i="2"/>
  <c r="U758" i="2" a="1"/>
  <c r="U758" i="2" s="1"/>
  <c r="U759" i="2" a="1"/>
  <c r="U759" i="2" s="1"/>
  <c r="U760" i="2" a="1"/>
  <c r="U760" i="2"/>
  <c r="U761" i="2" a="1"/>
  <c r="U761" i="2" s="1"/>
  <c r="U762" i="2" a="1"/>
  <c r="U762" i="2" s="1"/>
  <c r="U763" i="2" a="1"/>
  <c r="U763" i="2" s="1"/>
  <c r="U764" i="2" a="1"/>
  <c r="U764" i="2" s="1"/>
  <c r="U765" i="2" a="1"/>
  <c r="U765" i="2" s="1"/>
  <c r="U766" i="2" a="1"/>
  <c r="U766" i="2"/>
  <c r="U767" i="2" a="1"/>
  <c r="U767" i="2" s="1"/>
  <c r="U768" i="2" a="1"/>
  <c r="U768" i="2" s="1"/>
  <c r="U769" i="2" a="1"/>
  <c r="U769" i="2"/>
  <c r="U770" i="2" a="1"/>
  <c r="U770" i="2" s="1"/>
  <c r="U771" i="2" a="1"/>
  <c r="U771" i="2" s="1"/>
  <c r="U772" i="2" a="1"/>
  <c r="U772" i="2" s="1"/>
  <c r="U773" i="2" a="1"/>
  <c r="U773" i="2" s="1"/>
  <c r="U774" i="2" a="1"/>
  <c r="U774" i="2" s="1"/>
  <c r="U775" i="2" a="1"/>
  <c r="U775" i="2" s="1"/>
  <c r="U776" i="2" a="1"/>
  <c r="U776" i="2" s="1"/>
  <c r="U777" i="2" a="1"/>
  <c r="U777" i="2" s="1"/>
  <c r="U778" i="2" a="1"/>
  <c r="U778" i="2"/>
  <c r="U779" i="2" a="1"/>
  <c r="U779" i="2" s="1"/>
  <c r="U780" i="2" a="1"/>
  <c r="U780" i="2"/>
  <c r="U781" i="2" a="1"/>
  <c r="U781" i="2" s="1"/>
  <c r="U782" i="2" a="1"/>
  <c r="U782" i="2" s="1"/>
  <c r="U783" i="2" a="1"/>
  <c r="U783" i="2" s="1"/>
  <c r="U784" i="2" a="1"/>
  <c r="U784" i="2" s="1"/>
  <c r="U785" i="2" a="1"/>
  <c r="U785" i="2" s="1"/>
  <c r="U786" i="2" a="1"/>
  <c r="U786" i="2" s="1"/>
  <c r="U787" i="2" a="1"/>
  <c r="U787" i="2" s="1"/>
  <c r="U788" i="2" a="1"/>
  <c r="U788" i="2" s="1"/>
  <c r="U789" i="2" a="1"/>
  <c r="U789" i="2"/>
  <c r="U790" i="2" a="1"/>
  <c r="U790" i="2" s="1"/>
  <c r="U791" i="2" a="1"/>
  <c r="U791" i="2" s="1"/>
  <c r="U792" i="2" a="1"/>
  <c r="U792" i="2"/>
  <c r="U793" i="2" a="1"/>
  <c r="U793" i="2" s="1"/>
  <c r="U794" i="2" a="1"/>
  <c r="U794" i="2" s="1"/>
  <c r="U795" i="2" a="1"/>
  <c r="U795" i="2" s="1"/>
  <c r="U796" i="2" a="1"/>
  <c r="U796" i="2" s="1"/>
  <c r="U797" i="2" a="1"/>
  <c r="U797" i="2" s="1"/>
  <c r="U798" i="2" a="1"/>
  <c r="U798" i="2"/>
  <c r="U799" i="2" a="1"/>
  <c r="U799" i="2" s="1"/>
  <c r="U800" i="2" a="1"/>
  <c r="U800" i="2" s="1"/>
  <c r="U801" i="2" a="1"/>
  <c r="U801" i="2"/>
  <c r="U802" i="2" a="1"/>
  <c r="U802" i="2" s="1"/>
  <c r="U803" i="2" a="1"/>
  <c r="U803" i="2" s="1"/>
  <c r="U804" i="2" a="1"/>
  <c r="U804" i="2" s="1"/>
  <c r="U805" i="2" a="1"/>
  <c r="U805" i="2" s="1"/>
  <c r="U806" i="2" a="1"/>
  <c r="U806" i="2" s="1"/>
  <c r="U807" i="2" a="1"/>
  <c r="U807" i="2" s="1"/>
  <c r="U808" i="2" a="1"/>
  <c r="U808" i="2" s="1"/>
  <c r="U809" i="2" a="1"/>
  <c r="U809" i="2" s="1"/>
  <c r="U810" i="2" a="1"/>
  <c r="U810" i="2"/>
  <c r="U811" i="2" a="1"/>
  <c r="U811" i="2" s="1"/>
  <c r="U812" i="2" a="1"/>
  <c r="U812" i="2"/>
  <c r="U813" i="2" a="1"/>
  <c r="U813" i="2" s="1"/>
  <c r="U814" i="2" a="1"/>
  <c r="U814" i="2" s="1"/>
  <c r="U815" i="2" a="1"/>
  <c r="U815" i="2" s="1"/>
  <c r="U816" i="2" a="1"/>
  <c r="U816" i="2" s="1"/>
  <c r="U817" i="2" a="1"/>
  <c r="U817" i="2" s="1"/>
  <c r="U818" i="2" a="1"/>
  <c r="U818" i="2" s="1"/>
  <c r="U819" i="2" a="1"/>
  <c r="U819" i="2" s="1"/>
  <c r="U820" i="2" a="1"/>
  <c r="U820" i="2" s="1"/>
  <c r="U821" i="2" a="1"/>
  <c r="U821" i="2"/>
  <c r="U822" i="2" a="1"/>
  <c r="U822" i="2"/>
  <c r="U823" i="2" a="1"/>
  <c r="U823" i="2" s="1"/>
  <c r="U824" i="2" a="1"/>
  <c r="U824" i="2"/>
  <c r="U825" i="2" a="1"/>
  <c r="U825" i="2" s="1"/>
  <c r="U826" i="2" a="1"/>
  <c r="U826" i="2" s="1"/>
  <c r="U827" i="2" a="1"/>
  <c r="U827" i="2" s="1"/>
  <c r="U828" i="2" a="1"/>
  <c r="U828" i="2" s="1"/>
  <c r="U829" i="2" a="1"/>
  <c r="U829" i="2" s="1"/>
  <c r="U830" i="2" a="1"/>
  <c r="U830" i="2"/>
  <c r="U831" i="2" a="1"/>
  <c r="U831" i="2" s="1"/>
  <c r="U832" i="2" a="1"/>
  <c r="U832" i="2" s="1"/>
  <c r="U833" i="2" a="1"/>
  <c r="U833" i="2"/>
  <c r="U834" i="2" a="1"/>
  <c r="U834" i="2" s="1"/>
  <c r="U835" i="2" a="1"/>
  <c r="U835" i="2" s="1"/>
  <c r="U836" i="2" a="1"/>
  <c r="U836" i="2" s="1"/>
  <c r="U837" i="2" a="1"/>
  <c r="U837" i="2" s="1"/>
  <c r="U838" i="2" a="1"/>
  <c r="U838" i="2" s="1"/>
  <c r="U839" i="2" a="1"/>
  <c r="U839" i="2" s="1"/>
  <c r="U840" i="2" a="1"/>
  <c r="U840" i="2" s="1"/>
  <c r="U841" i="2" a="1"/>
  <c r="U841" i="2" s="1"/>
  <c r="U842" i="2" a="1"/>
  <c r="U842" i="2"/>
  <c r="U843" i="2" a="1"/>
  <c r="U843" i="2" s="1"/>
  <c r="U844" i="2" a="1"/>
  <c r="U844" i="2"/>
  <c r="U845" i="2" a="1"/>
  <c r="U845" i="2"/>
  <c r="U846" i="2" a="1"/>
  <c r="U846" i="2" s="1"/>
  <c r="U847" i="2" a="1"/>
  <c r="U847" i="2" s="1"/>
  <c r="U848" i="2" a="1"/>
  <c r="U848" i="2" s="1"/>
  <c r="U849" i="2" a="1"/>
  <c r="U849" i="2" s="1"/>
  <c r="U850" i="2" a="1"/>
  <c r="U850" i="2" s="1"/>
  <c r="U851" i="2" a="1"/>
  <c r="U851" i="2" s="1"/>
  <c r="U852" i="2" a="1"/>
  <c r="U852" i="2" s="1"/>
  <c r="U853" i="2" a="1"/>
  <c r="U853" i="2"/>
  <c r="U854" i="2" a="1"/>
  <c r="U854" i="2"/>
  <c r="U855" i="2" a="1"/>
  <c r="U855" i="2" s="1"/>
  <c r="U856" i="2" a="1"/>
  <c r="U856" i="2"/>
  <c r="U857" i="2" a="1"/>
  <c r="U857" i="2" s="1"/>
  <c r="U858" i="2" a="1"/>
  <c r="U858" i="2" s="1"/>
  <c r="U859" i="2" a="1"/>
  <c r="U859" i="2" s="1"/>
  <c r="U860" i="2" a="1"/>
  <c r="U860" i="2" s="1"/>
  <c r="U861" i="2" a="1"/>
  <c r="U861" i="2" s="1"/>
  <c r="U862" i="2" a="1"/>
  <c r="U862" i="2"/>
  <c r="U863" i="2" a="1"/>
  <c r="U863" i="2" s="1"/>
  <c r="U864" i="2" a="1"/>
  <c r="U864" i="2" s="1"/>
  <c r="U865" i="2" a="1"/>
  <c r="U865" i="2"/>
  <c r="U866" i="2" a="1"/>
  <c r="U866" i="2" s="1"/>
  <c r="U867" i="2" a="1"/>
  <c r="U867" i="2" s="1"/>
  <c r="U868" i="2" a="1"/>
  <c r="U868" i="2"/>
  <c r="U869" i="2" a="1"/>
  <c r="U869" i="2" s="1"/>
  <c r="U870" i="2" a="1"/>
  <c r="U870" i="2" s="1"/>
  <c r="U871" i="2" a="1"/>
  <c r="U871" i="2" s="1"/>
  <c r="U872" i="2" a="1"/>
  <c r="U872" i="2" s="1"/>
  <c r="U873" i="2" a="1"/>
  <c r="U873" i="2" s="1"/>
  <c r="U874" i="2" a="1"/>
  <c r="U874" i="2"/>
  <c r="U875" i="2" a="1"/>
  <c r="U875" i="2" s="1"/>
  <c r="U876" i="2" a="1"/>
  <c r="U876" i="2"/>
  <c r="U877" i="2" a="1"/>
  <c r="U877" i="2" s="1"/>
  <c r="U878" i="2" a="1"/>
  <c r="U878" i="2" s="1"/>
  <c r="U879" i="2" a="1"/>
  <c r="U879" i="2" s="1"/>
  <c r="U880" i="2" a="1"/>
  <c r="U880" i="2" s="1"/>
  <c r="U881" i="2" a="1"/>
  <c r="U881" i="2" s="1"/>
  <c r="U882" i="2" a="1"/>
  <c r="U882" i="2" s="1"/>
  <c r="U883" i="2" a="1"/>
  <c r="U883" i="2" s="1"/>
  <c r="U884" i="2" a="1"/>
  <c r="U884" i="2" s="1"/>
  <c r="U885" i="2" a="1"/>
  <c r="U885" i="2"/>
  <c r="U886" i="2" a="1"/>
  <c r="U886" i="2" s="1"/>
  <c r="U887" i="2" a="1"/>
  <c r="U887" i="2" s="1"/>
  <c r="U888" i="2" a="1"/>
  <c r="U888" i="2"/>
  <c r="U889" i="2" a="1"/>
  <c r="U889" i="2" s="1"/>
  <c r="U890" i="2" a="1"/>
  <c r="U890" i="2" s="1"/>
  <c r="U891" i="2" a="1"/>
  <c r="U891" i="2" s="1"/>
  <c r="U892" i="2" a="1"/>
  <c r="U892" i="2" s="1"/>
  <c r="U893" i="2" a="1"/>
  <c r="U893" i="2" s="1"/>
  <c r="U894" i="2" a="1"/>
  <c r="U894" i="2"/>
  <c r="U895" i="2" a="1"/>
  <c r="U895" i="2" s="1"/>
  <c r="U896" i="2" a="1"/>
  <c r="U896" i="2" s="1"/>
  <c r="U897" i="2" a="1"/>
  <c r="U897" i="2"/>
  <c r="U898" i="2" a="1"/>
  <c r="U898" i="2" s="1"/>
  <c r="U899" i="2" a="1"/>
  <c r="U899" i="2" s="1"/>
  <c r="U900" i="2" a="1"/>
  <c r="U900" i="2" s="1"/>
  <c r="U901" i="2" a="1"/>
  <c r="U901" i="2" s="1"/>
  <c r="U902" i="2" a="1"/>
  <c r="U902" i="2" s="1"/>
  <c r="U903" i="2" a="1"/>
  <c r="U903" i="2" s="1"/>
  <c r="U904" i="2" a="1"/>
  <c r="U904" i="2" s="1"/>
  <c r="U905" i="2" a="1"/>
  <c r="U905" i="2" s="1"/>
  <c r="U906" i="2" a="1"/>
  <c r="U906" i="2"/>
  <c r="U907" i="2" a="1"/>
  <c r="U907" i="2" s="1"/>
  <c r="U908" i="2" a="1"/>
  <c r="U908" i="2"/>
  <c r="U909" i="2" a="1"/>
  <c r="U909" i="2" s="1"/>
  <c r="U910" i="2" a="1"/>
  <c r="U910" i="2" s="1"/>
  <c r="U911" i="2" a="1"/>
  <c r="U911" i="2" s="1"/>
  <c r="U912" i="2" a="1"/>
  <c r="U912" i="2" s="1"/>
  <c r="U913" i="2" a="1"/>
  <c r="U913" i="2" s="1"/>
  <c r="U914" i="2" a="1"/>
  <c r="U914" i="2" s="1"/>
  <c r="U915" i="2" a="1"/>
  <c r="U915" i="2" s="1"/>
  <c r="U916" i="2" a="1"/>
  <c r="U916" i="2" s="1"/>
  <c r="U917" i="2" a="1"/>
  <c r="U917" i="2"/>
  <c r="U918" i="2" a="1"/>
  <c r="U918" i="2" s="1"/>
  <c r="U919" i="2" a="1"/>
  <c r="U919" i="2" s="1"/>
  <c r="U920" i="2" a="1"/>
  <c r="U920" i="2"/>
  <c r="U921" i="2" a="1"/>
  <c r="U921" i="2" s="1"/>
  <c r="U922" i="2" a="1"/>
  <c r="U922" i="2" s="1"/>
  <c r="U923" i="2" a="1"/>
  <c r="U923" i="2" s="1"/>
  <c r="U924" i="2" a="1"/>
  <c r="U924" i="2" s="1"/>
  <c r="U925" i="2" a="1"/>
  <c r="U925" i="2" s="1"/>
  <c r="U926" i="2" a="1"/>
  <c r="U926" i="2"/>
  <c r="U927" i="2" a="1"/>
  <c r="U927" i="2" s="1"/>
  <c r="U928" i="2" a="1"/>
  <c r="U928" i="2" s="1"/>
  <c r="U929" i="2" a="1"/>
  <c r="U929" i="2"/>
  <c r="U930" i="2" a="1"/>
  <c r="U930" i="2" s="1"/>
  <c r="U931" i="2" a="1"/>
  <c r="U931" i="2" s="1"/>
  <c r="U932" i="2" a="1"/>
  <c r="U932" i="2" s="1"/>
  <c r="U933" i="2" a="1"/>
  <c r="U933" i="2" s="1"/>
  <c r="U934" i="2" a="1"/>
  <c r="U934" i="2" s="1"/>
  <c r="U935" i="2" a="1"/>
  <c r="U935" i="2" s="1"/>
  <c r="U936" i="2" a="1"/>
  <c r="U936" i="2" s="1"/>
  <c r="U937" i="2" a="1"/>
  <c r="U937" i="2" s="1"/>
  <c r="U938" i="2" a="1"/>
  <c r="U938" i="2"/>
  <c r="U939" i="2" a="1"/>
  <c r="U939" i="2" s="1"/>
  <c r="U940" i="2" a="1"/>
  <c r="U940" i="2"/>
  <c r="U941" i="2" a="1"/>
  <c r="U941" i="2" s="1"/>
  <c r="U942" i="2" a="1"/>
  <c r="U942" i="2" s="1"/>
  <c r="U943" i="2" a="1"/>
  <c r="U943" i="2" s="1"/>
  <c r="U944" i="2" a="1"/>
  <c r="U944" i="2" s="1"/>
  <c r="U945" i="2" a="1"/>
  <c r="U945" i="2" s="1"/>
  <c r="U946" i="2" a="1"/>
  <c r="U946" i="2" s="1"/>
  <c r="U947" i="2" a="1"/>
  <c r="U947" i="2" s="1"/>
  <c r="U948" i="2" a="1"/>
  <c r="U948" i="2" s="1"/>
  <c r="U949" i="2" a="1"/>
  <c r="U949" i="2"/>
  <c r="U950" i="2" a="1"/>
  <c r="U950" i="2" s="1"/>
  <c r="U951" i="2" a="1"/>
  <c r="U951" i="2" s="1"/>
  <c r="U952" i="2" a="1"/>
  <c r="U952" i="2"/>
  <c r="U953" i="2" a="1"/>
  <c r="U953" i="2" s="1"/>
  <c r="U954" i="2" a="1"/>
  <c r="U954" i="2" s="1"/>
  <c r="U955" i="2" a="1"/>
  <c r="U955" i="2" s="1"/>
  <c r="U956" i="2" a="1"/>
  <c r="U956" i="2" s="1"/>
  <c r="U957" i="2" a="1"/>
  <c r="U957" i="2" s="1"/>
  <c r="U958" i="2" a="1"/>
  <c r="U958" i="2"/>
  <c r="U959" i="2" a="1"/>
  <c r="U959" i="2" s="1"/>
  <c r="U960" i="2" a="1"/>
  <c r="U960" i="2" s="1"/>
  <c r="U961" i="2" a="1"/>
  <c r="U961" i="2"/>
  <c r="U962" i="2" a="1"/>
  <c r="U962" i="2" s="1"/>
  <c r="U963" i="2" a="1"/>
  <c r="U963" i="2" s="1"/>
  <c r="U964" i="2" a="1"/>
  <c r="U964" i="2" s="1"/>
  <c r="U965" i="2" a="1"/>
  <c r="U965" i="2"/>
  <c r="U966" i="2" a="1"/>
  <c r="U966" i="2" s="1"/>
  <c r="U967" i="2" a="1"/>
  <c r="U967" i="2" s="1"/>
  <c r="U968" i="2" a="1"/>
  <c r="U968" i="2" s="1"/>
  <c r="U969" i="2" a="1"/>
  <c r="U969" i="2"/>
  <c r="U970" i="2" a="1"/>
  <c r="U970" i="2" s="1"/>
  <c r="U971" i="2" a="1"/>
  <c r="U971" i="2" s="1"/>
  <c r="U972" i="2" a="1"/>
  <c r="U972" i="2" s="1"/>
  <c r="U973" i="2" a="1"/>
  <c r="U973" i="2"/>
  <c r="U974" i="2" a="1"/>
  <c r="U974" i="2" s="1"/>
  <c r="U975" i="2" a="1"/>
  <c r="U975" i="2" s="1"/>
  <c r="U976" i="2" a="1"/>
  <c r="U976" i="2" s="1"/>
  <c r="U977" i="2" a="1"/>
  <c r="U977" i="2"/>
  <c r="U978" i="2" a="1"/>
  <c r="U978" i="2" s="1"/>
  <c r="U979" i="2" a="1"/>
  <c r="U979" i="2" s="1"/>
  <c r="U980" i="2" a="1"/>
  <c r="U980" i="2" s="1"/>
  <c r="U981" i="2" a="1"/>
  <c r="U981" i="2"/>
  <c r="U982" i="2" a="1"/>
  <c r="U982" i="2" s="1"/>
  <c r="U983" i="2" a="1"/>
  <c r="U983" i="2" s="1"/>
  <c r="U984" i="2" a="1"/>
  <c r="U984" i="2" s="1"/>
  <c r="U985" i="2" a="1"/>
  <c r="U985" i="2"/>
  <c r="U986" i="2" a="1"/>
  <c r="U986" i="2" s="1"/>
  <c r="U987" i="2" a="1"/>
  <c r="U987" i="2" s="1"/>
  <c r="U988" i="2" a="1"/>
  <c r="U988" i="2" s="1"/>
  <c r="U989" i="2" a="1"/>
  <c r="U989" i="2"/>
  <c r="U990" i="2" a="1"/>
  <c r="U990" i="2" s="1"/>
  <c r="U991" i="2" a="1"/>
  <c r="U991" i="2" s="1"/>
  <c r="U992" i="2" a="1"/>
  <c r="U992" i="2" s="1"/>
  <c r="U993" i="2" a="1"/>
  <c r="U993" i="2"/>
  <c r="U994" i="2" a="1"/>
  <c r="U994" i="2" s="1"/>
  <c r="U995" i="2" a="1"/>
  <c r="U995" i="2" s="1"/>
  <c r="U996" i="2" a="1"/>
  <c r="U996" i="2" s="1"/>
  <c r="U997" i="2" a="1"/>
  <c r="U997" i="2"/>
  <c r="U998" i="2" a="1"/>
  <c r="U998" i="2" s="1"/>
  <c r="U999" i="2" a="1"/>
  <c r="U999" i="2" s="1"/>
  <c r="U1000" i="2" a="1"/>
  <c r="U1000" i="2" s="1"/>
  <c r="U1001" i="2" a="1"/>
  <c r="U1001" i="2"/>
  <c r="U2" i="2" a="1"/>
  <c r="U2" i="2" s="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2" i="2"/>
  <c r="O7" i="2"/>
  <c r="P7" i="2" s="1" a="1"/>
  <c r="P7" i="2" s="1"/>
  <c r="O2" i="2"/>
  <c r="O3" i="2"/>
  <c r="P3" i="2" s="1" a="1"/>
  <c r="P3" i="2" s="1"/>
  <c r="O4" i="2"/>
  <c r="P4" i="2" s="1" a="1"/>
  <c r="P4" i="2" s="1"/>
  <c r="O5" i="2"/>
  <c r="P5" i="2" s="1" a="1"/>
  <c r="P5" i="2" s="1"/>
  <c r="O6" i="2"/>
  <c r="P6" i="2" s="1" a="1"/>
  <c r="P6" i="2" s="1"/>
  <c r="O8" i="2"/>
  <c r="P8" i="2" s="1" a="1"/>
  <c r="P8" i="2" s="1"/>
  <c r="O9" i="2"/>
  <c r="P9" i="2" s="1" a="1"/>
  <c r="P9" i="2" s="1"/>
  <c r="O10" i="2"/>
  <c r="P10" i="2" s="1" a="1"/>
  <c r="P10" i="2" s="1"/>
  <c r="O11" i="2"/>
  <c r="P11" i="2" s="1" a="1"/>
  <c r="P11" i="2" s="1"/>
  <c r="O12" i="2"/>
  <c r="P12" i="2" s="1" a="1"/>
  <c r="P12" i="2" s="1"/>
  <c r="O13" i="2"/>
  <c r="P13" i="2" s="1" a="1"/>
  <c r="P13" i="2" s="1"/>
  <c r="O14" i="2"/>
  <c r="P14" i="2" s="1" a="1"/>
  <c r="P14" i="2" s="1"/>
  <c r="O15" i="2"/>
  <c r="P15" i="2" s="1" a="1"/>
  <c r="P15" i="2" s="1"/>
  <c r="O16" i="2"/>
  <c r="P16" i="2" s="1" a="1"/>
  <c r="P16" i="2" s="1"/>
  <c r="O17" i="2"/>
  <c r="P17" i="2" s="1" a="1"/>
  <c r="P17" i="2" s="1"/>
  <c r="O18" i="2"/>
  <c r="P18" i="2" s="1" a="1"/>
  <c r="P18" i="2" s="1"/>
  <c r="O19" i="2"/>
  <c r="P19" i="2" s="1" a="1"/>
  <c r="P19" i="2" s="1"/>
  <c r="O20" i="2"/>
  <c r="P20" i="2" s="1" a="1"/>
  <c r="P20" i="2" s="1"/>
  <c r="O21" i="2"/>
  <c r="P21" i="2" s="1" a="1"/>
  <c r="P21" i="2" s="1"/>
  <c r="O22" i="2"/>
  <c r="P22" i="2" s="1" a="1"/>
  <c r="P22" i="2" s="1"/>
  <c r="O23" i="2"/>
  <c r="P23" i="2" s="1" a="1"/>
  <c r="P23" i="2" s="1"/>
  <c r="O24" i="2"/>
  <c r="P24" i="2" s="1" a="1"/>
  <c r="P24" i="2" s="1"/>
  <c r="O25" i="2"/>
  <c r="P25" i="2" s="1" a="1"/>
  <c r="P25" i="2" s="1"/>
  <c r="O26" i="2"/>
  <c r="P26" i="2" s="1" a="1"/>
  <c r="P26" i="2" s="1"/>
  <c r="O27" i="2"/>
  <c r="P27" i="2" s="1" a="1"/>
  <c r="P27" i="2" s="1"/>
  <c r="O28" i="2"/>
  <c r="P28" i="2" s="1" a="1"/>
  <c r="P28" i="2" s="1"/>
  <c r="O29" i="2"/>
  <c r="P29" i="2" s="1" a="1"/>
  <c r="P29" i="2" s="1"/>
  <c r="O30" i="2"/>
  <c r="P30" i="2" s="1" a="1"/>
  <c r="P30" i="2" s="1"/>
  <c r="O31" i="2"/>
  <c r="P31" i="2" s="1" a="1"/>
  <c r="P31" i="2" s="1"/>
  <c r="O32" i="2"/>
  <c r="P32" i="2" s="1" a="1"/>
  <c r="P32" i="2" s="1"/>
  <c r="O33" i="2"/>
  <c r="P33" i="2" s="1" a="1"/>
  <c r="P33" i="2" s="1"/>
  <c r="O34" i="2"/>
  <c r="P34" i="2" s="1" a="1"/>
  <c r="P34" i="2" s="1"/>
  <c r="O35" i="2"/>
  <c r="P35" i="2" s="1" a="1"/>
  <c r="P35" i="2" s="1"/>
  <c r="O36" i="2"/>
  <c r="P36" i="2" s="1" a="1"/>
  <c r="P36" i="2" s="1"/>
  <c r="O37" i="2"/>
  <c r="P37" i="2" s="1" a="1"/>
  <c r="P37" i="2" s="1"/>
  <c r="O38" i="2"/>
  <c r="P38" i="2" s="1" a="1"/>
  <c r="P38" i="2" s="1"/>
  <c r="O39" i="2"/>
  <c r="P39" i="2" s="1" a="1"/>
  <c r="P39" i="2" s="1"/>
  <c r="O40" i="2"/>
  <c r="P40" i="2" s="1" a="1"/>
  <c r="P40" i="2" s="1"/>
  <c r="O41" i="2"/>
  <c r="P41" i="2" s="1" a="1"/>
  <c r="P41" i="2" s="1"/>
  <c r="O42" i="2"/>
  <c r="P42" i="2" s="1" a="1"/>
  <c r="P42" i="2" s="1"/>
  <c r="O43" i="2"/>
  <c r="P43" i="2" s="1" a="1"/>
  <c r="P43" i="2" s="1"/>
  <c r="O44" i="2"/>
  <c r="P44" i="2" s="1" a="1"/>
  <c r="P44" i="2" s="1"/>
  <c r="O45" i="2"/>
  <c r="P45" i="2" s="1" a="1"/>
  <c r="P45" i="2" s="1"/>
  <c r="O46" i="2"/>
  <c r="P46" i="2" s="1" a="1"/>
  <c r="P46" i="2" s="1"/>
  <c r="O47" i="2"/>
  <c r="P47" i="2" s="1" a="1"/>
  <c r="P47" i="2" s="1"/>
  <c r="O48" i="2"/>
  <c r="P48" i="2" s="1" a="1"/>
  <c r="P48" i="2" s="1"/>
  <c r="O49" i="2"/>
  <c r="P49" i="2" s="1" a="1"/>
  <c r="P49" i="2" s="1"/>
  <c r="O50" i="2"/>
  <c r="P50" i="2" s="1" a="1"/>
  <c r="P50" i="2" s="1"/>
  <c r="O51" i="2"/>
  <c r="P51" i="2" s="1" a="1"/>
  <c r="P51" i="2" s="1"/>
  <c r="O52" i="2"/>
  <c r="P52" i="2" s="1" a="1"/>
  <c r="P52" i="2" s="1"/>
  <c r="O53" i="2"/>
  <c r="P53" i="2" s="1" a="1"/>
  <c r="P53" i="2" s="1"/>
  <c r="O54" i="2"/>
  <c r="P54" i="2" s="1" a="1"/>
  <c r="P54" i="2" s="1"/>
  <c r="O55" i="2"/>
  <c r="P55" i="2" s="1" a="1"/>
  <c r="P55" i="2" s="1"/>
  <c r="O56" i="2"/>
  <c r="P56" i="2" s="1" a="1"/>
  <c r="P56" i="2" s="1"/>
  <c r="O57" i="2"/>
  <c r="P57" i="2" s="1" a="1"/>
  <c r="P57" i="2" s="1"/>
  <c r="O58" i="2"/>
  <c r="P58" i="2" s="1" a="1"/>
  <c r="P58" i="2" s="1"/>
  <c r="O59" i="2"/>
  <c r="P59" i="2" s="1" a="1"/>
  <c r="P59" i="2" s="1"/>
  <c r="O60" i="2"/>
  <c r="P60" i="2" s="1" a="1"/>
  <c r="P60" i="2" s="1"/>
  <c r="O61" i="2"/>
  <c r="P61" i="2" s="1" a="1"/>
  <c r="P61" i="2" s="1"/>
  <c r="O62" i="2"/>
  <c r="P62" i="2" s="1" a="1"/>
  <c r="P62" i="2" s="1"/>
  <c r="O63" i="2"/>
  <c r="P63" i="2" s="1" a="1"/>
  <c r="P63" i="2" s="1"/>
  <c r="O64" i="2"/>
  <c r="P64" i="2" s="1" a="1"/>
  <c r="P64" i="2" s="1"/>
  <c r="O65" i="2"/>
  <c r="P65" i="2" s="1" a="1"/>
  <c r="P65" i="2" s="1"/>
  <c r="O66" i="2"/>
  <c r="P66" i="2" s="1" a="1"/>
  <c r="P66" i="2" s="1"/>
  <c r="O67" i="2"/>
  <c r="P67" i="2" s="1" a="1"/>
  <c r="P67" i="2" s="1"/>
  <c r="O68" i="2"/>
  <c r="P68" i="2" s="1" a="1"/>
  <c r="P68" i="2" s="1"/>
  <c r="O69" i="2"/>
  <c r="P69" i="2" s="1" a="1"/>
  <c r="P69" i="2" s="1"/>
  <c r="O70" i="2"/>
  <c r="P70" i="2" s="1" a="1"/>
  <c r="P70" i="2" s="1"/>
  <c r="O71" i="2"/>
  <c r="P71" i="2" s="1" a="1"/>
  <c r="P71" i="2" s="1"/>
  <c r="O72" i="2"/>
  <c r="P72" i="2" s="1" a="1"/>
  <c r="P72" i="2" s="1"/>
  <c r="O73" i="2"/>
  <c r="P73" i="2" s="1" a="1"/>
  <c r="P73" i="2" s="1"/>
  <c r="O74" i="2"/>
  <c r="P74" i="2" s="1" a="1"/>
  <c r="P74" i="2" s="1"/>
  <c r="O75" i="2"/>
  <c r="P75" i="2" s="1" a="1"/>
  <c r="P75" i="2" s="1"/>
  <c r="O76" i="2"/>
  <c r="P76" i="2" s="1" a="1"/>
  <c r="P76" i="2" s="1"/>
  <c r="O77" i="2"/>
  <c r="P77" i="2" s="1" a="1"/>
  <c r="P77" i="2" s="1"/>
  <c r="O78" i="2"/>
  <c r="P78" i="2" s="1" a="1"/>
  <c r="P78" i="2" s="1"/>
  <c r="O79" i="2"/>
  <c r="P79" i="2" s="1" a="1"/>
  <c r="P79" i="2" s="1"/>
  <c r="O80" i="2"/>
  <c r="P80" i="2" s="1" a="1"/>
  <c r="P80" i="2" s="1"/>
  <c r="O81" i="2"/>
  <c r="P81" i="2" s="1" a="1"/>
  <c r="P81" i="2" s="1"/>
  <c r="O82" i="2"/>
  <c r="P82" i="2" s="1" a="1"/>
  <c r="P82" i="2" s="1"/>
  <c r="O83" i="2"/>
  <c r="P83" i="2" s="1" a="1"/>
  <c r="P83" i="2" s="1"/>
  <c r="O84" i="2"/>
  <c r="P84" i="2" s="1" a="1"/>
  <c r="P84" i="2" s="1"/>
  <c r="O85" i="2"/>
  <c r="P85" i="2" s="1" a="1"/>
  <c r="P85" i="2" s="1"/>
  <c r="O86" i="2"/>
  <c r="P86" i="2" s="1" a="1"/>
  <c r="P86" i="2" s="1"/>
  <c r="O87" i="2"/>
  <c r="P87" i="2" s="1" a="1"/>
  <c r="P87" i="2" s="1"/>
  <c r="O88" i="2"/>
  <c r="P88" i="2" s="1" a="1"/>
  <c r="P88" i="2" s="1"/>
  <c r="O89" i="2"/>
  <c r="P89" i="2" s="1" a="1"/>
  <c r="P89" i="2" s="1"/>
  <c r="O90" i="2"/>
  <c r="P90" i="2" s="1" a="1"/>
  <c r="P90" i="2" s="1"/>
  <c r="O91" i="2"/>
  <c r="P91" i="2" s="1" a="1"/>
  <c r="P91" i="2" s="1"/>
  <c r="O92" i="2"/>
  <c r="P92" i="2" s="1" a="1"/>
  <c r="P92" i="2" s="1"/>
  <c r="O93" i="2"/>
  <c r="P93" i="2" s="1" a="1"/>
  <c r="P93" i="2" s="1"/>
  <c r="O94" i="2"/>
  <c r="P94" i="2" s="1" a="1"/>
  <c r="P94" i="2" s="1"/>
  <c r="O95" i="2"/>
  <c r="P95" i="2" s="1" a="1"/>
  <c r="P95" i="2" s="1"/>
  <c r="O96" i="2"/>
  <c r="P96" i="2" s="1" a="1"/>
  <c r="P96" i="2" s="1"/>
  <c r="O97" i="2"/>
  <c r="P97" i="2" s="1" a="1"/>
  <c r="P97" i="2" s="1"/>
  <c r="O98" i="2"/>
  <c r="P98" i="2" s="1" a="1"/>
  <c r="P98" i="2" s="1"/>
  <c r="O99" i="2"/>
  <c r="P99" i="2" s="1" a="1"/>
  <c r="P99" i="2" s="1"/>
  <c r="O100" i="2"/>
  <c r="P100" i="2" s="1" a="1"/>
  <c r="P100" i="2" s="1"/>
  <c r="O101" i="2"/>
  <c r="P101" i="2" s="1" a="1"/>
  <c r="P101" i="2" s="1"/>
  <c r="O102" i="2"/>
  <c r="P102" i="2" s="1" a="1"/>
  <c r="P102" i="2" s="1"/>
  <c r="O103" i="2"/>
  <c r="P103" i="2" s="1" a="1"/>
  <c r="P103" i="2" s="1"/>
  <c r="O104" i="2"/>
  <c r="P104" i="2" s="1" a="1"/>
  <c r="P104" i="2" s="1"/>
  <c r="O105" i="2"/>
  <c r="P105" i="2" s="1" a="1"/>
  <c r="P105" i="2" s="1"/>
  <c r="O106" i="2"/>
  <c r="P106" i="2" s="1" a="1"/>
  <c r="P106" i="2" s="1"/>
  <c r="O107" i="2"/>
  <c r="P107" i="2" s="1" a="1"/>
  <c r="P107" i="2" s="1"/>
  <c r="O108" i="2"/>
  <c r="P108" i="2" s="1" a="1"/>
  <c r="P108" i="2" s="1"/>
  <c r="O109" i="2"/>
  <c r="P109" i="2" s="1" a="1"/>
  <c r="P109" i="2" s="1"/>
  <c r="O110" i="2"/>
  <c r="P110" i="2" s="1" a="1"/>
  <c r="P110" i="2" s="1"/>
  <c r="O111" i="2"/>
  <c r="P111" i="2" s="1" a="1"/>
  <c r="P111" i="2" s="1"/>
  <c r="O112" i="2"/>
  <c r="P112" i="2" s="1" a="1"/>
  <c r="P112" i="2" s="1"/>
  <c r="O113" i="2"/>
  <c r="P113" i="2" s="1" a="1"/>
  <c r="P113" i="2" s="1"/>
  <c r="O114" i="2"/>
  <c r="P114" i="2" s="1" a="1"/>
  <c r="P114" i="2" s="1"/>
  <c r="O115" i="2"/>
  <c r="P115" i="2" s="1" a="1"/>
  <c r="P115" i="2" s="1"/>
  <c r="O116" i="2"/>
  <c r="P116" i="2" s="1" a="1"/>
  <c r="P116" i="2" s="1"/>
  <c r="O117" i="2"/>
  <c r="P117" i="2" s="1" a="1"/>
  <c r="P117" i="2" s="1"/>
  <c r="O118" i="2"/>
  <c r="P118" i="2" s="1" a="1"/>
  <c r="P118" i="2" s="1"/>
  <c r="O119" i="2"/>
  <c r="P119" i="2" s="1" a="1"/>
  <c r="P119" i="2" s="1"/>
  <c r="O120" i="2"/>
  <c r="P120" i="2" s="1" a="1"/>
  <c r="P120" i="2" s="1"/>
  <c r="O121" i="2"/>
  <c r="P121" i="2" s="1" a="1"/>
  <c r="P121" i="2" s="1"/>
  <c r="O122" i="2"/>
  <c r="P122" i="2" s="1" a="1"/>
  <c r="P122" i="2" s="1"/>
  <c r="O123" i="2"/>
  <c r="P123" i="2" s="1" a="1"/>
  <c r="P123" i="2" s="1"/>
  <c r="O124" i="2"/>
  <c r="P124" i="2" s="1" a="1"/>
  <c r="P124" i="2" s="1"/>
  <c r="O125" i="2"/>
  <c r="P125" i="2" s="1" a="1"/>
  <c r="P125" i="2" s="1"/>
  <c r="O126" i="2"/>
  <c r="P126" i="2" s="1" a="1"/>
  <c r="P126" i="2" s="1"/>
  <c r="O127" i="2"/>
  <c r="P127" i="2" s="1" a="1"/>
  <c r="P127" i="2" s="1"/>
  <c r="O128" i="2"/>
  <c r="P128" i="2" s="1" a="1"/>
  <c r="P128" i="2" s="1"/>
  <c r="O129" i="2"/>
  <c r="P129" i="2" s="1" a="1"/>
  <c r="P129" i="2" s="1"/>
  <c r="O130" i="2"/>
  <c r="P130" i="2" s="1" a="1"/>
  <c r="P130" i="2" s="1"/>
  <c r="O131" i="2"/>
  <c r="P131" i="2" s="1" a="1"/>
  <c r="P131" i="2" s="1"/>
  <c r="O132" i="2"/>
  <c r="P132" i="2" s="1" a="1"/>
  <c r="P132" i="2" s="1"/>
  <c r="O133" i="2"/>
  <c r="P133" i="2" s="1" a="1"/>
  <c r="P133" i="2" s="1"/>
  <c r="O134" i="2"/>
  <c r="P134" i="2" s="1" a="1"/>
  <c r="P134" i="2" s="1"/>
  <c r="O135" i="2"/>
  <c r="P135" i="2" s="1" a="1"/>
  <c r="P135" i="2" s="1"/>
  <c r="O136" i="2"/>
  <c r="P136" i="2" s="1" a="1"/>
  <c r="P136" i="2" s="1"/>
  <c r="O137" i="2"/>
  <c r="P137" i="2" s="1" a="1"/>
  <c r="P137" i="2" s="1"/>
  <c r="O138" i="2"/>
  <c r="P138" i="2" s="1" a="1"/>
  <c r="P138" i="2" s="1"/>
  <c r="O139" i="2"/>
  <c r="P139" i="2" s="1" a="1"/>
  <c r="P139" i="2" s="1"/>
  <c r="O140" i="2"/>
  <c r="P140" i="2" s="1" a="1"/>
  <c r="P140" i="2" s="1"/>
  <c r="O141" i="2"/>
  <c r="P141" i="2" s="1" a="1"/>
  <c r="P141" i="2" s="1"/>
  <c r="O142" i="2"/>
  <c r="P142" i="2" s="1" a="1"/>
  <c r="P142" i="2" s="1"/>
  <c r="O143" i="2"/>
  <c r="P143" i="2" s="1" a="1"/>
  <c r="P143" i="2" s="1"/>
  <c r="O144" i="2"/>
  <c r="P144" i="2" s="1" a="1"/>
  <c r="P144" i="2" s="1"/>
  <c r="O145" i="2"/>
  <c r="P145" i="2" s="1" a="1"/>
  <c r="P145" i="2" s="1"/>
  <c r="O146" i="2"/>
  <c r="P146" i="2" s="1" a="1"/>
  <c r="P146" i="2" s="1"/>
  <c r="O147" i="2"/>
  <c r="P147" i="2" s="1" a="1"/>
  <c r="P147" i="2" s="1"/>
  <c r="O148" i="2"/>
  <c r="P148" i="2" s="1" a="1"/>
  <c r="P148" i="2" s="1"/>
  <c r="O149" i="2"/>
  <c r="P149" i="2" s="1" a="1"/>
  <c r="P149" i="2" s="1"/>
  <c r="O150" i="2"/>
  <c r="P150" i="2" s="1" a="1"/>
  <c r="P150" i="2" s="1"/>
  <c r="O151" i="2"/>
  <c r="P151" i="2" s="1" a="1"/>
  <c r="P151" i="2" s="1"/>
  <c r="O152" i="2"/>
  <c r="P152" i="2" s="1" a="1"/>
  <c r="P152" i="2" s="1"/>
  <c r="O153" i="2"/>
  <c r="P153" i="2" s="1" a="1"/>
  <c r="P153" i="2" s="1"/>
  <c r="O154" i="2"/>
  <c r="P154" i="2" s="1" a="1"/>
  <c r="P154" i="2" s="1"/>
  <c r="O155" i="2"/>
  <c r="P155" i="2" s="1" a="1"/>
  <c r="P155" i="2" s="1"/>
  <c r="O156" i="2"/>
  <c r="P156" i="2" s="1" a="1"/>
  <c r="P156" i="2" s="1"/>
  <c r="O157" i="2"/>
  <c r="P157" i="2" s="1" a="1"/>
  <c r="P157" i="2" s="1"/>
  <c r="O158" i="2"/>
  <c r="P158" i="2" s="1" a="1"/>
  <c r="P158" i="2" s="1"/>
  <c r="O159" i="2"/>
  <c r="P159" i="2" s="1" a="1"/>
  <c r="P159" i="2" s="1"/>
  <c r="O160" i="2"/>
  <c r="P160" i="2" s="1" a="1"/>
  <c r="P160" i="2" s="1"/>
  <c r="O161" i="2"/>
  <c r="P161" i="2" s="1" a="1"/>
  <c r="P161" i="2" s="1"/>
  <c r="O162" i="2"/>
  <c r="P162" i="2" s="1" a="1"/>
  <c r="P162" i="2" s="1"/>
  <c r="O163" i="2"/>
  <c r="P163" i="2" s="1" a="1"/>
  <c r="P163" i="2" s="1"/>
  <c r="O164" i="2"/>
  <c r="P164" i="2" s="1" a="1"/>
  <c r="P164" i="2" s="1"/>
  <c r="O165" i="2"/>
  <c r="P165" i="2" s="1" a="1"/>
  <c r="P165" i="2" s="1"/>
  <c r="O166" i="2"/>
  <c r="P166" i="2" s="1" a="1"/>
  <c r="P166" i="2" s="1"/>
  <c r="O167" i="2"/>
  <c r="P167" i="2" s="1" a="1"/>
  <c r="P167" i="2" s="1"/>
  <c r="O168" i="2"/>
  <c r="P168" i="2" s="1" a="1"/>
  <c r="P168" i="2" s="1"/>
  <c r="O169" i="2"/>
  <c r="P169" i="2" s="1" a="1"/>
  <c r="P169" i="2" s="1"/>
  <c r="O170" i="2"/>
  <c r="P170" i="2" s="1" a="1"/>
  <c r="P170" i="2" s="1"/>
  <c r="O171" i="2"/>
  <c r="P171" i="2" s="1" a="1"/>
  <c r="P171" i="2" s="1"/>
  <c r="O172" i="2"/>
  <c r="P172" i="2" s="1" a="1"/>
  <c r="P172" i="2" s="1"/>
  <c r="O173" i="2"/>
  <c r="P173" i="2" s="1" a="1"/>
  <c r="P173" i="2" s="1"/>
  <c r="O174" i="2"/>
  <c r="P174" i="2" s="1" a="1"/>
  <c r="P174" i="2" s="1"/>
  <c r="O175" i="2"/>
  <c r="P175" i="2" s="1" a="1"/>
  <c r="P175" i="2" s="1"/>
  <c r="O176" i="2"/>
  <c r="P176" i="2" s="1" a="1"/>
  <c r="P176" i="2" s="1"/>
  <c r="O177" i="2"/>
  <c r="P177" i="2" s="1" a="1"/>
  <c r="P177" i="2" s="1"/>
  <c r="O178" i="2"/>
  <c r="P178" i="2" s="1" a="1"/>
  <c r="P178" i="2" s="1"/>
  <c r="O179" i="2"/>
  <c r="P179" i="2" s="1" a="1"/>
  <c r="P179" i="2" s="1"/>
  <c r="O180" i="2"/>
  <c r="P180" i="2" s="1" a="1"/>
  <c r="P180" i="2" s="1"/>
  <c r="O181" i="2"/>
  <c r="P181" i="2" s="1" a="1"/>
  <c r="P181" i="2" s="1"/>
  <c r="O182" i="2"/>
  <c r="P182" i="2" s="1" a="1"/>
  <c r="P182" i="2" s="1"/>
  <c r="O183" i="2"/>
  <c r="P183" i="2" s="1" a="1"/>
  <c r="P183" i="2" s="1"/>
  <c r="O184" i="2"/>
  <c r="P184" i="2" s="1" a="1"/>
  <c r="P184" i="2" s="1"/>
  <c r="O185" i="2"/>
  <c r="P185" i="2" s="1" a="1"/>
  <c r="P185" i="2" s="1"/>
  <c r="O186" i="2"/>
  <c r="P186" i="2" s="1" a="1"/>
  <c r="P186" i="2" s="1"/>
  <c r="O187" i="2"/>
  <c r="P187" i="2" s="1" a="1"/>
  <c r="P187" i="2" s="1"/>
  <c r="O188" i="2"/>
  <c r="P188" i="2" s="1" a="1"/>
  <c r="P188" i="2" s="1"/>
  <c r="O189" i="2"/>
  <c r="P189" i="2" s="1" a="1"/>
  <c r="P189" i="2" s="1"/>
  <c r="O190" i="2"/>
  <c r="P190" i="2" s="1" a="1"/>
  <c r="P190" i="2" s="1"/>
  <c r="O191" i="2"/>
  <c r="P191" i="2" s="1" a="1"/>
  <c r="P191" i="2" s="1"/>
  <c r="O192" i="2"/>
  <c r="P192" i="2" s="1" a="1"/>
  <c r="P192" i="2" s="1"/>
  <c r="O193" i="2"/>
  <c r="P193" i="2" s="1" a="1"/>
  <c r="P193" i="2" s="1"/>
  <c r="O194" i="2"/>
  <c r="P194" i="2" s="1" a="1"/>
  <c r="P194" i="2" s="1"/>
  <c r="O195" i="2"/>
  <c r="P195" i="2" s="1" a="1"/>
  <c r="P195" i="2" s="1"/>
  <c r="O196" i="2"/>
  <c r="P196" i="2" s="1" a="1"/>
  <c r="P196" i="2" s="1"/>
  <c r="O197" i="2"/>
  <c r="P197" i="2" s="1" a="1"/>
  <c r="P197" i="2" s="1"/>
  <c r="O198" i="2"/>
  <c r="P198" i="2" s="1" a="1"/>
  <c r="P198" i="2" s="1"/>
  <c r="O199" i="2"/>
  <c r="P199" i="2" s="1" a="1"/>
  <c r="P199" i="2" s="1"/>
  <c r="O200" i="2"/>
  <c r="P200" i="2" s="1" a="1"/>
  <c r="P200" i="2" s="1"/>
  <c r="O201" i="2"/>
  <c r="P201" i="2" s="1" a="1"/>
  <c r="P201" i="2" s="1"/>
  <c r="O202" i="2"/>
  <c r="P202" i="2" s="1" a="1"/>
  <c r="P202" i="2" s="1"/>
  <c r="O203" i="2"/>
  <c r="P203" i="2" s="1" a="1"/>
  <c r="P203" i="2" s="1"/>
  <c r="O204" i="2"/>
  <c r="P204" i="2" s="1" a="1"/>
  <c r="P204" i="2" s="1"/>
  <c r="O205" i="2"/>
  <c r="P205" i="2" s="1" a="1"/>
  <c r="P205" i="2" s="1"/>
  <c r="O206" i="2"/>
  <c r="P206" i="2" s="1" a="1"/>
  <c r="P206" i="2" s="1"/>
  <c r="O207" i="2"/>
  <c r="P207" i="2" s="1" a="1"/>
  <c r="P207" i="2" s="1"/>
  <c r="O208" i="2"/>
  <c r="P208" i="2" s="1" a="1"/>
  <c r="P208" i="2" s="1"/>
  <c r="O209" i="2"/>
  <c r="P209" i="2" s="1" a="1"/>
  <c r="P209" i="2" s="1"/>
  <c r="O210" i="2"/>
  <c r="P210" i="2" s="1" a="1"/>
  <c r="P210" i="2" s="1"/>
  <c r="O211" i="2"/>
  <c r="P211" i="2" s="1" a="1"/>
  <c r="P211" i="2" s="1"/>
  <c r="O212" i="2"/>
  <c r="P212" i="2" s="1" a="1"/>
  <c r="P212" i="2" s="1"/>
  <c r="O213" i="2"/>
  <c r="P213" i="2" s="1" a="1"/>
  <c r="P213" i="2" s="1"/>
  <c r="O214" i="2"/>
  <c r="P214" i="2" s="1" a="1"/>
  <c r="P214" i="2" s="1"/>
  <c r="O215" i="2"/>
  <c r="P215" i="2" s="1" a="1"/>
  <c r="P215" i="2" s="1"/>
  <c r="O216" i="2"/>
  <c r="P216" i="2" s="1" a="1"/>
  <c r="P216" i="2" s="1"/>
  <c r="O217" i="2"/>
  <c r="P217" i="2" s="1" a="1"/>
  <c r="P217" i="2" s="1"/>
  <c r="O218" i="2"/>
  <c r="P218" i="2" s="1" a="1"/>
  <c r="P218" i="2" s="1"/>
  <c r="O219" i="2"/>
  <c r="P219" i="2" s="1" a="1"/>
  <c r="P219" i="2" s="1"/>
  <c r="O220" i="2"/>
  <c r="P220" i="2" s="1" a="1"/>
  <c r="P220" i="2" s="1"/>
  <c r="O221" i="2"/>
  <c r="P221" i="2" s="1" a="1"/>
  <c r="P221" i="2" s="1"/>
  <c r="O222" i="2"/>
  <c r="P222" i="2" s="1" a="1"/>
  <c r="P222" i="2" s="1"/>
  <c r="O223" i="2"/>
  <c r="P223" i="2" s="1" a="1"/>
  <c r="P223" i="2" s="1"/>
  <c r="O224" i="2"/>
  <c r="P224" i="2" s="1" a="1"/>
  <c r="P224" i="2" s="1"/>
  <c r="O225" i="2"/>
  <c r="P225" i="2" s="1" a="1"/>
  <c r="P225" i="2" s="1"/>
  <c r="O226" i="2"/>
  <c r="P226" i="2" s="1" a="1"/>
  <c r="P226" i="2" s="1"/>
  <c r="O227" i="2"/>
  <c r="P227" i="2" s="1" a="1"/>
  <c r="P227" i="2" s="1"/>
  <c r="O228" i="2"/>
  <c r="P228" i="2" s="1" a="1"/>
  <c r="P228" i="2" s="1"/>
  <c r="O229" i="2"/>
  <c r="P229" i="2" s="1" a="1"/>
  <c r="P229" i="2" s="1"/>
  <c r="O230" i="2"/>
  <c r="P230" i="2" s="1" a="1"/>
  <c r="P230" i="2" s="1"/>
  <c r="O231" i="2"/>
  <c r="P231" i="2" s="1" a="1"/>
  <c r="P231" i="2" s="1"/>
  <c r="O232" i="2"/>
  <c r="P232" i="2" s="1" a="1"/>
  <c r="P232" i="2" s="1"/>
  <c r="O233" i="2"/>
  <c r="P233" i="2" s="1" a="1"/>
  <c r="P233" i="2" s="1"/>
  <c r="O234" i="2"/>
  <c r="P234" i="2" s="1" a="1"/>
  <c r="P234" i="2" s="1"/>
  <c r="O235" i="2"/>
  <c r="P235" i="2" s="1" a="1"/>
  <c r="P235" i="2" s="1"/>
  <c r="O236" i="2"/>
  <c r="P236" i="2" s="1" a="1"/>
  <c r="P236" i="2" s="1"/>
  <c r="O237" i="2"/>
  <c r="P237" i="2" s="1" a="1"/>
  <c r="P237" i="2" s="1"/>
  <c r="O238" i="2"/>
  <c r="P238" i="2" s="1" a="1"/>
  <c r="P238" i="2" s="1"/>
  <c r="O239" i="2"/>
  <c r="P239" i="2" s="1" a="1"/>
  <c r="P239" i="2" s="1"/>
  <c r="O240" i="2"/>
  <c r="P240" i="2" s="1" a="1"/>
  <c r="P240" i="2" s="1"/>
  <c r="O241" i="2"/>
  <c r="P241" i="2" s="1" a="1"/>
  <c r="P241" i="2" s="1"/>
  <c r="O242" i="2"/>
  <c r="P242" i="2" s="1" a="1"/>
  <c r="P242" i="2" s="1"/>
  <c r="O243" i="2"/>
  <c r="P243" i="2" s="1" a="1"/>
  <c r="P243" i="2" s="1"/>
  <c r="O244" i="2"/>
  <c r="P244" i="2" s="1" a="1"/>
  <c r="P244" i="2" s="1"/>
  <c r="O245" i="2"/>
  <c r="P245" i="2" s="1" a="1"/>
  <c r="P245" i="2" s="1"/>
  <c r="O246" i="2"/>
  <c r="P246" i="2" s="1" a="1"/>
  <c r="P246" i="2" s="1"/>
  <c r="O247" i="2"/>
  <c r="P247" i="2" s="1" a="1"/>
  <c r="P247" i="2" s="1"/>
  <c r="O248" i="2"/>
  <c r="P248" i="2" s="1" a="1"/>
  <c r="P248" i="2" s="1"/>
  <c r="O249" i="2"/>
  <c r="P249" i="2" s="1" a="1"/>
  <c r="P249" i="2" s="1"/>
  <c r="O250" i="2"/>
  <c r="P250" i="2" s="1" a="1"/>
  <c r="P250" i="2" s="1"/>
  <c r="O251" i="2"/>
  <c r="P251" i="2" s="1" a="1"/>
  <c r="P251" i="2" s="1"/>
  <c r="O252" i="2"/>
  <c r="P252" i="2" s="1" a="1"/>
  <c r="P252" i="2" s="1"/>
  <c r="O253" i="2"/>
  <c r="P253" i="2" s="1" a="1"/>
  <c r="P253" i="2" s="1"/>
  <c r="O254" i="2"/>
  <c r="P254" i="2" s="1" a="1"/>
  <c r="P254" i="2" s="1"/>
  <c r="O255" i="2"/>
  <c r="P255" i="2" s="1" a="1"/>
  <c r="P255" i="2" s="1"/>
  <c r="O256" i="2"/>
  <c r="P256" i="2" s="1" a="1"/>
  <c r="P256" i="2" s="1"/>
  <c r="O257" i="2"/>
  <c r="P257" i="2" s="1" a="1"/>
  <c r="P257" i="2" s="1"/>
  <c r="O258" i="2"/>
  <c r="P258" i="2" s="1" a="1"/>
  <c r="P258" i="2" s="1"/>
  <c r="O259" i="2"/>
  <c r="P259" i="2" s="1" a="1"/>
  <c r="P259" i="2" s="1"/>
  <c r="O260" i="2"/>
  <c r="P260" i="2" s="1" a="1"/>
  <c r="P260" i="2" s="1"/>
  <c r="O261" i="2"/>
  <c r="P261" i="2" s="1" a="1"/>
  <c r="P261" i="2" s="1"/>
  <c r="O262" i="2"/>
  <c r="P262" i="2" s="1" a="1"/>
  <c r="P262" i="2" s="1"/>
  <c r="O263" i="2"/>
  <c r="P263" i="2" s="1" a="1"/>
  <c r="P263" i="2" s="1"/>
  <c r="O264" i="2"/>
  <c r="P264" i="2" s="1" a="1"/>
  <c r="P264" i="2" s="1"/>
  <c r="O265" i="2"/>
  <c r="P265" i="2" s="1" a="1"/>
  <c r="P265" i="2" s="1"/>
  <c r="O266" i="2"/>
  <c r="P266" i="2" s="1" a="1"/>
  <c r="P266" i="2" s="1"/>
  <c r="O267" i="2"/>
  <c r="P267" i="2" s="1" a="1"/>
  <c r="P267" i="2" s="1"/>
  <c r="O268" i="2"/>
  <c r="P268" i="2" s="1" a="1"/>
  <c r="P268" i="2" s="1"/>
  <c r="O269" i="2"/>
  <c r="P269" i="2" s="1" a="1"/>
  <c r="P269" i="2" s="1"/>
  <c r="O270" i="2"/>
  <c r="P270" i="2" s="1" a="1"/>
  <c r="P270" i="2" s="1"/>
  <c r="O271" i="2"/>
  <c r="P271" i="2" s="1" a="1"/>
  <c r="P271" i="2" s="1"/>
  <c r="O272" i="2"/>
  <c r="P272" i="2" s="1" a="1"/>
  <c r="P272" i="2" s="1"/>
  <c r="O273" i="2"/>
  <c r="P273" i="2" s="1" a="1"/>
  <c r="P273" i="2" s="1"/>
  <c r="O274" i="2"/>
  <c r="P274" i="2" s="1" a="1"/>
  <c r="P274" i="2" s="1"/>
  <c r="O275" i="2"/>
  <c r="P275" i="2" s="1" a="1"/>
  <c r="P275" i="2" s="1"/>
  <c r="O276" i="2"/>
  <c r="P276" i="2" s="1" a="1"/>
  <c r="P276" i="2" s="1"/>
  <c r="O277" i="2"/>
  <c r="P277" i="2" s="1" a="1"/>
  <c r="P277" i="2" s="1"/>
  <c r="O278" i="2"/>
  <c r="P278" i="2" s="1" a="1"/>
  <c r="P278" i="2" s="1"/>
  <c r="O279" i="2"/>
  <c r="P279" i="2" s="1" a="1"/>
  <c r="P279" i="2" s="1"/>
  <c r="O280" i="2"/>
  <c r="P280" i="2" s="1" a="1"/>
  <c r="P280" i="2" s="1"/>
  <c r="O281" i="2"/>
  <c r="P281" i="2" s="1" a="1"/>
  <c r="P281" i="2" s="1"/>
  <c r="O282" i="2"/>
  <c r="P282" i="2" s="1" a="1"/>
  <c r="P282" i="2" s="1"/>
  <c r="O283" i="2"/>
  <c r="P283" i="2" s="1" a="1"/>
  <c r="P283" i="2" s="1"/>
  <c r="O284" i="2"/>
  <c r="P284" i="2" s="1" a="1"/>
  <c r="P284" i="2" s="1"/>
  <c r="O285" i="2"/>
  <c r="P285" i="2" s="1" a="1"/>
  <c r="P285" i="2" s="1"/>
  <c r="O286" i="2"/>
  <c r="P286" i="2" s="1" a="1"/>
  <c r="P286" i="2" s="1"/>
  <c r="O287" i="2"/>
  <c r="P287" i="2" s="1" a="1"/>
  <c r="P287" i="2" s="1"/>
  <c r="O288" i="2"/>
  <c r="P288" i="2" s="1" a="1"/>
  <c r="P288" i="2" s="1"/>
  <c r="O289" i="2"/>
  <c r="P289" i="2" s="1" a="1"/>
  <c r="P289" i="2" s="1"/>
  <c r="O290" i="2"/>
  <c r="P290" i="2" s="1" a="1"/>
  <c r="P290" i="2" s="1"/>
  <c r="O291" i="2"/>
  <c r="P291" i="2" s="1" a="1"/>
  <c r="P291" i="2" s="1"/>
  <c r="O292" i="2"/>
  <c r="P292" i="2" s="1" a="1"/>
  <c r="P292" i="2" s="1"/>
  <c r="O293" i="2"/>
  <c r="P293" i="2" s="1" a="1"/>
  <c r="P293" i="2" s="1"/>
  <c r="O294" i="2"/>
  <c r="P294" i="2" s="1" a="1"/>
  <c r="P294" i="2" s="1"/>
  <c r="O295" i="2"/>
  <c r="P295" i="2" s="1" a="1"/>
  <c r="P295" i="2" s="1"/>
  <c r="O296" i="2"/>
  <c r="P296" i="2" s="1" a="1"/>
  <c r="P296" i="2" s="1"/>
  <c r="O297" i="2"/>
  <c r="P297" i="2" s="1" a="1"/>
  <c r="P297" i="2" s="1"/>
  <c r="O298" i="2"/>
  <c r="P298" i="2" s="1" a="1"/>
  <c r="P298" i="2" s="1"/>
  <c r="O299" i="2"/>
  <c r="P299" i="2" s="1" a="1"/>
  <c r="P299" i="2" s="1"/>
  <c r="O300" i="2"/>
  <c r="P300" i="2" s="1" a="1"/>
  <c r="P300" i="2" s="1"/>
  <c r="O301" i="2"/>
  <c r="P301" i="2" s="1" a="1"/>
  <c r="P301" i="2" s="1"/>
  <c r="O302" i="2"/>
  <c r="P302" i="2" s="1" a="1"/>
  <c r="P302" i="2" s="1"/>
  <c r="O303" i="2"/>
  <c r="P303" i="2" s="1" a="1"/>
  <c r="P303" i="2" s="1"/>
  <c r="O304" i="2"/>
  <c r="P304" i="2" s="1" a="1"/>
  <c r="P304" i="2" s="1"/>
  <c r="O305" i="2"/>
  <c r="P305" i="2" s="1" a="1"/>
  <c r="P305" i="2" s="1"/>
  <c r="O306" i="2"/>
  <c r="P306" i="2" s="1" a="1"/>
  <c r="P306" i="2" s="1"/>
  <c r="O307" i="2"/>
  <c r="P307" i="2" s="1" a="1"/>
  <c r="P307" i="2" s="1"/>
  <c r="O308" i="2"/>
  <c r="P308" i="2" s="1" a="1"/>
  <c r="P308" i="2" s="1"/>
  <c r="O309" i="2"/>
  <c r="P309" i="2" s="1" a="1"/>
  <c r="P309" i="2" s="1"/>
  <c r="O310" i="2"/>
  <c r="P310" i="2" s="1" a="1"/>
  <c r="P310" i="2" s="1"/>
  <c r="O311" i="2"/>
  <c r="P311" i="2" s="1" a="1"/>
  <c r="P311" i="2" s="1"/>
  <c r="O312" i="2"/>
  <c r="P312" i="2" s="1" a="1"/>
  <c r="P312" i="2" s="1"/>
  <c r="O313" i="2"/>
  <c r="P313" i="2" s="1" a="1"/>
  <c r="P313" i="2" s="1"/>
  <c r="O314" i="2"/>
  <c r="P314" i="2" s="1" a="1"/>
  <c r="P314" i="2" s="1"/>
  <c r="O315" i="2"/>
  <c r="P315" i="2" s="1" a="1"/>
  <c r="P315" i="2" s="1"/>
  <c r="O316" i="2"/>
  <c r="P316" i="2" s="1" a="1"/>
  <c r="P316" i="2" s="1"/>
  <c r="O317" i="2"/>
  <c r="P317" i="2" s="1" a="1"/>
  <c r="P317" i="2" s="1"/>
  <c r="O318" i="2"/>
  <c r="P318" i="2" s="1" a="1"/>
  <c r="P318" i="2" s="1"/>
  <c r="O319" i="2"/>
  <c r="P319" i="2" s="1" a="1"/>
  <c r="P319" i="2" s="1"/>
  <c r="O320" i="2"/>
  <c r="P320" i="2" s="1" a="1"/>
  <c r="P320" i="2" s="1"/>
  <c r="O321" i="2"/>
  <c r="P321" i="2" s="1" a="1"/>
  <c r="P321" i="2" s="1"/>
  <c r="O322" i="2"/>
  <c r="P322" i="2" s="1" a="1"/>
  <c r="P322" i="2" s="1"/>
  <c r="O323" i="2"/>
  <c r="P323" i="2" s="1" a="1"/>
  <c r="P323" i="2" s="1"/>
  <c r="O324" i="2"/>
  <c r="P324" i="2" s="1" a="1"/>
  <c r="P324" i="2" s="1"/>
  <c r="O325" i="2"/>
  <c r="P325" i="2" s="1" a="1"/>
  <c r="P325" i="2" s="1"/>
  <c r="O326" i="2"/>
  <c r="P326" i="2" s="1" a="1"/>
  <c r="P326" i="2" s="1"/>
  <c r="O327" i="2"/>
  <c r="P327" i="2" s="1" a="1"/>
  <c r="P327" i="2" s="1"/>
  <c r="O328" i="2"/>
  <c r="P328" i="2" s="1" a="1"/>
  <c r="P328" i="2" s="1"/>
  <c r="O329" i="2"/>
  <c r="P329" i="2" s="1" a="1"/>
  <c r="P329" i="2" s="1"/>
  <c r="O330" i="2"/>
  <c r="P330" i="2" s="1" a="1"/>
  <c r="P330" i="2" s="1"/>
  <c r="O331" i="2"/>
  <c r="P331" i="2" s="1" a="1"/>
  <c r="P331" i="2" s="1"/>
  <c r="O332" i="2"/>
  <c r="P332" i="2" s="1" a="1"/>
  <c r="P332" i="2" s="1"/>
  <c r="O333" i="2"/>
  <c r="P333" i="2" s="1" a="1"/>
  <c r="P333" i="2" s="1"/>
  <c r="O334" i="2"/>
  <c r="P334" i="2" s="1" a="1"/>
  <c r="P334" i="2" s="1"/>
  <c r="O335" i="2"/>
  <c r="P335" i="2" s="1" a="1"/>
  <c r="P335" i="2" s="1"/>
  <c r="O336" i="2"/>
  <c r="P336" i="2" s="1" a="1"/>
  <c r="P336" i="2" s="1"/>
  <c r="O337" i="2"/>
  <c r="P337" i="2" s="1" a="1"/>
  <c r="P337" i="2" s="1"/>
  <c r="O338" i="2"/>
  <c r="P338" i="2" s="1" a="1"/>
  <c r="P338" i="2" s="1"/>
  <c r="O339" i="2"/>
  <c r="P339" i="2" s="1" a="1"/>
  <c r="P339" i="2" s="1"/>
  <c r="O340" i="2"/>
  <c r="P340" i="2" s="1" a="1"/>
  <c r="P340" i="2" s="1"/>
  <c r="O341" i="2"/>
  <c r="P341" i="2" s="1" a="1"/>
  <c r="P341" i="2" s="1"/>
  <c r="O342" i="2"/>
  <c r="P342" i="2" s="1" a="1"/>
  <c r="P342" i="2" s="1"/>
  <c r="O343" i="2"/>
  <c r="P343" i="2" s="1" a="1"/>
  <c r="P343" i="2" s="1"/>
  <c r="O344" i="2"/>
  <c r="P344" i="2" s="1" a="1"/>
  <c r="P344" i="2" s="1"/>
  <c r="O345" i="2"/>
  <c r="P345" i="2" s="1" a="1"/>
  <c r="P345" i="2" s="1"/>
  <c r="O346" i="2"/>
  <c r="P346" i="2" s="1" a="1"/>
  <c r="P346" i="2" s="1"/>
  <c r="O347" i="2"/>
  <c r="P347" i="2" s="1" a="1"/>
  <c r="P347" i="2" s="1"/>
  <c r="O348" i="2"/>
  <c r="P348" i="2" s="1" a="1"/>
  <c r="P348" i="2" s="1"/>
  <c r="O349" i="2"/>
  <c r="P349" i="2" s="1" a="1"/>
  <c r="P349" i="2" s="1"/>
  <c r="O350" i="2"/>
  <c r="P350" i="2" s="1" a="1"/>
  <c r="P350" i="2" s="1"/>
  <c r="O351" i="2"/>
  <c r="P351" i="2" s="1" a="1"/>
  <c r="P351" i="2" s="1"/>
  <c r="O352" i="2"/>
  <c r="P352" i="2" s="1" a="1"/>
  <c r="P352" i="2" s="1"/>
  <c r="O353" i="2"/>
  <c r="P353" i="2" s="1" a="1"/>
  <c r="P353" i="2" s="1"/>
  <c r="O354" i="2"/>
  <c r="P354" i="2" s="1" a="1"/>
  <c r="P354" i="2" s="1"/>
  <c r="O355" i="2"/>
  <c r="P355" i="2" s="1" a="1"/>
  <c r="P355" i="2" s="1"/>
  <c r="O356" i="2"/>
  <c r="P356" i="2" s="1" a="1"/>
  <c r="P356" i="2" s="1"/>
  <c r="O357" i="2"/>
  <c r="P357" i="2" s="1" a="1"/>
  <c r="P357" i="2" s="1"/>
  <c r="O358" i="2"/>
  <c r="P358" i="2" s="1" a="1"/>
  <c r="P358" i="2" s="1"/>
  <c r="O359" i="2"/>
  <c r="P359" i="2" s="1" a="1"/>
  <c r="P359" i="2" s="1"/>
  <c r="O360" i="2"/>
  <c r="P360" i="2" s="1" a="1"/>
  <c r="P360" i="2" s="1"/>
  <c r="O361" i="2"/>
  <c r="P361" i="2" s="1" a="1"/>
  <c r="P361" i="2" s="1"/>
  <c r="O362" i="2"/>
  <c r="P362" i="2" s="1" a="1"/>
  <c r="P362" i="2" s="1"/>
  <c r="O363" i="2"/>
  <c r="P363" i="2" s="1" a="1"/>
  <c r="P363" i="2" s="1"/>
  <c r="O364" i="2"/>
  <c r="P364" i="2" s="1" a="1"/>
  <c r="P364" i="2" s="1"/>
  <c r="O365" i="2"/>
  <c r="P365" i="2" s="1" a="1"/>
  <c r="P365" i="2" s="1"/>
  <c r="O366" i="2"/>
  <c r="P366" i="2" s="1" a="1"/>
  <c r="P366" i="2" s="1"/>
  <c r="O367" i="2"/>
  <c r="P367" i="2" s="1" a="1"/>
  <c r="P367" i="2" s="1"/>
  <c r="O368" i="2"/>
  <c r="P368" i="2" s="1" a="1"/>
  <c r="P368" i="2" s="1"/>
  <c r="O369" i="2"/>
  <c r="P369" i="2" s="1" a="1"/>
  <c r="P369" i="2" s="1"/>
  <c r="O370" i="2"/>
  <c r="P370" i="2" s="1" a="1"/>
  <c r="P370" i="2" s="1"/>
  <c r="O371" i="2"/>
  <c r="P371" i="2" s="1" a="1"/>
  <c r="P371" i="2" s="1"/>
  <c r="O372" i="2"/>
  <c r="P372" i="2" s="1" a="1"/>
  <c r="P372" i="2" s="1"/>
  <c r="O373" i="2"/>
  <c r="P373" i="2" s="1" a="1"/>
  <c r="P373" i="2" s="1"/>
  <c r="O374" i="2"/>
  <c r="P374" i="2" s="1" a="1"/>
  <c r="P374" i="2" s="1"/>
  <c r="O375" i="2"/>
  <c r="P375" i="2" s="1" a="1"/>
  <c r="P375" i="2" s="1"/>
  <c r="O376" i="2"/>
  <c r="P376" i="2" s="1" a="1"/>
  <c r="P376" i="2" s="1"/>
  <c r="O377" i="2"/>
  <c r="P377" i="2" s="1" a="1"/>
  <c r="P377" i="2" s="1"/>
  <c r="O378" i="2"/>
  <c r="P378" i="2" s="1" a="1"/>
  <c r="P378" i="2" s="1"/>
  <c r="O379" i="2"/>
  <c r="P379" i="2" s="1" a="1"/>
  <c r="P379" i="2" s="1"/>
  <c r="O380" i="2"/>
  <c r="P380" i="2" s="1" a="1"/>
  <c r="P380" i="2" s="1"/>
  <c r="O381" i="2"/>
  <c r="P381" i="2" s="1" a="1"/>
  <c r="P381" i="2" s="1"/>
  <c r="O382" i="2"/>
  <c r="P382" i="2" s="1" a="1"/>
  <c r="P382" i="2" s="1"/>
  <c r="O383" i="2"/>
  <c r="P383" i="2" s="1" a="1"/>
  <c r="P383" i="2" s="1"/>
  <c r="O384" i="2"/>
  <c r="P384" i="2" s="1" a="1"/>
  <c r="P384" i="2" s="1"/>
  <c r="O385" i="2"/>
  <c r="P385" i="2" s="1" a="1"/>
  <c r="P385" i="2" s="1"/>
  <c r="O386" i="2"/>
  <c r="P386" i="2" s="1" a="1"/>
  <c r="P386" i="2" s="1"/>
  <c r="O387" i="2"/>
  <c r="P387" i="2" s="1" a="1"/>
  <c r="P387" i="2" s="1"/>
  <c r="O388" i="2"/>
  <c r="P388" i="2" s="1" a="1"/>
  <c r="P388" i="2" s="1"/>
  <c r="O389" i="2"/>
  <c r="P389" i="2" s="1" a="1"/>
  <c r="P389" i="2" s="1"/>
  <c r="O390" i="2"/>
  <c r="P390" i="2" s="1" a="1"/>
  <c r="P390" i="2" s="1"/>
  <c r="O391" i="2"/>
  <c r="P391" i="2" s="1" a="1"/>
  <c r="P391" i="2" s="1"/>
  <c r="O392" i="2"/>
  <c r="P392" i="2" s="1" a="1"/>
  <c r="P392" i="2" s="1"/>
  <c r="O393" i="2"/>
  <c r="P393" i="2" s="1" a="1"/>
  <c r="P393" i="2" s="1"/>
  <c r="O394" i="2"/>
  <c r="P394" i="2" s="1" a="1"/>
  <c r="P394" i="2" s="1"/>
  <c r="O395" i="2"/>
  <c r="P395" i="2" s="1" a="1"/>
  <c r="P395" i="2" s="1"/>
  <c r="O396" i="2"/>
  <c r="P396" i="2" s="1" a="1"/>
  <c r="P396" i="2" s="1"/>
  <c r="O397" i="2"/>
  <c r="P397" i="2" s="1" a="1"/>
  <c r="P397" i="2" s="1"/>
  <c r="O398" i="2"/>
  <c r="P398" i="2" s="1" a="1"/>
  <c r="P398" i="2" s="1"/>
  <c r="O399" i="2"/>
  <c r="P399" i="2" s="1" a="1"/>
  <c r="P399" i="2" s="1"/>
  <c r="O400" i="2"/>
  <c r="P400" i="2" s="1" a="1"/>
  <c r="P400" i="2" s="1"/>
  <c r="O401" i="2"/>
  <c r="P401" i="2" s="1" a="1"/>
  <c r="P401" i="2" s="1"/>
  <c r="O402" i="2"/>
  <c r="P402" i="2" s="1" a="1"/>
  <c r="P402" i="2" s="1"/>
  <c r="O403" i="2"/>
  <c r="P403" i="2" s="1" a="1"/>
  <c r="P403" i="2" s="1"/>
  <c r="O404" i="2"/>
  <c r="P404" i="2" s="1" a="1"/>
  <c r="P404" i="2" s="1"/>
  <c r="O405" i="2"/>
  <c r="P405" i="2" s="1" a="1"/>
  <c r="P405" i="2" s="1"/>
  <c r="O406" i="2"/>
  <c r="P406" i="2" s="1" a="1"/>
  <c r="P406" i="2" s="1"/>
  <c r="O407" i="2"/>
  <c r="P407" i="2" s="1" a="1"/>
  <c r="P407" i="2" s="1"/>
  <c r="O408" i="2"/>
  <c r="P408" i="2" s="1" a="1"/>
  <c r="P408" i="2" s="1"/>
  <c r="O409" i="2"/>
  <c r="P409" i="2" s="1" a="1"/>
  <c r="P409" i="2" s="1"/>
  <c r="O410" i="2"/>
  <c r="P410" i="2" s="1" a="1"/>
  <c r="P410" i="2" s="1"/>
  <c r="O411" i="2"/>
  <c r="P411" i="2" s="1" a="1"/>
  <c r="P411" i="2" s="1"/>
  <c r="O412" i="2"/>
  <c r="P412" i="2" s="1" a="1"/>
  <c r="P412" i="2" s="1"/>
  <c r="O413" i="2"/>
  <c r="P413" i="2" s="1" a="1"/>
  <c r="P413" i="2" s="1"/>
  <c r="O414" i="2"/>
  <c r="P414" i="2" s="1" a="1"/>
  <c r="P414" i="2" s="1"/>
  <c r="O415" i="2"/>
  <c r="P415" i="2" s="1" a="1"/>
  <c r="P415" i="2" s="1"/>
  <c r="O416" i="2"/>
  <c r="P416" i="2" s="1" a="1"/>
  <c r="P416" i="2" s="1"/>
  <c r="O417" i="2"/>
  <c r="P417" i="2" s="1" a="1"/>
  <c r="P417" i="2" s="1"/>
  <c r="O418" i="2"/>
  <c r="P418" i="2" s="1" a="1"/>
  <c r="P418" i="2" s="1"/>
  <c r="O419" i="2"/>
  <c r="P419" i="2" s="1" a="1"/>
  <c r="P419" i="2" s="1"/>
  <c r="O420" i="2"/>
  <c r="P420" i="2" s="1" a="1"/>
  <c r="P420" i="2" s="1"/>
  <c r="O421" i="2"/>
  <c r="P421" i="2" s="1" a="1"/>
  <c r="P421" i="2" s="1"/>
  <c r="O422" i="2"/>
  <c r="P422" i="2" s="1" a="1"/>
  <c r="P422" i="2" s="1"/>
  <c r="O423" i="2"/>
  <c r="P423" i="2" s="1" a="1"/>
  <c r="P423" i="2" s="1"/>
  <c r="O424" i="2"/>
  <c r="P424" i="2" s="1" a="1"/>
  <c r="P424" i="2" s="1"/>
  <c r="O425" i="2"/>
  <c r="P425" i="2" s="1" a="1"/>
  <c r="P425" i="2" s="1"/>
  <c r="O426" i="2"/>
  <c r="P426" i="2" s="1" a="1"/>
  <c r="P426" i="2" s="1"/>
  <c r="O427" i="2"/>
  <c r="P427" i="2" s="1" a="1"/>
  <c r="P427" i="2" s="1"/>
  <c r="O428" i="2"/>
  <c r="P428" i="2" s="1" a="1"/>
  <c r="P428" i="2" s="1"/>
  <c r="O429" i="2"/>
  <c r="P429" i="2" s="1" a="1"/>
  <c r="P429" i="2" s="1"/>
  <c r="O430" i="2"/>
  <c r="P430" i="2" s="1" a="1"/>
  <c r="P430" i="2" s="1"/>
  <c r="O431" i="2"/>
  <c r="P431" i="2" s="1" a="1"/>
  <c r="P431" i="2" s="1"/>
  <c r="O432" i="2"/>
  <c r="P432" i="2" s="1" a="1"/>
  <c r="P432" i="2" s="1"/>
  <c r="O433" i="2"/>
  <c r="P433" i="2" s="1" a="1"/>
  <c r="P433" i="2" s="1"/>
  <c r="O434" i="2"/>
  <c r="P434" i="2" s="1" a="1"/>
  <c r="P434" i="2" s="1"/>
  <c r="O435" i="2"/>
  <c r="P435" i="2" s="1" a="1"/>
  <c r="P435" i="2" s="1"/>
  <c r="O436" i="2"/>
  <c r="P436" i="2" s="1" a="1"/>
  <c r="P436" i="2" s="1"/>
  <c r="O437" i="2"/>
  <c r="P437" i="2" s="1" a="1"/>
  <c r="P437" i="2" s="1"/>
  <c r="O438" i="2"/>
  <c r="P438" i="2" s="1" a="1"/>
  <c r="P438" i="2" s="1"/>
  <c r="O439" i="2"/>
  <c r="P439" i="2" s="1" a="1"/>
  <c r="P439" i="2" s="1"/>
  <c r="O440" i="2"/>
  <c r="P440" i="2" s="1" a="1"/>
  <c r="P440" i="2" s="1"/>
  <c r="O441" i="2"/>
  <c r="P441" i="2" s="1" a="1"/>
  <c r="P441" i="2" s="1"/>
  <c r="O442" i="2"/>
  <c r="P442" i="2" s="1" a="1"/>
  <c r="P442" i="2" s="1"/>
  <c r="O443" i="2"/>
  <c r="P443" i="2" s="1" a="1"/>
  <c r="P443" i="2" s="1"/>
  <c r="O444" i="2"/>
  <c r="P444" i="2" s="1" a="1"/>
  <c r="P444" i="2" s="1"/>
  <c r="O445" i="2"/>
  <c r="P445" i="2" s="1" a="1"/>
  <c r="P445" i="2" s="1"/>
  <c r="O446" i="2"/>
  <c r="P446" i="2" s="1" a="1"/>
  <c r="P446" i="2" s="1"/>
  <c r="O447" i="2"/>
  <c r="P447" i="2" s="1" a="1"/>
  <c r="P447" i="2" s="1"/>
  <c r="O448" i="2"/>
  <c r="P448" i="2" s="1" a="1"/>
  <c r="P448" i="2" s="1"/>
  <c r="O449" i="2"/>
  <c r="P449" i="2" s="1" a="1"/>
  <c r="P449" i="2" s="1"/>
  <c r="O450" i="2"/>
  <c r="P450" i="2" s="1" a="1"/>
  <c r="P450" i="2" s="1"/>
  <c r="O451" i="2"/>
  <c r="P451" i="2" s="1" a="1"/>
  <c r="P451" i="2" s="1"/>
  <c r="O452" i="2"/>
  <c r="P452" i="2" s="1" a="1"/>
  <c r="P452" i="2" s="1"/>
  <c r="O453" i="2"/>
  <c r="P453" i="2" s="1" a="1"/>
  <c r="P453" i="2" s="1"/>
  <c r="O454" i="2"/>
  <c r="P454" i="2" s="1" a="1"/>
  <c r="P454" i="2" s="1"/>
  <c r="O455" i="2"/>
  <c r="P455" i="2" s="1" a="1"/>
  <c r="P455" i="2" s="1"/>
  <c r="O456" i="2"/>
  <c r="P456" i="2" s="1" a="1"/>
  <c r="P456" i="2" s="1"/>
  <c r="O457" i="2"/>
  <c r="P457" i="2" s="1" a="1"/>
  <c r="P457" i="2" s="1"/>
  <c r="O458" i="2"/>
  <c r="P458" i="2" s="1" a="1"/>
  <c r="P458" i="2" s="1"/>
  <c r="O459" i="2"/>
  <c r="P459" i="2" s="1" a="1"/>
  <c r="P459" i="2" s="1"/>
  <c r="O460" i="2"/>
  <c r="P460" i="2" s="1" a="1"/>
  <c r="P460" i="2" s="1"/>
  <c r="O461" i="2"/>
  <c r="P461" i="2" s="1" a="1"/>
  <c r="P461" i="2" s="1"/>
  <c r="O462" i="2"/>
  <c r="P462" i="2" s="1" a="1"/>
  <c r="P462" i="2" s="1"/>
  <c r="O463" i="2"/>
  <c r="P463" i="2" s="1" a="1"/>
  <c r="P463" i="2" s="1"/>
  <c r="O464" i="2"/>
  <c r="P464" i="2" s="1" a="1"/>
  <c r="P464" i="2" s="1"/>
  <c r="O465" i="2"/>
  <c r="P465" i="2" s="1" a="1"/>
  <c r="P465" i="2" s="1"/>
  <c r="O466" i="2"/>
  <c r="P466" i="2" s="1" a="1"/>
  <c r="P466" i="2" s="1"/>
  <c r="O467" i="2"/>
  <c r="P467" i="2" s="1" a="1"/>
  <c r="P467" i="2" s="1"/>
  <c r="O468" i="2"/>
  <c r="P468" i="2" s="1" a="1"/>
  <c r="P468" i="2" s="1"/>
  <c r="O469" i="2"/>
  <c r="P469" i="2" s="1" a="1"/>
  <c r="P469" i="2" s="1"/>
  <c r="O470" i="2"/>
  <c r="P470" i="2" s="1" a="1"/>
  <c r="P470" i="2" s="1"/>
  <c r="O471" i="2"/>
  <c r="P471" i="2" s="1" a="1"/>
  <c r="P471" i="2" s="1"/>
  <c r="O472" i="2"/>
  <c r="P472" i="2" s="1" a="1"/>
  <c r="P472" i="2" s="1"/>
  <c r="O473" i="2"/>
  <c r="P473" i="2" s="1" a="1"/>
  <c r="P473" i="2" s="1"/>
  <c r="O474" i="2"/>
  <c r="P474" i="2" s="1" a="1"/>
  <c r="P474" i="2" s="1"/>
  <c r="O475" i="2"/>
  <c r="P475" i="2" s="1" a="1"/>
  <c r="P475" i="2" s="1"/>
  <c r="O476" i="2"/>
  <c r="P476" i="2" s="1" a="1"/>
  <c r="P476" i="2" s="1"/>
  <c r="O477" i="2"/>
  <c r="P477" i="2" s="1" a="1"/>
  <c r="P477" i="2" s="1"/>
  <c r="O478" i="2"/>
  <c r="P478" i="2" s="1" a="1"/>
  <c r="P478" i="2" s="1"/>
  <c r="O479" i="2"/>
  <c r="P479" i="2" s="1" a="1"/>
  <c r="P479" i="2" s="1"/>
  <c r="O480" i="2"/>
  <c r="P480" i="2" s="1" a="1"/>
  <c r="P480" i="2" s="1"/>
  <c r="O481" i="2"/>
  <c r="P481" i="2" s="1" a="1"/>
  <c r="P481" i="2" s="1"/>
  <c r="O482" i="2"/>
  <c r="P482" i="2" s="1" a="1"/>
  <c r="P482" i="2" s="1"/>
  <c r="O483" i="2"/>
  <c r="P483" i="2" s="1" a="1"/>
  <c r="P483" i="2" s="1"/>
  <c r="O484" i="2"/>
  <c r="P484" i="2" s="1" a="1"/>
  <c r="P484" i="2" s="1"/>
  <c r="O485" i="2"/>
  <c r="P485" i="2" s="1" a="1"/>
  <c r="P485" i="2" s="1"/>
  <c r="O486" i="2"/>
  <c r="P486" i="2" s="1" a="1"/>
  <c r="P486" i="2" s="1"/>
  <c r="O487" i="2"/>
  <c r="P487" i="2" s="1" a="1"/>
  <c r="P487" i="2" s="1"/>
  <c r="O488" i="2"/>
  <c r="P488" i="2" s="1" a="1"/>
  <c r="P488" i="2" s="1"/>
  <c r="O489" i="2"/>
  <c r="P489" i="2" s="1" a="1"/>
  <c r="P489" i="2" s="1"/>
  <c r="O490" i="2"/>
  <c r="P490" i="2" s="1" a="1"/>
  <c r="P490" i="2" s="1"/>
  <c r="O491" i="2"/>
  <c r="P491" i="2" s="1" a="1"/>
  <c r="P491" i="2" s="1"/>
  <c r="O492" i="2"/>
  <c r="P492" i="2" s="1" a="1"/>
  <c r="P492" i="2" s="1"/>
  <c r="O493" i="2"/>
  <c r="P493" i="2" s="1" a="1"/>
  <c r="P493" i="2" s="1"/>
  <c r="O494" i="2"/>
  <c r="P494" i="2" s="1" a="1"/>
  <c r="P494" i="2" s="1"/>
  <c r="O495" i="2"/>
  <c r="P495" i="2" s="1" a="1"/>
  <c r="P495" i="2" s="1"/>
  <c r="O496" i="2"/>
  <c r="P496" i="2" s="1" a="1"/>
  <c r="P496" i="2" s="1"/>
  <c r="O497" i="2"/>
  <c r="P497" i="2" s="1" a="1"/>
  <c r="P497" i="2" s="1"/>
  <c r="O498" i="2"/>
  <c r="P498" i="2" s="1" a="1"/>
  <c r="P498" i="2" s="1"/>
  <c r="O499" i="2"/>
  <c r="P499" i="2" s="1" a="1"/>
  <c r="P499" i="2" s="1"/>
  <c r="O500" i="2"/>
  <c r="P500" i="2" s="1" a="1"/>
  <c r="P500" i="2" s="1"/>
  <c r="O501" i="2"/>
  <c r="P501" i="2" s="1" a="1"/>
  <c r="P501" i="2" s="1"/>
  <c r="O502" i="2"/>
  <c r="P502" i="2" s="1" a="1"/>
  <c r="P502" i="2" s="1"/>
  <c r="O503" i="2"/>
  <c r="P503" i="2" s="1" a="1"/>
  <c r="P503" i="2" s="1"/>
  <c r="O504" i="2"/>
  <c r="P504" i="2" s="1" a="1"/>
  <c r="P504" i="2" s="1"/>
  <c r="O505" i="2"/>
  <c r="P505" i="2" s="1" a="1"/>
  <c r="P505" i="2" s="1"/>
  <c r="O506" i="2"/>
  <c r="P506" i="2" s="1" a="1"/>
  <c r="P506" i="2" s="1"/>
  <c r="O507" i="2"/>
  <c r="P507" i="2" s="1" a="1"/>
  <c r="P507" i="2" s="1"/>
  <c r="O508" i="2"/>
  <c r="P508" i="2" s="1" a="1"/>
  <c r="P508" i="2" s="1"/>
  <c r="O509" i="2"/>
  <c r="P509" i="2" s="1" a="1"/>
  <c r="P509" i="2" s="1"/>
  <c r="O510" i="2"/>
  <c r="P510" i="2" s="1" a="1"/>
  <c r="P510" i="2" s="1"/>
  <c r="O511" i="2"/>
  <c r="P511" i="2" s="1" a="1"/>
  <c r="P511" i="2" s="1"/>
  <c r="O512" i="2"/>
  <c r="P512" i="2" s="1" a="1"/>
  <c r="P512" i="2" s="1"/>
  <c r="O513" i="2"/>
  <c r="P513" i="2" s="1" a="1"/>
  <c r="P513" i="2" s="1"/>
  <c r="O514" i="2"/>
  <c r="P514" i="2" s="1" a="1"/>
  <c r="P514" i="2" s="1"/>
  <c r="O515" i="2"/>
  <c r="P515" i="2" s="1" a="1"/>
  <c r="P515" i="2" s="1"/>
  <c r="O516" i="2"/>
  <c r="P516" i="2" s="1" a="1"/>
  <c r="P516" i="2" s="1"/>
  <c r="O517" i="2"/>
  <c r="P517" i="2" s="1" a="1"/>
  <c r="P517" i="2" s="1"/>
  <c r="O518" i="2"/>
  <c r="P518" i="2" s="1" a="1"/>
  <c r="P518" i="2" s="1"/>
  <c r="O519" i="2"/>
  <c r="P519" i="2" s="1" a="1"/>
  <c r="P519" i="2" s="1"/>
  <c r="O520" i="2"/>
  <c r="P520" i="2" s="1" a="1"/>
  <c r="P520" i="2" s="1"/>
  <c r="O521" i="2"/>
  <c r="P521" i="2" s="1" a="1"/>
  <c r="P521" i="2" s="1"/>
  <c r="O522" i="2"/>
  <c r="P522" i="2" s="1" a="1"/>
  <c r="P522" i="2" s="1"/>
  <c r="O523" i="2"/>
  <c r="P523" i="2" s="1" a="1"/>
  <c r="P523" i="2" s="1"/>
  <c r="O524" i="2"/>
  <c r="P524" i="2" s="1" a="1"/>
  <c r="P524" i="2" s="1"/>
  <c r="O525" i="2"/>
  <c r="P525" i="2" s="1" a="1"/>
  <c r="P525" i="2" s="1"/>
  <c r="O526" i="2"/>
  <c r="P526" i="2" s="1" a="1"/>
  <c r="P526" i="2" s="1"/>
  <c r="O527" i="2"/>
  <c r="P527" i="2" s="1" a="1"/>
  <c r="P527" i="2" s="1"/>
  <c r="O528" i="2"/>
  <c r="P528" i="2" s="1" a="1"/>
  <c r="P528" i="2" s="1"/>
  <c r="O529" i="2"/>
  <c r="P529" i="2" s="1" a="1"/>
  <c r="P529" i="2" s="1"/>
  <c r="O530" i="2"/>
  <c r="P530" i="2" s="1" a="1"/>
  <c r="P530" i="2" s="1"/>
  <c r="O531" i="2"/>
  <c r="P531" i="2" s="1" a="1"/>
  <c r="P531" i="2" s="1"/>
  <c r="O532" i="2"/>
  <c r="P532" i="2" s="1" a="1"/>
  <c r="P532" i="2" s="1"/>
  <c r="O533" i="2"/>
  <c r="P533" i="2" s="1" a="1"/>
  <c r="P533" i="2" s="1"/>
  <c r="O534" i="2"/>
  <c r="P534" i="2" s="1" a="1"/>
  <c r="P534" i="2" s="1"/>
  <c r="O535" i="2"/>
  <c r="P535" i="2" s="1" a="1"/>
  <c r="P535" i="2" s="1"/>
  <c r="O536" i="2"/>
  <c r="P536" i="2" s="1" a="1"/>
  <c r="P536" i="2" s="1"/>
  <c r="O537" i="2"/>
  <c r="P537" i="2" s="1" a="1"/>
  <c r="P537" i="2" s="1"/>
  <c r="O538" i="2"/>
  <c r="P538" i="2" s="1" a="1"/>
  <c r="P538" i="2" s="1"/>
  <c r="O539" i="2"/>
  <c r="P539" i="2" s="1" a="1"/>
  <c r="P539" i="2" s="1"/>
  <c r="O540" i="2"/>
  <c r="P540" i="2" s="1" a="1"/>
  <c r="P540" i="2" s="1"/>
  <c r="O541" i="2"/>
  <c r="P541" i="2" s="1" a="1"/>
  <c r="P541" i="2" s="1"/>
  <c r="O542" i="2"/>
  <c r="P542" i="2" s="1" a="1"/>
  <c r="P542" i="2" s="1"/>
  <c r="O543" i="2"/>
  <c r="P543" i="2" s="1" a="1"/>
  <c r="P543" i="2" s="1"/>
  <c r="O544" i="2"/>
  <c r="P544" i="2" s="1" a="1"/>
  <c r="P544" i="2" s="1"/>
  <c r="O545" i="2"/>
  <c r="P545" i="2" s="1" a="1"/>
  <c r="P545" i="2" s="1"/>
  <c r="O546" i="2"/>
  <c r="P546" i="2" s="1" a="1"/>
  <c r="P546" i="2" s="1"/>
  <c r="O547" i="2"/>
  <c r="P547" i="2" s="1" a="1"/>
  <c r="P547" i="2" s="1"/>
  <c r="O548" i="2"/>
  <c r="P548" i="2" s="1" a="1"/>
  <c r="P548" i="2" s="1"/>
  <c r="O549" i="2"/>
  <c r="P549" i="2" s="1" a="1"/>
  <c r="P549" i="2" s="1"/>
  <c r="O550" i="2"/>
  <c r="P550" i="2" s="1" a="1"/>
  <c r="P550" i="2" s="1"/>
  <c r="O551" i="2"/>
  <c r="P551" i="2" s="1" a="1"/>
  <c r="P551" i="2" s="1"/>
  <c r="O552" i="2"/>
  <c r="P552" i="2" s="1" a="1"/>
  <c r="P552" i="2" s="1"/>
  <c r="O553" i="2"/>
  <c r="P553" i="2" s="1" a="1"/>
  <c r="P553" i="2" s="1"/>
  <c r="O554" i="2"/>
  <c r="P554" i="2" s="1" a="1"/>
  <c r="P554" i="2" s="1"/>
  <c r="O555" i="2"/>
  <c r="P555" i="2" s="1" a="1"/>
  <c r="P555" i="2" s="1"/>
  <c r="O556" i="2"/>
  <c r="P556" i="2" s="1" a="1"/>
  <c r="P556" i="2" s="1"/>
  <c r="O557" i="2"/>
  <c r="P557" i="2" s="1" a="1"/>
  <c r="P557" i="2" s="1"/>
  <c r="O558" i="2"/>
  <c r="P558" i="2" s="1" a="1"/>
  <c r="P558" i="2" s="1"/>
  <c r="O559" i="2"/>
  <c r="P559" i="2" s="1" a="1"/>
  <c r="P559" i="2" s="1"/>
  <c r="O560" i="2"/>
  <c r="P560" i="2" s="1" a="1"/>
  <c r="P560" i="2" s="1"/>
  <c r="O561" i="2"/>
  <c r="P561" i="2" s="1" a="1"/>
  <c r="P561" i="2" s="1"/>
  <c r="O562" i="2"/>
  <c r="P562" i="2" s="1" a="1"/>
  <c r="P562" i="2" s="1"/>
  <c r="O563" i="2"/>
  <c r="P563" i="2" s="1" a="1"/>
  <c r="P563" i="2" s="1"/>
  <c r="O564" i="2"/>
  <c r="P564" i="2" s="1" a="1"/>
  <c r="P564" i="2" s="1"/>
  <c r="O565" i="2"/>
  <c r="P565" i="2" s="1" a="1"/>
  <c r="P565" i="2" s="1"/>
  <c r="O566" i="2"/>
  <c r="P566" i="2" s="1" a="1"/>
  <c r="P566" i="2" s="1"/>
  <c r="O567" i="2"/>
  <c r="P567" i="2" s="1" a="1"/>
  <c r="P567" i="2" s="1"/>
  <c r="O568" i="2"/>
  <c r="P568" i="2" s="1" a="1"/>
  <c r="P568" i="2" s="1"/>
  <c r="O569" i="2"/>
  <c r="P569" i="2" s="1" a="1"/>
  <c r="P569" i="2" s="1"/>
  <c r="O570" i="2"/>
  <c r="P570" i="2" s="1" a="1"/>
  <c r="P570" i="2" s="1"/>
  <c r="O571" i="2"/>
  <c r="P571" i="2" s="1" a="1"/>
  <c r="P571" i="2" s="1"/>
  <c r="O572" i="2"/>
  <c r="P572" i="2" s="1" a="1"/>
  <c r="P572" i="2" s="1"/>
  <c r="O573" i="2"/>
  <c r="P573" i="2" s="1" a="1"/>
  <c r="P573" i="2" s="1"/>
  <c r="O574" i="2"/>
  <c r="P574" i="2" s="1" a="1"/>
  <c r="P574" i="2" s="1"/>
  <c r="O575" i="2"/>
  <c r="P575" i="2" s="1" a="1"/>
  <c r="P575" i="2" s="1"/>
  <c r="O576" i="2"/>
  <c r="P576" i="2" s="1" a="1"/>
  <c r="P576" i="2" s="1"/>
  <c r="O577" i="2"/>
  <c r="P577" i="2" s="1" a="1"/>
  <c r="P577" i="2" s="1"/>
  <c r="O578" i="2"/>
  <c r="P578" i="2" s="1" a="1"/>
  <c r="P578" i="2" s="1"/>
  <c r="O579" i="2"/>
  <c r="P579" i="2" s="1" a="1"/>
  <c r="P579" i="2" s="1"/>
  <c r="O580" i="2"/>
  <c r="P580" i="2" s="1" a="1"/>
  <c r="P580" i="2" s="1"/>
  <c r="O581" i="2"/>
  <c r="P581" i="2" s="1" a="1"/>
  <c r="P581" i="2" s="1"/>
  <c r="O582" i="2"/>
  <c r="P582" i="2" s="1" a="1"/>
  <c r="P582" i="2" s="1"/>
  <c r="O583" i="2"/>
  <c r="P583" i="2" s="1" a="1"/>
  <c r="P583" i="2" s="1"/>
  <c r="O584" i="2"/>
  <c r="P584" i="2" s="1" a="1"/>
  <c r="P584" i="2" s="1"/>
  <c r="O585" i="2"/>
  <c r="P585" i="2" s="1" a="1"/>
  <c r="P585" i="2" s="1"/>
  <c r="O586" i="2"/>
  <c r="P586" i="2" s="1" a="1"/>
  <c r="P586" i="2" s="1"/>
  <c r="O587" i="2"/>
  <c r="P587" i="2" s="1" a="1"/>
  <c r="P587" i="2" s="1"/>
  <c r="O588" i="2"/>
  <c r="P588" i="2" s="1" a="1"/>
  <c r="P588" i="2" s="1"/>
  <c r="O589" i="2"/>
  <c r="P589" i="2" s="1" a="1"/>
  <c r="P589" i="2" s="1"/>
  <c r="O590" i="2"/>
  <c r="P590" i="2" s="1" a="1"/>
  <c r="P590" i="2" s="1"/>
  <c r="O591" i="2"/>
  <c r="P591" i="2" s="1" a="1"/>
  <c r="P591" i="2" s="1"/>
  <c r="O592" i="2"/>
  <c r="P592" i="2" s="1" a="1"/>
  <c r="P592" i="2" s="1"/>
  <c r="O593" i="2"/>
  <c r="P593" i="2" s="1" a="1"/>
  <c r="P593" i="2" s="1"/>
  <c r="O594" i="2"/>
  <c r="P594" i="2" s="1" a="1"/>
  <c r="P594" i="2" s="1"/>
  <c r="O595" i="2"/>
  <c r="P595" i="2" s="1" a="1"/>
  <c r="P595" i="2" s="1"/>
  <c r="O596" i="2"/>
  <c r="P596" i="2" s="1" a="1"/>
  <c r="P596" i="2" s="1"/>
  <c r="O597" i="2"/>
  <c r="P597" i="2" s="1" a="1"/>
  <c r="P597" i="2" s="1"/>
  <c r="O598" i="2"/>
  <c r="P598" i="2" s="1" a="1"/>
  <c r="P598" i="2" s="1"/>
  <c r="O599" i="2"/>
  <c r="P599" i="2" s="1" a="1"/>
  <c r="P599" i="2" s="1"/>
  <c r="O600" i="2"/>
  <c r="P600" i="2" s="1" a="1"/>
  <c r="P600" i="2" s="1"/>
  <c r="O601" i="2"/>
  <c r="P601" i="2" s="1" a="1"/>
  <c r="P601" i="2" s="1"/>
  <c r="O602" i="2"/>
  <c r="P602" i="2" s="1" a="1"/>
  <c r="P602" i="2" s="1"/>
  <c r="O603" i="2"/>
  <c r="P603" i="2" s="1" a="1"/>
  <c r="P603" i="2" s="1"/>
  <c r="O604" i="2"/>
  <c r="P604" i="2" s="1" a="1"/>
  <c r="P604" i="2" s="1"/>
  <c r="O605" i="2"/>
  <c r="P605" i="2" s="1" a="1"/>
  <c r="P605" i="2" s="1"/>
  <c r="O606" i="2"/>
  <c r="P606" i="2" s="1" a="1"/>
  <c r="P606" i="2" s="1"/>
  <c r="O607" i="2"/>
  <c r="P607" i="2" s="1" a="1"/>
  <c r="P607" i="2" s="1"/>
  <c r="O608" i="2"/>
  <c r="P608" i="2" s="1" a="1"/>
  <c r="P608" i="2" s="1"/>
  <c r="O609" i="2"/>
  <c r="P609" i="2" s="1" a="1"/>
  <c r="P609" i="2" s="1"/>
  <c r="O610" i="2"/>
  <c r="P610" i="2" s="1" a="1"/>
  <c r="P610" i="2" s="1"/>
  <c r="O611" i="2"/>
  <c r="P611" i="2" s="1" a="1"/>
  <c r="P611" i="2" s="1"/>
  <c r="O612" i="2"/>
  <c r="P612" i="2" s="1" a="1"/>
  <c r="P612" i="2" s="1"/>
  <c r="O613" i="2"/>
  <c r="P613" i="2" s="1" a="1"/>
  <c r="P613" i="2" s="1"/>
  <c r="O614" i="2"/>
  <c r="P614" i="2" s="1" a="1"/>
  <c r="P614" i="2" s="1"/>
  <c r="O615" i="2"/>
  <c r="P615" i="2" s="1" a="1"/>
  <c r="P615" i="2" s="1"/>
  <c r="O616" i="2"/>
  <c r="P616" i="2" s="1" a="1"/>
  <c r="P616" i="2" s="1"/>
  <c r="O617" i="2"/>
  <c r="P617" i="2" s="1" a="1"/>
  <c r="P617" i="2" s="1"/>
  <c r="O618" i="2"/>
  <c r="P618" i="2" s="1" a="1"/>
  <c r="P618" i="2" s="1"/>
  <c r="O619" i="2"/>
  <c r="P619" i="2" s="1" a="1"/>
  <c r="P619" i="2" s="1"/>
  <c r="O620" i="2"/>
  <c r="P620" i="2" s="1" a="1"/>
  <c r="P620" i="2" s="1"/>
  <c r="O621" i="2"/>
  <c r="P621" i="2" s="1" a="1"/>
  <c r="P621" i="2" s="1"/>
  <c r="O622" i="2"/>
  <c r="P622" i="2" s="1" a="1"/>
  <c r="P622" i="2" s="1"/>
  <c r="O623" i="2"/>
  <c r="P623" i="2" s="1" a="1"/>
  <c r="P623" i="2" s="1"/>
  <c r="O624" i="2"/>
  <c r="P624" i="2" s="1" a="1"/>
  <c r="P624" i="2" s="1"/>
  <c r="O625" i="2"/>
  <c r="P625" i="2" s="1" a="1"/>
  <c r="P625" i="2" s="1"/>
  <c r="O626" i="2"/>
  <c r="P626" i="2" s="1" a="1"/>
  <c r="P626" i="2" s="1"/>
  <c r="O627" i="2"/>
  <c r="P627" i="2" s="1" a="1"/>
  <c r="P627" i="2" s="1"/>
  <c r="O628" i="2"/>
  <c r="P628" i="2" s="1" a="1"/>
  <c r="P628" i="2" s="1"/>
  <c r="O629" i="2"/>
  <c r="P629" i="2" s="1" a="1"/>
  <c r="P629" i="2" s="1"/>
  <c r="O630" i="2"/>
  <c r="P630" i="2" s="1" a="1"/>
  <c r="P630" i="2" s="1"/>
  <c r="O631" i="2"/>
  <c r="P631" i="2" s="1" a="1"/>
  <c r="P631" i="2" s="1"/>
  <c r="O632" i="2"/>
  <c r="P632" i="2" s="1" a="1"/>
  <c r="P632" i="2" s="1"/>
  <c r="O633" i="2"/>
  <c r="P633" i="2" s="1" a="1"/>
  <c r="P633" i="2" s="1"/>
  <c r="O634" i="2"/>
  <c r="P634" i="2" s="1" a="1"/>
  <c r="P634" i="2" s="1"/>
  <c r="O635" i="2"/>
  <c r="P635" i="2" s="1" a="1"/>
  <c r="P635" i="2" s="1"/>
  <c r="O636" i="2"/>
  <c r="P636" i="2" s="1" a="1"/>
  <c r="P636" i="2" s="1"/>
  <c r="O637" i="2"/>
  <c r="P637" i="2" s="1" a="1"/>
  <c r="P637" i="2" s="1"/>
  <c r="O638" i="2"/>
  <c r="P638" i="2" s="1" a="1"/>
  <c r="P638" i="2" s="1"/>
  <c r="O639" i="2"/>
  <c r="P639" i="2" s="1" a="1"/>
  <c r="P639" i="2" s="1"/>
  <c r="O640" i="2"/>
  <c r="P640" i="2" s="1" a="1"/>
  <c r="P640" i="2" s="1"/>
  <c r="O641" i="2"/>
  <c r="P641" i="2" s="1" a="1"/>
  <c r="P641" i="2" s="1"/>
  <c r="O642" i="2"/>
  <c r="P642" i="2" s="1" a="1"/>
  <c r="P642" i="2" s="1"/>
  <c r="O643" i="2"/>
  <c r="P643" i="2" s="1" a="1"/>
  <c r="P643" i="2" s="1"/>
  <c r="O644" i="2"/>
  <c r="P644" i="2" s="1" a="1"/>
  <c r="P644" i="2" s="1"/>
  <c r="O645" i="2"/>
  <c r="P645" i="2" s="1" a="1"/>
  <c r="P645" i="2" s="1"/>
  <c r="O646" i="2"/>
  <c r="P646" i="2" s="1" a="1"/>
  <c r="P646" i="2" s="1"/>
  <c r="O647" i="2"/>
  <c r="P647" i="2" s="1" a="1"/>
  <c r="P647" i="2" s="1"/>
  <c r="O648" i="2"/>
  <c r="P648" i="2" s="1" a="1"/>
  <c r="P648" i="2" s="1"/>
  <c r="O649" i="2"/>
  <c r="P649" i="2" s="1" a="1"/>
  <c r="P649" i="2" s="1"/>
  <c r="O650" i="2"/>
  <c r="P650" i="2" s="1" a="1"/>
  <c r="P650" i="2" s="1"/>
  <c r="O651" i="2"/>
  <c r="P651" i="2" s="1" a="1"/>
  <c r="P651" i="2" s="1"/>
  <c r="O652" i="2"/>
  <c r="P652" i="2" s="1" a="1"/>
  <c r="P652" i="2" s="1"/>
  <c r="O653" i="2"/>
  <c r="P653" i="2" s="1" a="1"/>
  <c r="P653" i="2" s="1"/>
  <c r="O654" i="2"/>
  <c r="P654" i="2" s="1" a="1"/>
  <c r="P654" i="2" s="1"/>
  <c r="O655" i="2"/>
  <c r="P655" i="2" s="1" a="1"/>
  <c r="P655" i="2" s="1"/>
  <c r="O656" i="2"/>
  <c r="P656" i="2" s="1" a="1"/>
  <c r="P656" i="2" s="1"/>
  <c r="O657" i="2"/>
  <c r="P657" i="2" s="1" a="1"/>
  <c r="P657" i="2" s="1"/>
  <c r="O658" i="2"/>
  <c r="P658" i="2" s="1" a="1"/>
  <c r="P658" i="2" s="1"/>
  <c r="O659" i="2"/>
  <c r="P659" i="2" s="1" a="1"/>
  <c r="P659" i="2" s="1"/>
  <c r="O660" i="2"/>
  <c r="P660" i="2" s="1" a="1"/>
  <c r="P660" i="2" s="1"/>
  <c r="O661" i="2"/>
  <c r="P661" i="2" s="1" a="1"/>
  <c r="P661" i="2" s="1"/>
  <c r="O662" i="2"/>
  <c r="P662" i="2" s="1" a="1"/>
  <c r="P662" i="2" s="1"/>
  <c r="O663" i="2"/>
  <c r="P663" i="2" s="1" a="1"/>
  <c r="P663" i="2" s="1"/>
  <c r="O664" i="2"/>
  <c r="P664" i="2" s="1" a="1"/>
  <c r="P664" i="2" s="1"/>
  <c r="O665" i="2"/>
  <c r="P665" i="2" s="1" a="1"/>
  <c r="P665" i="2" s="1"/>
  <c r="O666" i="2"/>
  <c r="P666" i="2" s="1" a="1"/>
  <c r="P666" i="2" s="1"/>
  <c r="O667" i="2"/>
  <c r="P667" i="2" s="1" a="1"/>
  <c r="P667" i="2" s="1"/>
  <c r="O668" i="2"/>
  <c r="P668" i="2" s="1" a="1"/>
  <c r="P668" i="2" s="1"/>
  <c r="O669" i="2"/>
  <c r="P669" i="2" s="1" a="1"/>
  <c r="P669" i="2" s="1"/>
  <c r="O670" i="2"/>
  <c r="P670" i="2" s="1" a="1"/>
  <c r="P670" i="2" s="1"/>
  <c r="O671" i="2"/>
  <c r="P671" i="2" s="1" a="1"/>
  <c r="P671" i="2" s="1"/>
  <c r="O672" i="2"/>
  <c r="P672" i="2" s="1" a="1"/>
  <c r="P672" i="2" s="1"/>
  <c r="O673" i="2"/>
  <c r="P673" i="2" s="1" a="1"/>
  <c r="P673" i="2" s="1"/>
  <c r="O674" i="2"/>
  <c r="P674" i="2" s="1" a="1"/>
  <c r="P674" i="2" s="1"/>
  <c r="O675" i="2"/>
  <c r="P675" i="2" s="1" a="1"/>
  <c r="P675" i="2" s="1"/>
  <c r="O676" i="2"/>
  <c r="P676" i="2" s="1" a="1"/>
  <c r="P676" i="2" s="1"/>
  <c r="O677" i="2"/>
  <c r="P677" i="2" s="1" a="1"/>
  <c r="P677" i="2" s="1"/>
  <c r="O678" i="2"/>
  <c r="P678" i="2" s="1" a="1"/>
  <c r="P678" i="2" s="1"/>
  <c r="O679" i="2"/>
  <c r="P679" i="2" s="1" a="1"/>
  <c r="P679" i="2" s="1"/>
  <c r="O680" i="2"/>
  <c r="P680" i="2" s="1" a="1"/>
  <c r="P680" i="2" s="1"/>
  <c r="O681" i="2"/>
  <c r="P681" i="2" s="1" a="1"/>
  <c r="P681" i="2" s="1"/>
  <c r="O682" i="2"/>
  <c r="P682" i="2" s="1" a="1"/>
  <c r="P682" i="2" s="1"/>
  <c r="O683" i="2"/>
  <c r="P683" i="2" s="1" a="1"/>
  <c r="P683" i="2" s="1"/>
  <c r="O684" i="2"/>
  <c r="P684" i="2" s="1" a="1"/>
  <c r="P684" i="2" s="1"/>
  <c r="O685" i="2"/>
  <c r="P685" i="2" s="1" a="1"/>
  <c r="P685" i="2" s="1"/>
  <c r="O686" i="2"/>
  <c r="P686" i="2" s="1" a="1"/>
  <c r="P686" i="2" s="1"/>
  <c r="O687" i="2"/>
  <c r="P687" i="2" s="1" a="1"/>
  <c r="P687" i="2" s="1"/>
  <c r="O688" i="2"/>
  <c r="P688" i="2" s="1" a="1"/>
  <c r="P688" i="2" s="1"/>
  <c r="O689" i="2"/>
  <c r="P689" i="2" s="1" a="1"/>
  <c r="P689" i="2" s="1"/>
  <c r="O690" i="2"/>
  <c r="P690" i="2" s="1" a="1"/>
  <c r="P690" i="2" s="1"/>
  <c r="O691" i="2"/>
  <c r="P691" i="2" s="1" a="1"/>
  <c r="P691" i="2" s="1"/>
  <c r="O692" i="2"/>
  <c r="P692" i="2" s="1" a="1"/>
  <c r="P692" i="2" s="1"/>
  <c r="O693" i="2"/>
  <c r="P693" i="2" s="1" a="1"/>
  <c r="P693" i="2" s="1"/>
  <c r="O694" i="2"/>
  <c r="P694" i="2" s="1" a="1"/>
  <c r="P694" i="2" s="1"/>
  <c r="O695" i="2"/>
  <c r="P695" i="2" s="1" a="1"/>
  <c r="P695" i="2" s="1"/>
  <c r="O696" i="2"/>
  <c r="P696" i="2" s="1" a="1"/>
  <c r="P696" i="2" s="1"/>
  <c r="O697" i="2"/>
  <c r="P697" i="2" s="1" a="1"/>
  <c r="P697" i="2" s="1"/>
  <c r="O698" i="2"/>
  <c r="P698" i="2" s="1" a="1"/>
  <c r="P698" i="2" s="1"/>
  <c r="O699" i="2"/>
  <c r="P699" i="2" s="1" a="1"/>
  <c r="P699" i="2" s="1"/>
  <c r="O700" i="2"/>
  <c r="P700" i="2" s="1" a="1"/>
  <c r="P700" i="2" s="1"/>
  <c r="O701" i="2"/>
  <c r="P701" i="2" s="1" a="1"/>
  <c r="P701" i="2" s="1"/>
  <c r="O702" i="2"/>
  <c r="P702" i="2" s="1" a="1"/>
  <c r="P702" i="2" s="1"/>
  <c r="O703" i="2"/>
  <c r="P703" i="2" s="1" a="1"/>
  <c r="P703" i="2" s="1"/>
  <c r="O704" i="2"/>
  <c r="P704" i="2" s="1" a="1"/>
  <c r="P704" i="2" s="1"/>
  <c r="O705" i="2"/>
  <c r="P705" i="2" s="1" a="1"/>
  <c r="P705" i="2" s="1"/>
  <c r="O706" i="2"/>
  <c r="P706" i="2" s="1" a="1"/>
  <c r="P706" i="2" s="1"/>
  <c r="O707" i="2"/>
  <c r="P707" i="2" s="1" a="1"/>
  <c r="P707" i="2" s="1"/>
  <c r="O708" i="2"/>
  <c r="P708" i="2" s="1" a="1"/>
  <c r="P708" i="2" s="1"/>
  <c r="O709" i="2"/>
  <c r="P709" i="2" s="1" a="1"/>
  <c r="P709" i="2" s="1"/>
  <c r="O710" i="2"/>
  <c r="P710" i="2" s="1" a="1"/>
  <c r="P710" i="2" s="1"/>
  <c r="O711" i="2"/>
  <c r="P711" i="2" s="1" a="1"/>
  <c r="P711" i="2" s="1"/>
  <c r="O712" i="2"/>
  <c r="P712" i="2" s="1" a="1"/>
  <c r="P712" i="2" s="1"/>
  <c r="O713" i="2"/>
  <c r="P713" i="2" s="1" a="1"/>
  <c r="P713" i="2" s="1"/>
  <c r="O714" i="2"/>
  <c r="P714" i="2" s="1" a="1"/>
  <c r="P714" i="2" s="1"/>
  <c r="O715" i="2"/>
  <c r="P715" i="2" s="1" a="1"/>
  <c r="P715" i="2" s="1"/>
  <c r="O716" i="2"/>
  <c r="P716" i="2" s="1" a="1"/>
  <c r="P716" i="2" s="1"/>
  <c r="O717" i="2"/>
  <c r="P717" i="2" s="1" a="1"/>
  <c r="P717" i="2" s="1"/>
  <c r="O718" i="2"/>
  <c r="P718" i="2" s="1" a="1"/>
  <c r="P718" i="2" s="1"/>
  <c r="O719" i="2"/>
  <c r="P719" i="2" s="1" a="1"/>
  <c r="P719" i="2" s="1"/>
  <c r="O720" i="2"/>
  <c r="P720" i="2" s="1" a="1"/>
  <c r="P720" i="2" s="1"/>
  <c r="O721" i="2"/>
  <c r="P721" i="2" s="1" a="1"/>
  <c r="P721" i="2" s="1"/>
  <c r="O722" i="2"/>
  <c r="P722" i="2" s="1" a="1"/>
  <c r="P722" i="2" s="1"/>
  <c r="O723" i="2"/>
  <c r="P723" i="2" s="1" a="1"/>
  <c r="P723" i="2" s="1"/>
  <c r="O724" i="2"/>
  <c r="P724" i="2" s="1" a="1"/>
  <c r="P724" i="2" s="1"/>
  <c r="O725" i="2"/>
  <c r="P725" i="2" s="1" a="1"/>
  <c r="P725" i="2" s="1"/>
  <c r="O726" i="2"/>
  <c r="P726" i="2" s="1" a="1"/>
  <c r="P726" i="2" s="1"/>
  <c r="O727" i="2"/>
  <c r="P727" i="2" s="1" a="1"/>
  <c r="P727" i="2" s="1"/>
  <c r="O728" i="2"/>
  <c r="P728" i="2" s="1" a="1"/>
  <c r="P728" i="2" s="1"/>
  <c r="O729" i="2"/>
  <c r="P729" i="2" s="1" a="1"/>
  <c r="P729" i="2" s="1"/>
  <c r="O730" i="2"/>
  <c r="P730" i="2" s="1" a="1"/>
  <c r="P730" i="2" s="1"/>
  <c r="O731" i="2"/>
  <c r="P731" i="2" s="1" a="1"/>
  <c r="P731" i="2" s="1"/>
  <c r="O732" i="2"/>
  <c r="P732" i="2" s="1" a="1"/>
  <c r="P732" i="2" s="1"/>
  <c r="O733" i="2"/>
  <c r="P733" i="2" s="1" a="1"/>
  <c r="P733" i="2" s="1"/>
  <c r="O734" i="2"/>
  <c r="P734" i="2" s="1" a="1"/>
  <c r="P734" i="2" s="1"/>
  <c r="O735" i="2"/>
  <c r="P735" i="2" s="1" a="1"/>
  <c r="P735" i="2" s="1"/>
  <c r="O736" i="2"/>
  <c r="P736" i="2" s="1" a="1"/>
  <c r="P736" i="2" s="1"/>
  <c r="O737" i="2"/>
  <c r="P737" i="2" s="1" a="1"/>
  <c r="P737" i="2" s="1"/>
  <c r="O738" i="2"/>
  <c r="P738" i="2" s="1" a="1"/>
  <c r="P738" i="2" s="1"/>
  <c r="O739" i="2"/>
  <c r="P739" i="2" s="1" a="1"/>
  <c r="P739" i="2" s="1"/>
  <c r="O740" i="2"/>
  <c r="P740" i="2" s="1" a="1"/>
  <c r="P740" i="2" s="1"/>
  <c r="O741" i="2"/>
  <c r="P741" i="2" s="1" a="1"/>
  <c r="P741" i="2" s="1"/>
  <c r="O742" i="2"/>
  <c r="P742" i="2" s="1" a="1"/>
  <c r="P742" i="2" s="1"/>
  <c r="O743" i="2"/>
  <c r="P743" i="2" s="1" a="1"/>
  <c r="P743" i="2" s="1"/>
  <c r="O744" i="2"/>
  <c r="P744" i="2" s="1" a="1"/>
  <c r="P744" i="2" s="1"/>
  <c r="O745" i="2"/>
  <c r="P745" i="2" s="1" a="1"/>
  <c r="P745" i="2" s="1"/>
  <c r="O746" i="2"/>
  <c r="P746" i="2" s="1" a="1"/>
  <c r="P746" i="2" s="1"/>
  <c r="O747" i="2"/>
  <c r="P747" i="2" s="1" a="1"/>
  <c r="P747" i="2" s="1"/>
  <c r="O748" i="2"/>
  <c r="P748" i="2" s="1" a="1"/>
  <c r="P748" i="2" s="1"/>
  <c r="O749" i="2"/>
  <c r="P749" i="2" s="1" a="1"/>
  <c r="P749" i="2" s="1"/>
  <c r="O750" i="2"/>
  <c r="P750" i="2" s="1" a="1"/>
  <c r="P750" i="2" s="1"/>
  <c r="O751" i="2"/>
  <c r="P751" i="2" s="1" a="1"/>
  <c r="P751" i="2" s="1"/>
  <c r="O752" i="2"/>
  <c r="P752" i="2" s="1" a="1"/>
  <c r="P752" i="2" s="1"/>
  <c r="O753" i="2"/>
  <c r="P753" i="2" s="1" a="1"/>
  <c r="P753" i="2" s="1"/>
  <c r="O754" i="2"/>
  <c r="P754" i="2" s="1" a="1"/>
  <c r="P754" i="2" s="1"/>
  <c r="O755" i="2"/>
  <c r="P755" i="2" s="1" a="1"/>
  <c r="P755" i="2" s="1"/>
  <c r="O756" i="2"/>
  <c r="P756" i="2" s="1" a="1"/>
  <c r="P756" i="2" s="1"/>
  <c r="O757" i="2"/>
  <c r="P757" i="2" s="1" a="1"/>
  <c r="P757" i="2" s="1"/>
  <c r="O758" i="2"/>
  <c r="P758" i="2" s="1" a="1"/>
  <c r="P758" i="2" s="1"/>
  <c r="O759" i="2"/>
  <c r="P759" i="2" s="1" a="1"/>
  <c r="P759" i="2" s="1"/>
  <c r="O760" i="2"/>
  <c r="P760" i="2" s="1" a="1"/>
  <c r="P760" i="2" s="1"/>
  <c r="O761" i="2"/>
  <c r="P761" i="2" s="1" a="1"/>
  <c r="P761" i="2" s="1"/>
  <c r="O762" i="2"/>
  <c r="P762" i="2" s="1" a="1"/>
  <c r="P762" i="2" s="1"/>
  <c r="O763" i="2"/>
  <c r="P763" i="2" s="1" a="1"/>
  <c r="P763" i="2" s="1"/>
  <c r="O764" i="2"/>
  <c r="P764" i="2" s="1" a="1"/>
  <c r="P764" i="2" s="1"/>
  <c r="O765" i="2"/>
  <c r="P765" i="2" s="1" a="1"/>
  <c r="P765" i="2" s="1"/>
  <c r="O766" i="2"/>
  <c r="P766" i="2" s="1" a="1"/>
  <c r="P766" i="2" s="1"/>
  <c r="O767" i="2"/>
  <c r="P767" i="2" s="1" a="1"/>
  <c r="P767" i="2" s="1"/>
  <c r="O768" i="2"/>
  <c r="P768" i="2" s="1" a="1"/>
  <c r="P768" i="2" s="1"/>
  <c r="O769" i="2"/>
  <c r="P769" i="2" s="1" a="1"/>
  <c r="P769" i="2" s="1"/>
  <c r="O770" i="2"/>
  <c r="P770" i="2" s="1" a="1"/>
  <c r="P770" i="2" s="1"/>
  <c r="O771" i="2"/>
  <c r="P771" i="2" s="1" a="1"/>
  <c r="P771" i="2" s="1"/>
  <c r="O772" i="2"/>
  <c r="P772" i="2" s="1" a="1"/>
  <c r="P772" i="2" s="1"/>
  <c r="O773" i="2"/>
  <c r="P773" i="2" s="1" a="1"/>
  <c r="P773" i="2" s="1"/>
  <c r="O774" i="2"/>
  <c r="P774" i="2" s="1" a="1"/>
  <c r="P774" i="2" s="1"/>
  <c r="O775" i="2"/>
  <c r="P775" i="2" s="1" a="1"/>
  <c r="P775" i="2" s="1"/>
  <c r="O776" i="2"/>
  <c r="P776" i="2" s="1" a="1"/>
  <c r="P776" i="2" s="1"/>
  <c r="O777" i="2"/>
  <c r="P777" i="2" s="1" a="1"/>
  <c r="P777" i="2" s="1"/>
  <c r="O778" i="2"/>
  <c r="P778" i="2" s="1" a="1"/>
  <c r="P778" i="2" s="1"/>
  <c r="O779" i="2"/>
  <c r="P779" i="2" s="1" a="1"/>
  <c r="P779" i="2" s="1"/>
  <c r="O780" i="2"/>
  <c r="P780" i="2" s="1" a="1"/>
  <c r="P780" i="2" s="1"/>
  <c r="O781" i="2"/>
  <c r="P781" i="2" s="1" a="1"/>
  <c r="P781" i="2" s="1"/>
  <c r="O782" i="2"/>
  <c r="P782" i="2" s="1" a="1"/>
  <c r="P782" i="2" s="1"/>
  <c r="O783" i="2"/>
  <c r="P783" i="2" s="1" a="1"/>
  <c r="P783" i="2" s="1"/>
  <c r="O784" i="2"/>
  <c r="P784" i="2" s="1" a="1"/>
  <c r="P784" i="2" s="1"/>
  <c r="O785" i="2"/>
  <c r="P785" i="2" s="1" a="1"/>
  <c r="P785" i="2" s="1"/>
  <c r="O786" i="2"/>
  <c r="P786" i="2" s="1" a="1"/>
  <c r="P786" i="2" s="1"/>
  <c r="O787" i="2"/>
  <c r="P787" i="2" s="1" a="1"/>
  <c r="P787" i="2" s="1"/>
  <c r="O788" i="2"/>
  <c r="P788" i="2" s="1" a="1"/>
  <c r="P788" i="2" s="1"/>
  <c r="O789" i="2"/>
  <c r="P789" i="2" s="1" a="1"/>
  <c r="P789" i="2" s="1"/>
  <c r="O790" i="2"/>
  <c r="P790" i="2" s="1" a="1"/>
  <c r="P790" i="2" s="1"/>
  <c r="O791" i="2"/>
  <c r="P791" i="2" s="1" a="1"/>
  <c r="P791" i="2" s="1"/>
  <c r="O792" i="2"/>
  <c r="P792" i="2" s="1" a="1"/>
  <c r="P792" i="2" s="1"/>
  <c r="O793" i="2"/>
  <c r="P793" i="2" s="1" a="1"/>
  <c r="P793" i="2" s="1"/>
  <c r="O794" i="2"/>
  <c r="P794" i="2" s="1" a="1"/>
  <c r="P794" i="2" s="1"/>
  <c r="O795" i="2"/>
  <c r="P795" i="2" s="1" a="1"/>
  <c r="P795" i="2" s="1"/>
  <c r="O796" i="2"/>
  <c r="P796" i="2" s="1" a="1"/>
  <c r="P796" i="2" s="1"/>
  <c r="O797" i="2"/>
  <c r="P797" i="2" s="1" a="1"/>
  <c r="P797" i="2" s="1"/>
  <c r="O798" i="2"/>
  <c r="P798" i="2" s="1" a="1"/>
  <c r="P798" i="2" s="1"/>
  <c r="O799" i="2"/>
  <c r="P799" i="2" s="1" a="1"/>
  <c r="P799" i="2" s="1"/>
  <c r="O800" i="2"/>
  <c r="P800" i="2" s="1" a="1"/>
  <c r="P800" i="2" s="1"/>
  <c r="O801" i="2"/>
  <c r="P801" i="2" s="1" a="1"/>
  <c r="P801" i="2" s="1"/>
  <c r="O802" i="2"/>
  <c r="P802" i="2" s="1" a="1"/>
  <c r="P802" i="2" s="1"/>
  <c r="O803" i="2"/>
  <c r="P803" i="2" s="1" a="1"/>
  <c r="P803" i="2" s="1"/>
  <c r="O804" i="2"/>
  <c r="P804" i="2" s="1" a="1"/>
  <c r="P804" i="2" s="1"/>
  <c r="O805" i="2"/>
  <c r="P805" i="2" s="1" a="1"/>
  <c r="P805" i="2" s="1"/>
  <c r="O806" i="2"/>
  <c r="P806" i="2" s="1" a="1"/>
  <c r="P806" i="2" s="1"/>
  <c r="O807" i="2"/>
  <c r="P807" i="2" s="1" a="1"/>
  <c r="P807" i="2" s="1"/>
  <c r="O808" i="2"/>
  <c r="P808" i="2" s="1" a="1"/>
  <c r="P808" i="2" s="1"/>
  <c r="O809" i="2"/>
  <c r="P809" i="2" s="1" a="1"/>
  <c r="P809" i="2" s="1"/>
  <c r="O810" i="2"/>
  <c r="P810" i="2" s="1" a="1"/>
  <c r="P810" i="2" s="1"/>
  <c r="O811" i="2"/>
  <c r="P811" i="2" s="1" a="1"/>
  <c r="P811" i="2" s="1"/>
  <c r="O812" i="2"/>
  <c r="P812" i="2" s="1" a="1"/>
  <c r="P812" i="2" s="1"/>
  <c r="O813" i="2"/>
  <c r="P813" i="2" s="1" a="1"/>
  <c r="P813" i="2" s="1"/>
  <c r="O814" i="2"/>
  <c r="P814" i="2" s="1" a="1"/>
  <c r="P814" i="2" s="1"/>
  <c r="O815" i="2"/>
  <c r="P815" i="2" s="1" a="1"/>
  <c r="P815" i="2" s="1"/>
  <c r="O816" i="2"/>
  <c r="P816" i="2" s="1" a="1"/>
  <c r="P816" i="2" s="1"/>
  <c r="O817" i="2"/>
  <c r="P817" i="2" s="1" a="1"/>
  <c r="P817" i="2" s="1"/>
  <c r="O818" i="2"/>
  <c r="P818" i="2" s="1" a="1"/>
  <c r="P818" i="2" s="1"/>
  <c r="O819" i="2"/>
  <c r="P819" i="2" s="1" a="1"/>
  <c r="P819" i="2" s="1"/>
  <c r="O820" i="2"/>
  <c r="P820" i="2" s="1" a="1"/>
  <c r="P820" i="2" s="1"/>
  <c r="O821" i="2"/>
  <c r="P821" i="2" s="1" a="1"/>
  <c r="P821" i="2" s="1"/>
  <c r="O822" i="2"/>
  <c r="P822" i="2" s="1" a="1"/>
  <c r="P822" i="2" s="1"/>
  <c r="O823" i="2"/>
  <c r="P823" i="2" s="1" a="1"/>
  <c r="P823" i="2" s="1"/>
  <c r="O824" i="2"/>
  <c r="P824" i="2" s="1" a="1"/>
  <c r="P824" i="2" s="1"/>
  <c r="O825" i="2"/>
  <c r="P825" i="2" s="1" a="1"/>
  <c r="P825" i="2" s="1"/>
  <c r="O826" i="2"/>
  <c r="P826" i="2" s="1" a="1"/>
  <c r="P826" i="2" s="1"/>
  <c r="O827" i="2"/>
  <c r="P827" i="2" s="1" a="1"/>
  <c r="P827" i="2" s="1"/>
  <c r="O828" i="2"/>
  <c r="P828" i="2" s="1" a="1"/>
  <c r="P828" i="2" s="1"/>
  <c r="O829" i="2"/>
  <c r="P829" i="2" s="1" a="1"/>
  <c r="P829" i="2" s="1"/>
  <c r="O830" i="2"/>
  <c r="P830" i="2" s="1" a="1"/>
  <c r="P830" i="2" s="1"/>
  <c r="O831" i="2"/>
  <c r="P831" i="2" s="1" a="1"/>
  <c r="P831" i="2" s="1"/>
  <c r="O832" i="2"/>
  <c r="P832" i="2" s="1" a="1"/>
  <c r="P832" i="2" s="1"/>
  <c r="O833" i="2"/>
  <c r="P833" i="2" s="1" a="1"/>
  <c r="P833" i="2" s="1"/>
  <c r="O834" i="2"/>
  <c r="P834" i="2" s="1" a="1"/>
  <c r="P834" i="2" s="1"/>
  <c r="O835" i="2"/>
  <c r="P835" i="2" s="1" a="1"/>
  <c r="P835" i="2" s="1"/>
  <c r="O836" i="2"/>
  <c r="P836" i="2" s="1" a="1"/>
  <c r="P836" i="2" s="1"/>
  <c r="O837" i="2"/>
  <c r="P837" i="2" s="1" a="1"/>
  <c r="P837" i="2" s="1"/>
  <c r="O838" i="2"/>
  <c r="P838" i="2" s="1" a="1"/>
  <c r="P838" i="2" s="1"/>
  <c r="O839" i="2"/>
  <c r="P839" i="2" s="1" a="1"/>
  <c r="P839" i="2" s="1"/>
  <c r="O840" i="2"/>
  <c r="P840" i="2" s="1" a="1"/>
  <c r="P840" i="2" s="1"/>
  <c r="O841" i="2"/>
  <c r="P841" i="2" s="1" a="1"/>
  <c r="P841" i="2" s="1"/>
  <c r="O842" i="2"/>
  <c r="P842" i="2" s="1" a="1"/>
  <c r="P842" i="2" s="1"/>
  <c r="O843" i="2"/>
  <c r="P843" i="2" s="1" a="1"/>
  <c r="P843" i="2" s="1"/>
  <c r="O844" i="2"/>
  <c r="P844" i="2" s="1" a="1"/>
  <c r="P844" i="2" s="1"/>
  <c r="O845" i="2"/>
  <c r="P845" i="2" s="1" a="1"/>
  <c r="P845" i="2" s="1"/>
  <c r="O846" i="2"/>
  <c r="P846" i="2" s="1" a="1"/>
  <c r="P846" i="2" s="1"/>
  <c r="O847" i="2"/>
  <c r="P847" i="2" s="1" a="1"/>
  <c r="P847" i="2" s="1"/>
  <c r="O848" i="2"/>
  <c r="P848" i="2" s="1" a="1"/>
  <c r="P848" i="2" s="1"/>
  <c r="O849" i="2"/>
  <c r="P849" i="2" s="1" a="1"/>
  <c r="P849" i="2" s="1"/>
  <c r="O850" i="2"/>
  <c r="P850" i="2" s="1" a="1"/>
  <c r="P850" i="2" s="1"/>
  <c r="O851" i="2"/>
  <c r="P851" i="2" s="1" a="1"/>
  <c r="P851" i="2" s="1"/>
  <c r="O852" i="2"/>
  <c r="P852" i="2" s="1" a="1"/>
  <c r="P852" i="2" s="1"/>
  <c r="O853" i="2"/>
  <c r="P853" i="2" s="1" a="1"/>
  <c r="P853" i="2" s="1"/>
  <c r="O854" i="2"/>
  <c r="P854" i="2" s="1" a="1"/>
  <c r="P854" i="2" s="1"/>
  <c r="O855" i="2"/>
  <c r="P855" i="2" s="1" a="1"/>
  <c r="P855" i="2" s="1"/>
  <c r="O856" i="2"/>
  <c r="P856" i="2" s="1" a="1"/>
  <c r="P856" i="2" s="1"/>
  <c r="O857" i="2"/>
  <c r="P857" i="2" s="1" a="1"/>
  <c r="P857" i="2" s="1"/>
  <c r="O858" i="2"/>
  <c r="P858" i="2" s="1" a="1"/>
  <c r="P858" i="2" s="1"/>
  <c r="O859" i="2"/>
  <c r="P859" i="2" s="1" a="1"/>
  <c r="P859" i="2" s="1"/>
  <c r="O860" i="2"/>
  <c r="P860" i="2" s="1" a="1"/>
  <c r="P860" i="2" s="1"/>
  <c r="O861" i="2"/>
  <c r="P861" i="2" s="1" a="1"/>
  <c r="P861" i="2" s="1"/>
  <c r="O862" i="2"/>
  <c r="P862" i="2" s="1" a="1"/>
  <c r="P862" i="2" s="1"/>
  <c r="O863" i="2"/>
  <c r="P863" i="2" s="1" a="1"/>
  <c r="P863" i="2" s="1"/>
  <c r="O864" i="2"/>
  <c r="P864" i="2" s="1" a="1"/>
  <c r="P864" i="2" s="1"/>
  <c r="O865" i="2"/>
  <c r="P865" i="2" s="1" a="1"/>
  <c r="P865" i="2" s="1"/>
  <c r="O866" i="2"/>
  <c r="P866" i="2" s="1" a="1"/>
  <c r="P866" i="2" s="1"/>
  <c r="O867" i="2"/>
  <c r="P867" i="2" s="1" a="1"/>
  <c r="P867" i="2" s="1"/>
  <c r="O868" i="2"/>
  <c r="P868" i="2" s="1" a="1"/>
  <c r="P868" i="2" s="1"/>
  <c r="O869" i="2"/>
  <c r="P869" i="2" s="1" a="1"/>
  <c r="P869" i="2" s="1"/>
  <c r="O870" i="2"/>
  <c r="P870" i="2" s="1" a="1"/>
  <c r="P870" i="2" s="1"/>
  <c r="O871" i="2"/>
  <c r="P871" i="2" s="1" a="1"/>
  <c r="P871" i="2" s="1"/>
  <c r="O872" i="2"/>
  <c r="P872" i="2" s="1" a="1"/>
  <c r="P872" i="2" s="1"/>
  <c r="O873" i="2"/>
  <c r="P873" i="2" s="1" a="1"/>
  <c r="P873" i="2" s="1"/>
  <c r="O874" i="2"/>
  <c r="P874" i="2" s="1" a="1"/>
  <c r="P874" i="2" s="1"/>
  <c r="O875" i="2"/>
  <c r="P875" i="2" s="1" a="1"/>
  <c r="P875" i="2" s="1"/>
  <c r="O876" i="2"/>
  <c r="P876" i="2" s="1" a="1"/>
  <c r="P876" i="2" s="1"/>
  <c r="O877" i="2"/>
  <c r="P877" i="2" s="1" a="1"/>
  <c r="P877" i="2" s="1"/>
  <c r="O878" i="2"/>
  <c r="P878" i="2" s="1" a="1"/>
  <c r="P878" i="2" s="1"/>
  <c r="O879" i="2"/>
  <c r="P879" i="2" s="1" a="1"/>
  <c r="P879" i="2" s="1"/>
  <c r="O880" i="2"/>
  <c r="P880" i="2" s="1" a="1"/>
  <c r="P880" i="2" s="1"/>
  <c r="O881" i="2"/>
  <c r="P881" i="2" s="1" a="1"/>
  <c r="P881" i="2" s="1"/>
  <c r="O882" i="2"/>
  <c r="P882" i="2" s="1" a="1"/>
  <c r="P882" i="2" s="1"/>
  <c r="O883" i="2"/>
  <c r="P883" i="2" s="1" a="1"/>
  <c r="P883" i="2" s="1"/>
  <c r="O884" i="2"/>
  <c r="P884" i="2" s="1" a="1"/>
  <c r="P884" i="2" s="1"/>
  <c r="O885" i="2"/>
  <c r="P885" i="2" s="1" a="1"/>
  <c r="P885" i="2" s="1"/>
  <c r="O886" i="2"/>
  <c r="P886" i="2" s="1" a="1"/>
  <c r="P886" i="2" s="1"/>
  <c r="O887" i="2"/>
  <c r="P887" i="2" s="1" a="1"/>
  <c r="P887" i="2" s="1"/>
  <c r="O888" i="2"/>
  <c r="P888" i="2" s="1" a="1"/>
  <c r="P888" i="2" s="1"/>
  <c r="O889" i="2"/>
  <c r="P889" i="2" s="1" a="1"/>
  <c r="P889" i="2" s="1"/>
  <c r="O890" i="2"/>
  <c r="P890" i="2" s="1" a="1"/>
  <c r="P890" i="2" s="1"/>
  <c r="O891" i="2"/>
  <c r="P891" i="2" s="1" a="1"/>
  <c r="P891" i="2" s="1"/>
  <c r="O892" i="2"/>
  <c r="P892" i="2" s="1" a="1"/>
  <c r="P892" i="2" s="1"/>
  <c r="O893" i="2"/>
  <c r="P893" i="2" s="1" a="1"/>
  <c r="P893" i="2" s="1"/>
  <c r="O894" i="2"/>
  <c r="P894" i="2" s="1" a="1"/>
  <c r="P894" i="2" s="1"/>
  <c r="O895" i="2"/>
  <c r="P895" i="2" s="1" a="1"/>
  <c r="P895" i="2" s="1"/>
  <c r="O896" i="2"/>
  <c r="P896" i="2" s="1" a="1"/>
  <c r="P896" i="2" s="1"/>
  <c r="O897" i="2"/>
  <c r="P897" i="2" s="1" a="1"/>
  <c r="P897" i="2" s="1"/>
  <c r="O898" i="2"/>
  <c r="P898" i="2" s="1" a="1"/>
  <c r="P898" i="2" s="1"/>
  <c r="O899" i="2"/>
  <c r="P899" i="2" s="1" a="1"/>
  <c r="P899" i="2" s="1"/>
  <c r="O900" i="2"/>
  <c r="P900" i="2" s="1" a="1"/>
  <c r="P900" i="2" s="1"/>
  <c r="O901" i="2"/>
  <c r="P901" i="2" s="1" a="1"/>
  <c r="P901" i="2" s="1"/>
  <c r="O902" i="2"/>
  <c r="P902" i="2" s="1" a="1"/>
  <c r="P902" i="2" s="1"/>
  <c r="O903" i="2"/>
  <c r="P903" i="2" s="1" a="1"/>
  <c r="P903" i="2" s="1"/>
  <c r="O904" i="2"/>
  <c r="P904" i="2" s="1" a="1"/>
  <c r="P904" i="2" s="1"/>
  <c r="O905" i="2"/>
  <c r="P905" i="2" s="1" a="1"/>
  <c r="P905" i="2" s="1"/>
  <c r="O906" i="2"/>
  <c r="P906" i="2" s="1" a="1"/>
  <c r="P906" i="2" s="1"/>
  <c r="O907" i="2"/>
  <c r="P907" i="2" s="1" a="1"/>
  <c r="P907" i="2" s="1"/>
  <c r="O908" i="2"/>
  <c r="P908" i="2" s="1" a="1"/>
  <c r="P908" i="2" s="1"/>
  <c r="O909" i="2"/>
  <c r="P909" i="2" s="1" a="1"/>
  <c r="P909" i="2" s="1"/>
  <c r="O910" i="2"/>
  <c r="P910" i="2" s="1" a="1"/>
  <c r="P910" i="2" s="1"/>
  <c r="O911" i="2"/>
  <c r="P911" i="2" s="1" a="1"/>
  <c r="P911" i="2" s="1"/>
  <c r="O912" i="2"/>
  <c r="P912" i="2" s="1" a="1"/>
  <c r="P912" i="2" s="1"/>
  <c r="O913" i="2"/>
  <c r="P913" i="2" s="1" a="1"/>
  <c r="P913" i="2" s="1"/>
  <c r="O914" i="2"/>
  <c r="P914" i="2" s="1" a="1"/>
  <c r="P914" i="2" s="1"/>
  <c r="O915" i="2"/>
  <c r="P915" i="2" s="1" a="1"/>
  <c r="P915" i="2" s="1"/>
  <c r="O916" i="2"/>
  <c r="P916" i="2" s="1" a="1"/>
  <c r="P916" i="2" s="1"/>
  <c r="O917" i="2"/>
  <c r="P917" i="2" s="1" a="1"/>
  <c r="P917" i="2" s="1"/>
  <c r="O918" i="2"/>
  <c r="P918" i="2" s="1" a="1"/>
  <c r="P918" i="2" s="1"/>
  <c r="O919" i="2"/>
  <c r="P919" i="2" s="1" a="1"/>
  <c r="P919" i="2" s="1"/>
  <c r="O920" i="2"/>
  <c r="P920" i="2" s="1" a="1"/>
  <c r="P920" i="2" s="1"/>
  <c r="O921" i="2"/>
  <c r="P921" i="2" s="1" a="1"/>
  <c r="P921" i="2" s="1"/>
  <c r="O922" i="2"/>
  <c r="P922" i="2" s="1" a="1"/>
  <c r="P922" i="2" s="1"/>
  <c r="O923" i="2"/>
  <c r="P923" i="2" s="1" a="1"/>
  <c r="P923" i="2" s="1"/>
  <c r="O924" i="2"/>
  <c r="P924" i="2" s="1" a="1"/>
  <c r="P924" i="2" s="1"/>
  <c r="O925" i="2"/>
  <c r="P925" i="2" s="1" a="1"/>
  <c r="P925" i="2" s="1"/>
  <c r="O926" i="2"/>
  <c r="P926" i="2" s="1" a="1"/>
  <c r="P926" i="2" s="1"/>
  <c r="O927" i="2"/>
  <c r="P927" i="2" s="1" a="1"/>
  <c r="P927" i="2" s="1"/>
  <c r="O928" i="2"/>
  <c r="P928" i="2" s="1" a="1"/>
  <c r="P928" i="2" s="1"/>
  <c r="O929" i="2"/>
  <c r="P929" i="2" s="1" a="1"/>
  <c r="P929" i="2" s="1"/>
  <c r="O930" i="2"/>
  <c r="P930" i="2" s="1" a="1"/>
  <c r="P930" i="2" s="1"/>
  <c r="O931" i="2"/>
  <c r="P931" i="2" s="1" a="1"/>
  <c r="P931" i="2" s="1"/>
  <c r="O932" i="2"/>
  <c r="P932" i="2" s="1" a="1"/>
  <c r="P932" i="2" s="1"/>
  <c r="O933" i="2"/>
  <c r="P933" i="2" s="1" a="1"/>
  <c r="P933" i="2" s="1"/>
  <c r="O934" i="2"/>
  <c r="P934" i="2" s="1" a="1"/>
  <c r="P934" i="2" s="1"/>
  <c r="O935" i="2"/>
  <c r="P935" i="2" s="1" a="1"/>
  <c r="P935" i="2" s="1"/>
  <c r="O936" i="2"/>
  <c r="P936" i="2" s="1" a="1"/>
  <c r="P936" i="2" s="1"/>
  <c r="O937" i="2"/>
  <c r="P937" i="2" s="1" a="1"/>
  <c r="P937" i="2" s="1"/>
  <c r="O938" i="2"/>
  <c r="P938" i="2" s="1" a="1"/>
  <c r="P938" i="2" s="1"/>
  <c r="O939" i="2"/>
  <c r="P939" i="2" s="1" a="1"/>
  <c r="P939" i="2" s="1"/>
  <c r="O940" i="2"/>
  <c r="P940" i="2" s="1" a="1"/>
  <c r="P940" i="2" s="1"/>
  <c r="O941" i="2"/>
  <c r="P941" i="2" s="1" a="1"/>
  <c r="P941" i="2" s="1"/>
  <c r="O942" i="2"/>
  <c r="P942" i="2" s="1" a="1"/>
  <c r="P942" i="2" s="1"/>
  <c r="O943" i="2"/>
  <c r="P943" i="2" s="1" a="1"/>
  <c r="P943" i="2" s="1"/>
  <c r="O944" i="2"/>
  <c r="P944" i="2" s="1" a="1"/>
  <c r="P944" i="2" s="1"/>
  <c r="O945" i="2"/>
  <c r="P945" i="2" s="1" a="1"/>
  <c r="P945" i="2" s="1"/>
  <c r="O946" i="2"/>
  <c r="P946" i="2" s="1" a="1"/>
  <c r="P946" i="2" s="1"/>
  <c r="O947" i="2"/>
  <c r="P947" i="2" s="1" a="1"/>
  <c r="P947" i="2" s="1"/>
  <c r="O948" i="2"/>
  <c r="P948" i="2" s="1" a="1"/>
  <c r="P948" i="2" s="1"/>
  <c r="O949" i="2"/>
  <c r="P949" i="2" s="1" a="1"/>
  <c r="P949" i="2" s="1"/>
  <c r="O950" i="2"/>
  <c r="P950" i="2" s="1" a="1"/>
  <c r="P950" i="2" s="1"/>
  <c r="O951" i="2"/>
  <c r="P951" i="2" s="1" a="1"/>
  <c r="P951" i="2" s="1"/>
  <c r="O952" i="2"/>
  <c r="P952" i="2" s="1" a="1"/>
  <c r="P952" i="2" s="1"/>
  <c r="O953" i="2"/>
  <c r="P953" i="2" s="1" a="1"/>
  <c r="P953" i="2" s="1"/>
  <c r="O954" i="2"/>
  <c r="P954" i="2" s="1" a="1"/>
  <c r="P954" i="2" s="1"/>
  <c r="O955" i="2"/>
  <c r="P955" i="2" s="1" a="1"/>
  <c r="P955" i="2" s="1"/>
  <c r="O956" i="2"/>
  <c r="P956" i="2" s="1" a="1"/>
  <c r="P956" i="2" s="1"/>
  <c r="O957" i="2"/>
  <c r="P957" i="2" s="1" a="1"/>
  <c r="P957" i="2" s="1"/>
  <c r="O958" i="2"/>
  <c r="P958" i="2" s="1" a="1"/>
  <c r="P958" i="2" s="1"/>
  <c r="O959" i="2"/>
  <c r="P959" i="2" s="1" a="1"/>
  <c r="P959" i="2" s="1"/>
  <c r="O960" i="2"/>
  <c r="P960" i="2" s="1" a="1"/>
  <c r="P960" i="2" s="1"/>
  <c r="O961" i="2"/>
  <c r="P961" i="2" s="1" a="1"/>
  <c r="P961" i="2" s="1"/>
  <c r="O962" i="2"/>
  <c r="P962" i="2" s="1" a="1"/>
  <c r="P962" i="2" s="1"/>
  <c r="O963" i="2"/>
  <c r="P963" i="2" s="1" a="1"/>
  <c r="P963" i="2" s="1"/>
  <c r="O964" i="2"/>
  <c r="P964" i="2" s="1" a="1"/>
  <c r="P964" i="2" s="1"/>
  <c r="O965" i="2"/>
  <c r="P965" i="2" s="1" a="1"/>
  <c r="P965" i="2" s="1"/>
  <c r="O966" i="2"/>
  <c r="P966" i="2" s="1" a="1"/>
  <c r="P966" i="2" s="1"/>
  <c r="O967" i="2"/>
  <c r="P967" i="2" s="1" a="1"/>
  <c r="P967" i="2" s="1"/>
  <c r="O968" i="2"/>
  <c r="P968" i="2" s="1" a="1"/>
  <c r="P968" i="2" s="1"/>
  <c r="O969" i="2"/>
  <c r="P969" i="2" s="1" a="1"/>
  <c r="P969" i="2" s="1"/>
  <c r="O970" i="2"/>
  <c r="P970" i="2" s="1" a="1"/>
  <c r="P970" i="2" s="1"/>
  <c r="O971" i="2"/>
  <c r="P971" i="2" s="1" a="1"/>
  <c r="P971" i="2" s="1"/>
  <c r="O972" i="2"/>
  <c r="P972" i="2" s="1" a="1"/>
  <c r="P972" i="2" s="1"/>
  <c r="O973" i="2"/>
  <c r="P973" i="2" s="1" a="1"/>
  <c r="P973" i="2" s="1"/>
  <c r="O974" i="2"/>
  <c r="P974" i="2" s="1" a="1"/>
  <c r="P974" i="2" s="1"/>
  <c r="O975" i="2"/>
  <c r="P975" i="2" s="1" a="1"/>
  <c r="P975" i="2" s="1"/>
  <c r="O976" i="2"/>
  <c r="P976" i="2" s="1" a="1"/>
  <c r="P976" i="2" s="1"/>
  <c r="O977" i="2"/>
  <c r="P977" i="2" s="1" a="1"/>
  <c r="P977" i="2" s="1"/>
  <c r="O978" i="2"/>
  <c r="P978" i="2" s="1" a="1"/>
  <c r="P978" i="2" s="1"/>
  <c r="O979" i="2"/>
  <c r="P979" i="2" s="1" a="1"/>
  <c r="P979" i="2" s="1"/>
  <c r="O980" i="2"/>
  <c r="P980" i="2" s="1" a="1"/>
  <c r="P980" i="2" s="1"/>
  <c r="O981" i="2"/>
  <c r="P981" i="2" s="1" a="1"/>
  <c r="P981" i="2" s="1"/>
  <c r="O982" i="2"/>
  <c r="P982" i="2" s="1" a="1"/>
  <c r="P982" i="2" s="1"/>
  <c r="O983" i="2"/>
  <c r="P983" i="2" s="1" a="1"/>
  <c r="P983" i="2" s="1"/>
  <c r="O984" i="2"/>
  <c r="P984" i="2" s="1" a="1"/>
  <c r="P984" i="2" s="1"/>
  <c r="O985" i="2"/>
  <c r="P985" i="2" s="1" a="1"/>
  <c r="P985" i="2" s="1"/>
  <c r="O986" i="2"/>
  <c r="P986" i="2" s="1" a="1"/>
  <c r="P986" i="2" s="1"/>
  <c r="O987" i="2"/>
  <c r="P987" i="2" s="1" a="1"/>
  <c r="P987" i="2" s="1"/>
  <c r="O988" i="2"/>
  <c r="P988" i="2" s="1" a="1"/>
  <c r="P988" i="2" s="1"/>
  <c r="O989" i="2"/>
  <c r="P989" i="2" s="1" a="1"/>
  <c r="P989" i="2" s="1"/>
  <c r="O990" i="2"/>
  <c r="P990" i="2" s="1" a="1"/>
  <c r="P990" i="2" s="1"/>
  <c r="O991" i="2"/>
  <c r="P991" i="2" s="1" a="1"/>
  <c r="P991" i="2" s="1"/>
  <c r="O992" i="2"/>
  <c r="P992" i="2" s="1" a="1"/>
  <c r="P992" i="2" s="1"/>
  <c r="O993" i="2"/>
  <c r="P993" i="2" s="1" a="1"/>
  <c r="P993" i="2" s="1"/>
  <c r="O994" i="2"/>
  <c r="P994" i="2" s="1" a="1"/>
  <c r="P994" i="2" s="1"/>
  <c r="O995" i="2"/>
  <c r="P995" i="2" s="1" a="1"/>
  <c r="P995" i="2" s="1"/>
  <c r="O996" i="2"/>
  <c r="P996" i="2" s="1" a="1"/>
  <c r="P996" i="2" s="1"/>
  <c r="O997" i="2"/>
  <c r="P997" i="2" s="1" a="1"/>
  <c r="P997" i="2" s="1"/>
  <c r="O998" i="2"/>
  <c r="P998" i="2" s="1" a="1"/>
  <c r="P998" i="2" s="1"/>
  <c r="O999" i="2"/>
  <c r="P999" i="2" s="1" a="1"/>
  <c r="P999" i="2" s="1"/>
  <c r="O1000" i="2"/>
  <c r="P1000" i="2" s="1" a="1"/>
  <c r="P1000" i="2" s="1"/>
  <c r="O1001" i="2"/>
  <c r="P1001" i="2" s="1" a="1"/>
  <c r="P1001" i="2" s="1"/>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2" i="2"/>
  <c r="R3" i="2" a="1"/>
  <c r="R3" i="2" s="1"/>
  <c r="R4" i="2" a="1"/>
  <c r="R4" i="2" s="1"/>
  <c r="R5" i="2" a="1"/>
  <c r="R5" i="2" s="1"/>
  <c r="R6" i="2" a="1"/>
  <c r="R6" i="2" s="1"/>
  <c r="R7" i="2" a="1"/>
  <c r="R7" i="2" s="1"/>
  <c r="R8" i="2" a="1"/>
  <c r="R8" i="2" s="1"/>
  <c r="R9" i="2" a="1"/>
  <c r="R9" i="2" s="1"/>
  <c r="R10" i="2" a="1"/>
  <c r="R10" i="2" s="1"/>
  <c r="R11" i="2" a="1"/>
  <c r="R11" i="2" s="1"/>
  <c r="R12" i="2" a="1"/>
  <c r="R12" i="2" s="1"/>
  <c r="R13" i="2" a="1"/>
  <c r="R13" i="2" s="1"/>
  <c r="R14" i="2" a="1"/>
  <c r="R14" i="2" s="1"/>
  <c r="R15" i="2" a="1"/>
  <c r="R15" i="2" s="1"/>
  <c r="R16" i="2" a="1"/>
  <c r="R16" i="2" s="1"/>
  <c r="R17" i="2" a="1"/>
  <c r="R17" i="2" s="1"/>
  <c r="R18" i="2" a="1"/>
  <c r="R18" i="2" s="1"/>
  <c r="R19" i="2" a="1"/>
  <c r="R19" i="2" s="1"/>
  <c r="R20" i="2" a="1"/>
  <c r="R20" i="2" s="1"/>
  <c r="R21" i="2" a="1"/>
  <c r="R21" i="2" s="1"/>
  <c r="R22" i="2" a="1"/>
  <c r="R22" i="2" s="1"/>
  <c r="R23" i="2" a="1"/>
  <c r="R23" i="2" s="1"/>
  <c r="R24" i="2" a="1"/>
  <c r="R24" i="2" s="1"/>
  <c r="R25" i="2" a="1"/>
  <c r="R25" i="2" s="1"/>
  <c r="R26" i="2" a="1"/>
  <c r="R26" i="2" s="1"/>
  <c r="R27" i="2" a="1"/>
  <c r="R27" i="2" s="1"/>
  <c r="R28" i="2" a="1"/>
  <c r="R28" i="2" s="1"/>
  <c r="R29" i="2" a="1"/>
  <c r="R29" i="2" s="1"/>
  <c r="R30" i="2" a="1"/>
  <c r="R30" i="2" s="1"/>
  <c r="R31" i="2" a="1"/>
  <c r="R31" i="2" s="1"/>
  <c r="R32" i="2" a="1"/>
  <c r="R32" i="2" s="1"/>
  <c r="R33" i="2" a="1"/>
  <c r="R33" i="2" s="1"/>
  <c r="R34" i="2" a="1"/>
  <c r="R34" i="2" s="1"/>
  <c r="R35" i="2" a="1"/>
  <c r="R35" i="2" s="1"/>
  <c r="R36" i="2" a="1"/>
  <c r="R36" i="2" s="1"/>
  <c r="R37" i="2" a="1"/>
  <c r="R37" i="2" s="1"/>
  <c r="R38" i="2" a="1"/>
  <c r="R38" i="2" s="1"/>
  <c r="R39" i="2" a="1"/>
  <c r="R39" i="2" s="1"/>
  <c r="R40" i="2" a="1"/>
  <c r="R40" i="2" s="1"/>
  <c r="R41" i="2" a="1"/>
  <c r="R41" i="2" s="1"/>
  <c r="R42" i="2" a="1"/>
  <c r="R42" i="2" s="1"/>
  <c r="R43" i="2" a="1"/>
  <c r="R43" i="2" s="1"/>
  <c r="R44" i="2" a="1"/>
  <c r="R44" i="2" s="1"/>
  <c r="R45" i="2" a="1"/>
  <c r="R45" i="2" s="1"/>
  <c r="R46" i="2" a="1"/>
  <c r="R46" i="2" s="1"/>
  <c r="R47" i="2" a="1"/>
  <c r="R47" i="2" s="1"/>
  <c r="R48" i="2" a="1"/>
  <c r="R48" i="2" s="1"/>
  <c r="R49" i="2" a="1"/>
  <c r="R49" i="2" s="1"/>
  <c r="R50" i="2" a="1"/>
  <c r="R50" i="2" s="1"/>
  <c r="R51" i="2" a="1"/>
  <c r="R51" i="2" s="1"/>
  <c r="R52" i="2" a="1"/>
  <c r="R52" i="2" s="1"/>
  <c r="R53" i="2" a="1"/>
  <c r="R53" i="2" s="1"/>
  <c r="R54" i="2" a="1"/>
  <c r="R54" i="2" s="1"/>
  <c r="R55" i="2" a="1"/>
  <c r="R55" i="2" s="1"/>
  <c r="R56" i="2" a="1"/>
  <c r="R56" i="2" s="1"/>
  <c r="R57" i="2" a="1"/>
  <c r="R57" i="2" s="1"/>
  <c r="R58" i="2" a="1"/>
  <c r="R58" i="2" s="1"/>
  <c r="R59" i="2" a="1"/>
  <c r="R59" i="2" s="1"/>
  <c r="R60" i="2" a="1"/>
  <c r="R60" i="2" s="1"/>
  <c r="R61" i="2" a="1"/>
  <c r="R61" i="2" s="1"/>
  <c r="R62" i="2" a="1"/>
  <c r="R62" i="2" s="1"/>
  <c r="R63" i="2" a="1"/>
  <c r="R63" i="2" s="1"/>
  <c r="R64" i="2" a="1"/>
  <c r="R64" i="2" s="1"/>
  <c r="R65" i="2" a="1"/>
  <c r="R65" i="2" s="1"/>
  <c r="R66" i="2" a="1"/>
  <c r="R66" i="2" s="1"/>
  <c r="R67" i="2" a="1"/>
  <c r="R67" i="2" s="1"/>
  <c r="R68" i="2" a="1"/>
  <c r="R68" i="2" s="1"/>
  <c r="R69" i="2" a="1"/>
  <c r="R69" i="2" s="1"/>
  <c r="R70" i="2" a="1"/>
  <c r="R70" i="2" s="1"/>
  <c r="R71" i="2" a="1"/>
  <c r="R71" i="2" s="1"/>
  <c r="R72" i="2" a="1"/>
  <c r="R72" i="2" s="1"/>
  <c r="R73" i="2" a="1"/>
  <c r="R73" i="2" s="1"/>
  <c r="R74" i="2" a="1"/>
  <c r="R74" i="2" s="1"/>
  <c r="R75" i="2" a="1"/>
  <c r="R75" i="2" s="1"/>
  <c r="R76" i="2" a="1"/>
  <c r="R76" i="2" s="1"/>
  <c r="R77" i="2" a="1"/>
  <c r="R77" i="2" s="1"/>
  <c r="R78" i="2" a="1"/>
  <c r="R78" i="2" s="1"/>
  <c r="R79" i="2" a="1"/>
  <c r="R79" i="2" s="1"/>
  <c r="R80" i="2" a="1"/>
  <c r="R80" i="2" s="1"/>
  <c r="R81" i="2" a="1"/>
  <c r="R81" i="2" s="1"/>
  <c r="R82" i="2" a="1"/>
  <c r="R82" i="2" s="1"/>
  <c r="R83" i="2" a="1"/>
  <c r="R83" i="2" s="1"/>
  <c r="R84" i="2" a="1"/>
  <c r="R84" i="2" s="1"/>
  <c r="R85" i="2" a="1"/>
  <c r="R85" i="2" s="1"/>
  <c r="R86" i="2" a="1"/>
  <c r="R86" i="2" s="1"/>
  <c r="R87" i="2" a="1"/>
  <c r="R87" i="2" s="1"/>
  <c r="R88" i="2" a="1"/>
  <c r="R88" i="2" s="1"/>
  <c r="R89" i="2" a="1"/>
  <c r="R89" i="2" s="1"/>
  <c r="R90" i="2" a="1"/>
  <c r="R90" i="2" s="1"/>
  <c r="R91" i="2" a="1"/>
  <c r="R91" i="2" s="1"/>
  <c r="R92" i="2" a="1"/>
  <c r="R92" i="2" s="1"/>
  <c r="R93" i="2" a="1"/>
  <c r="R93" i="2" s="1"/>
  <c r="R94" i="2" a="1"/>
  <c r="R94" i="2" s="1"/>
  <c r="R95" i="2" a="1"/>
  <c r="R95" i="2" s="1"/>
  <c r="R96" i="2" a="1"/>
  <c r="R96" i="2" s="1"/>
  <c r="R97" i="2" a="1"/>
  <c r="R97" i="2" s="1"/>
  <c r="R98" i="2" a="1"/>
  <c r="R98" i="2" s="1"/>
  <c r="R99" i="2" a="1"/>
  <c r="R99" i="2" s="1"/>
  <c r="R100" i="2" a="1"/>
  <c r="R100" i="2" s="1"/>
  <c r="R101" i="2" a="1"/>
  <c r="R101" i="2" s="1"/>
  <c r="R102" i="2" a="1"/>
  <c r="R102" i="2" s="1"/>
  <c r="R103" i="2" a="1"/>
  <c r="R103" i="2" s="1"/>
  <c r="R104" i="2" a="1"/>
  <c r="R104" i="2" s="1"/>
  <c r="R105" i="2" a="1"/>
  <c r="R105" i="2" s="1"/>
  <c r="R106" i="2" a="1"/>
  <c r="R106" i="2" s="1"/>
  <c r="R107" i="2" a="1"/>
  <c r="R107" i="2" s="1"/>
  <c r="R108" i="2" a="1"/>
  <c r="R108" i="2" s="1"/>
  <c r="R109" i="2" a="1"/>
  <c r="R109" i="2" s="1"/>
  <c r="R110" i="2" a="1"/>
  <c r="R110" i="2" s="1"/>
  <c r="R111" i="2" a="1"/>
  <c r="R111" i="2" s="1"/>
  <c r="R112" i="2" a="1"/>
  <c r="R112" i="2" s="1"/>
  <c r="R113" i="2" a="1"/>
  <c r="R113" i="2" s="1"/>
  <c r="R114" i="2" a="1"/>
  <c r="R114" i="2" s="1"/>
  <c r="R115" i="2" a="1"/>
  <c r="R115" i="2" s="1"/>
  <c r="R116" i="2" a="1"/>
  <c r="R116" i="2" s="1"/>
  <c r="R117" i="2" a="1"/>
  <c r="R117" i="2" s="1"/>
  <c r="R118" i="2" a="1"/>
  <c r="R118" i="2" s="1"/>
  <c r="R119" i="2" a="1"/>
  <c r="R119" i="2" s="1"/>
  <c r="R120" i="2" a="1"/>
  <c r="R120" i="2" s="1"/>
  <c r="R121" i="2" a="1"/>
  <c r="R121" i="2" s="1"/>
  <c r="R122" i="2" a="1"/>
  <c r="R122" i="2" s="1"/>
  <c r="R123" i="2" a="1"/>
  <c r="R123" i="2" s="1"/>
  <c r="R124" i="2" a="1"/>
  <c r="R124" i="2" s="1"/>
  <c r="R125" i="2" a="1"/>
  <c r="R125" i="2" s="1"/>
  <c r="R126" i="2" a="1"/>
  <c r="R126" i="2" s="1"/>
  <c r="R127" i="2" a="1"/>
  <c r="R127" i="2" s="1"/>
  <c r="R128" i="2" a="1"/>
  <c r="R128" i="2" s="1"/>
  <c r="R129" i="2" a="1"/>
  <c r="R129" i="2" s="1"/>
  <c r="R130" i="2" a="1"/>
  <c r="R130" i="2" s="1"/>
  <c r="R131" i="2" a="1"/>
  <c r="R131" i="2" s="1"/>
  <c r="R132" i="2" a="1"/>
  <c r="R132" i="2" s="1"/>
  <c r="R133" i="2" a="1"/>
  <c r="R133" i="2"/>
  <c r="R134" i="2" a="1"/>
  <c r="R134" i="2" s="1"/>
  <c r="R135" i="2" a="1"/>
  <c r="R135" i="2" s="1"/>
  <c r="R136" i="2" a="1"/>
  <c r="R136" i="2" s="1"/>
  <c r="R137" i="2" a="1"/>
  <c r="R137" i="2" s="1"/>
  <c r="R138" i="2" a="1"/>
  <c r="R138" i="2" s="1"/>
  <c r="R139" i="2" a="1"/>
  <c r="R139" i="2" s="1"/>
  <c r="R140" i="2" a="1"/>
  <c r="R140" i="2" s="1"/>
  <c r="R141" i="2" a="1"/>
  <c r="R141" i="2" s="1"/>
  <c r="R142" i="2" a="1"/>
  <c r="R142" i="2" s="1"/>
  <c r="R143" i="2" a="1"/>
  <c r="R143" i="2" s="1"/>
  <c r="R144" i="2" a="1"/>
  <c r="R144" i="2" s="1"/>
  <c r="R145" i="2" a="1"/>
  <c r="R145" i="2" s="1"/>
  <c r="R146" i="2" a="1"/>
  <c r="R146" i="2" s="1"/>
  <c r="R147" i="2" a="1"/>
  <c r="R147" i="2" s="1"/>
  <c r="R148" i="2" a="1"/>
  <c r="R148" i="2" s="1"/>
  <c r="R149" i="2" a="1"/>
  <c r="R149" i="2" s="1"/>
  <c r="R150" i="2" a="1"/>
  <c r="R150" i="2" s="1"/>
  <c r="R151" i="2" a="1"/>
  <c r="R151" i="2" s="1"/>
  <c r="R152" i="2" a="1"/>
  <c r="R152" i="2" s="1"/>
  <c r="R153" i="2" a="1"/>
  <c r="R153" i="2" s="1"/>
  <c r="R154" i="2" a="1"/>
  <c r="R154" i="2" s="1"/>
  <c r="R155" i="2" a="1"/>
  <c r="R155" i="2" s="1"/>
  <c r="R156" i="2" a="1"/>
  <c r="R156" i="2" s="1"/>
  <c r="R157" i="2" a="1"/>
  <c r="R157" i="2" s="1"/>
  <c r="R158" i="2" a="1"/>
  <c r="R158" i="2" s="1"/>
  <c r="R159" i="2" a="1"/>
  <c r="R159" i="2" s="1"/>
  <c r="R160" i="2" a="1"/>
  <c r="R160" i="2" s="1"/>
  <c r="R161" i="2" a="1"/>
  <c r="R161" i="2" s="1"/>
  <c r="R162" i="2" a="1"/>
  <c r="R162" i="2" s="1"/>
  <c r="R163" i="2" a="1"/>
  <c r="R163" i="2" s="1"/>
  <c r="R164" i="2" a="1"/>
  <c r="R164" i="2" s="1"/>
  <c r="R165" i="2" a="1"/>
  <c r="R165" i="2" s="1"/>
  <c r="R166" i="2" a="1"/>
  <c r="R166" i="2" s="1"/>
  <c r="R167" i="2" a="1"/>
  <c r="R167" i="2" s="1"/>
  <c r="R168" i="2" a="1"/>
  <c r="R168" i="2" s="1"/>
  <c r="R169" i="2" a="1"/>
  <c r="R169" i="2" s="1"/>
  <c r="R170" i="2" a="1"/>
  <c r="R170" i="2" s="1"/>
  <c r="R171" i="2" a="1"/>
  <c r="R171" i="2" s="1"/>
  <c r="R172" i="2" a="1"/>
  <c r="R172" i="2" s="1"/>
  <c r="R173" i="2" a="1"/>
  <c r="R173" i="2" s="1"/>
  <c r="R174" i="2" a="1"/>
  <c r="R174" i="2" s="1"/>
  <c r="R175" i="2" a="1"/>
  <c r="R175" i="2" s="1"/>
  <c r="R176" i="2" a="1"/>
  <c r="R176" i="2" s="1"/>
  <c r="R177" i="2" a="1"/>
  <c r="R177" i="2" s="1"/>
  <c r="R178" i="2" a="1"/>
  <c r="R178" i="2" s="1"/>
  <c r="R179" i="2" a="1"/>
  <c r="R179" i="2" s="1"/>
  <c r="R180" i="2" a="1"/>
  <c r="R180" i="2" s="1"/>
  <c r="R181" i="2" a="1"/>
  <c r="R181" i="2" s="1"/>
  <c r="R182" i="2" a="1"/>
  <c r="R182" i="2" s="1"/>
  <c r="R183" i="2" a="1"/>
  <c r="R183" i="2" s="1"/>
  <c r="R184" i="2" a="1"/>
  <c r="R184" i="2" s="1"/>
  <c r="R185" i="2" a="1"/>
  <c r="R185" i="2" s="1"/>
  <c r="R186" i="2" a="1"/>
  <c r="R186" i="2" s="1"/>
  <c r="R187" i="2" a="1"/>
  <c r="R187" i="2" s="1"/>
  <c r="R188" i="2" a="1"/>
  <c r="R188" i="2" s="1"/>
  <c r="R189" i="2" a="1"/>
  <c r="R189" i="2" s="1"/>
  <c r="R190" i="2" a="1"/>
  <c r="R190" i="2" s="1"/>
  <c r="R191" i="2" a="1"/>
  <c r="R191" i="2" s="1"/>
  <c r="R192" i="2" a="1"/>
  <c r="R192" i="2" s="1"/>
  <c r="R193" i="2" a="1"/>
  <c r="R193" i="2" s="1"/>
  <c r="R194" i="2" a="1"/>
  <c r="R194" i="2" s="1"/>
  <c r="R195" i="2" a="1"/>
  <c r="R195" i="2" s="1"/>
  <c r="R196" i="2" a="1"/>
  <c r="R196" i="2" s="1"/>
  <c r="R197" i="2" a="1"/>
  <c r="R197" i="2" s="1"/>
  <c r="R198" i="2" a="1"/>
  <c r="R198" i="2" s="1"/>
  <c r="R199" i="2" a="1"/>
  <c r="R199" i="2" s="1"/>
  <c r="R200" i="2" a="1"/>
  <c r="R200" i="2" s="1"/>
  <c r="R201" i="2" a="1"/>
  <c r="R201" i="2" s="1"/>
  <c r="R202" i="2" a="1"/>
  <c r="R202" i="2" s="1"/>
  <c r="R203" i="2" a="1"/>
  <c r="R203" i="2" s="1"/>
  <c r="R204" i="2" a="1"/>
  <c r="R204" i="2" s="1"/>
  <c r="R205" i="2" a="1"/>
  <c r="R205" i="2" s="1"/>
  <c r="R206" i="2" a="1"/>
  <c r="R206" i="2" s="1"/>
  <c r="R207" i="2" a="1"/>
  <c r="R207" i="2" s="1"/>
  <c r="R208" i="2" a="1"/>
  <c r="R208" i="2" s="1"/>
  <c r="R209" i="2" a="1"/>
  <c r="R209" i="2" s="1"/>
  <c r="R210" i="2" a="1"/>
  <c r="R210" i="2" s="1"/>
  <c r="R211" i="2" a="1"/>
  <c r="R211" i="2" s="1"/>
  <c r="R212" i="2" a="1"/>
  <c r="R212" i="2" s="1"/>
  <c r="R213" i="2" a="1"/>
  <c r="R213" i="2" s="1"/>
  <c r="R214" i="2" a="1"/>
  <c r="R214" i="2" s="1"/>
  <c r="R215" i="2" a="1"/>
  <c r="R215" i="2" s="1"/>
  <c r="R216" i="2" a="1"/>
  <c r="R216" i="2" s="1"/>
  <c r="R217" i="2" a="1"/>
  <c r="R217" i="2" s="1"/>
  <c r="R218" i="2" a="1"/>
  <c r="R218" i="2" s="1"/>
  <c r="R219" i="2" a="1"/>
  <c r="R219" i="2" s="1"/>
  <c r="R220" i="2" a="1"/>
  <c r="R220" i="2" s="1"/>
  <c r="R221" i="2" a="1"/>
  <c r="R221" i="2" s="1"/>
  <c r="R222" i="2" a="1"/>
  <c r="R222" i="2" s="1"/>
  <c r="R223" i="2" a="1"/>
  <c r="R223" i="2" s="1"/>
  <c r="R224" i="2" a="1"/>
  <c r="R224" i="2" s="1"/>
  <c r="R225" i="2" a="1"/>
  <c r="R225" i="2" s="1"/>
  <c r="R226" i="2" a="1"/>
  <c r="R226" i="2" s="1"/>
  <c r="R227" i="2" a="1"/>
  <c r="R227" i="2" s="1"/>
  <c r="R228" i="2" a="1"/>
  <c r="R228" i="2" s="1"/>
  <c r="R229" i="2" a="1"/>
  <c r="R229" i="2" s="1"/>
  <c r="R230" i="2" a="1"/>
  <c r="R230" i="2" s="1"/>
  <c r="R231" i="2" a="1"/>
  <c r="R231" i="2" s="1"/>
  <c r="R232" i="2" a="1"/>
  <c r="R232" i="2" s="1"/>
  <c r="R233" i="2" a="1"/>
  <c r="R233" i="2" s="1"/>
  <c r="R234" i="2" a="1"/>
  <c r="R234" i="2" s="1"/>
  <c r="R235" i="2" a="1"/>
  <c r="R235" i="2" s="1"/>
  <c r="R236" i="2" a="1"/>
  <c r="R236" i="2" s="1"/>
  <c r="R237" i="2" a="1"/>
  <c r="R237" i="2" s="1"/>
  <c r="R238" i="2" a="1"/>
  <c r="R238" i="2" s="1"/>
  <c r="R239" i="2" a="1"/>
  <c r="R239" i="2" s="1"/>
  <c r="R240" i="2" a="1"/>
  <c r="R240" i="2" s="1"/>
  <c r="R241" i="2" a="1"/>
  <c r="R241" i="2" s="1"/>
  <c r="R242" i="2" a="1"/>
  <c r="R242" i="2" s="1"/>
  <c r="R243" i="2" a="1"/>
  <c r="R243" i="2" s="1"/>
  <c r="R244" i="2" a="1"/>
  <c r="R244" i="2" s="1"/>
  <c r="R245" i="2" a="1"/>
  <c r="R245" i="2" s="1"/>
  <c r="R246" i="2" a="1"/>
  <c r="R246" i="2" s="1"/>
  <c r="R247" i="2" a="1"/>
  <c r="R247" i="2" s="1"/>
  <c r="R248" i="2" a="1"/>
  <c r="R248" i="2" s="1"/>
  <c r="R249" i="2" a="1"/>
  <c r="R249" i="2" s="1"/>
  <c r="R250" i="2" a="1"/>
  <c r="R250" i="2" s="1"/>
  <c r="R251" i="2" a="1"/>
  <c r="R251" i="2" s="1"/>
  <c r="R252" i="2" a="1"/>
  <c r="R252" i="2" s="1"/>
  <c r="R253" i="2" a="1"/>
  <c r="R253" i="2" s="1"/>
  <c r="R254" i="2" a="1"/>
  <c r="R254" i="2" s="1"/>
  <c r="R255" i="2" a="1"/>
  <c r="R255" i="2" s="1"/>
  <c r="R256" i="2" a="1"/>
  <c r="R256" i="2" s="1"/>
  <c r="R257" i="2" a="1"/>
  <c r="R257" i="2" s="1"/>
  <c r="R258" i="2" a="1"/>
  <c r="R258" i="2" s="1"/>
  <c r="R259" i="2" a="1"/>
  <c r="R259" i="2" s="1"/>
  <c r="R260" i="2" a="1"/>
  <c r="R260" i="2" s="1"/>
  <c r="R261" i="2" a="1"/>
  <c r="R261" i="2" s="1"/>
  <c r="R262" i="2" a="1"/>
  <c r="R262" i="2" s="1"/>
  <c r="R263" i="2" a="1"/>
  <c r="R263" i="2" s="1"/>
  <c r="R264" i="2" a="1"/>
  <c r="R264" i="2" s="1"/>
  <c r="R265" i="2" a="1"/>
  <c r="R265" i="2" s="1"/>
  <c r="R266" i="2" a="1"/>
  <c r="R266" i="2" s="1"/>
  <c r="R267" i="2" a="1"/>
  <c r="R267" i="2" s="1"/>
  <c r="R268" i="2" a="1"/>
  <c r="R268" i="2" s="1"/>
  <c r="R269" i="2" a="1"/>
  <c r="R269" i="2" s="1"/>
  <c r="R270" i="2" a="1"/>
  <c r="R270" i="2" s="1"/>
  <c r="R271" i="2" a="1"/>
  <c r="R271" i="2" s="1"/>
  <c r="R272" i="2" a="1"/>
  <c r="R272" i="2" s="1"/>
  <c r="R273" i="2" a="1"/>
  <c r="R273" i="2" s="1"/>
  <c r="R274" i="2" a="1"/>
  <c r="R274" i="2" s="1"/>
  <c r="R275" i="2" a="1"/>
  <c r="R275" i="2" s="1"/>
  <c r="R276" i="2" a="1"/>
  <c r="R276" i="2" s="1"/>
  <c r="R277" i="2" a="1"/>
  <c r="R277" i="2" s="1"/>
  <c r="R278" i="2" a="1"/>
  <c r="R278" i="2" s="1"/>
  <c r="R279" i="2" a="1"/>
  <c r="R279" i="2" s="1"/>
  <c r="R280" i="2" a="1"/>
  <c r="R280" i="2" s="1"/>
  <c r="R281" i="2" a="1"/>
  <c r="R281" i="2" s="1"/>
  <c r="R282" i="2" a="1"/>
  <c r="R282" i="2" s="1"/>
  <c r="R283" i="2" a="1"/>
  <c r="R283" i="2" s="1"/>
  <c r="R284" i="2" a="1"/>
  <c r="R284" i="2" s="1"/>
  <c r="R285" i="2" a="1"/>
  <c r="R285" i="2" s="1"/>
  <c r="R286" i="2" a="1"/>
  <c r="R286" i="2" s="1"/>
  <c r="R287" i="2" a="1"/>
  <c r="R287" i="2" s="1"/>
  <c r="R288" i="2" a="1"/>
  <c r="R288" i="2" s="1"/>
  <c r="R289" i="2" a="1"/>
  <c r="R289" i="2" s="1"/>
  <c r="R290" i="2" a="1"/>
  <c r="R290" i="2" s="1"/>
  <c r="R291" i="2" a="1"/>
  <c r="R291" i="2" s="1"/>
  <c r="R292" i="2" a="1"/>
  <c r="R292" i="2" s="1"/>
  <c r="R293" i="2" a="1"/>
  <c r="R293" i="2" s="1"/>
  <c r="R294" i="2" a="1"/>
  <c r="R294" i="2" s="1"/>
  <c r="R295" i="2" a="1"/>
  <c r="R295" i="2" s="1"/>
  <c r="R296" i="2" a="1"/>
  <c r="R296" i="2" s="1"/>
  <c r="R297" i="2" a="1"/>
  <c r="R297" i="2" s="1"/>
  <c r="R298" i="2" a="1"/>
  <c r="R298" i="2" s="1"/>
  <c r="R299" i="2" a="1"/>
  <c r="R299" i="2" s="1"/>
  <c r="R300" i="2" a="1"/>
  <c r="R300" i="2" s="1"/>
  <c r="R301" i="2" a="1"/>
  <c r="R301" i="2" s="1"/>
  <c r="R302" i="2" a="1"/>
  <c r="R302" i="2" s="1"/>
  <c r="R303" i="2" a="1"/>
  <c r="R303" i="2" s="1"/>
  <c r="R304" i="2" a="1"/>
  <c r="R304" i="2" s="1"/>
  <c r="R305" i="2" a="1"/>
  <c r="R305" i="2" s="1"/>
  <c r="R306" i="2" a="1"/>
  <c r="R306" i="2" s="1"/>
  <c r="R307" i="2" a="1"/>
  <c r="R307" i="2" s="1"/>
  <c r="R308" i="2" a="1"/>
  <c r="R308" i="2" s="1"/>
  <c r="R309" i="2" a="1"/>
  <c r="R309" i="2" s="1"/>
  <c r="R310" i="2" a="1"/>
  <c r="R310" i="2" s="1"/>
  <c r="R311" i="2" a="1"/>
  <c r="R311" i="2" s="1"/>
  <c r="R312" i="2" a="1"/>
  <c r="R312" i="2" s="1"/>
  <c r="R313" i="2" a="1"/>
  <c r="R313" i="2" s="1"/>
  <c r="R314" i="2" a="1"/>
  <c r="R314" i="2" s="1"/>
  <c r="R315" i="2" a="1"/>
  <c r="R315" i="2" s="1"/>
  <c r="R316" i="2" a="1"/>
  <c r="R316" i="2" s="1"/>
  <c r="R317" i="2" a="1"/>
  <c r="R317" i="2" s="1"/>
  <c r="R318" i="2" a="1"/>
  <c r="R318" i="2" s="1"/>
  <c r="R319" i="2" a="1"/>
  <c r="R319" i="2" s="1"/>
  <c r="R320" i="2" a="1"/>
  <c r="R320" i="2" s="1"/>
  <c r="R321" i="2" a="1"/>
  <c r="R321" i="2" s="1"/>
  <c r="R322" i="2" a="1"/>
  <c r="R322" i="2" s="1"/>
  <c r="R323" i="2" a="1"/>
  <c r="R323" i="2" s="1"/>
  <c r="R324" i="2" a="1"/>
  <c r="R324" i="2" s="1"/>
  <c r="R325" i="2" a="1"/>
  <c r="R325" i="2" s="1"/>
  <c r="R326" i="2" a="1"/>
  <c r="R326" i="2" s="1"/>
  <c r="R327" i="2" a="1"/>
  <c r="R327" i="2" s="1"/>
  <c r="R328" i="2" a="1"/>
  <c r="R328" i="2" s="1"/>
  <c r="R329" i="2" a="1"/>
  <c r="R329" i="2" s="1"/>
  <c r="R330" i="2" a="1"/>
  <c r="R330" i="2" s="1"/>
  <c r="R331" i="2" a="1"/>
  <c r="R331" i="2" s="1"/>
  <c r="R332" i="2" a="1"/>
  <c r="R332" i="2" s="1"/>
  <c r="R333" i="2" a="1"/>
  <c r="R333" i="2" s="1"/>
  <c r="R334" i="2" a="1"/>
  <c r="R334" i="2" s="1"/>
  <c r="R335" i="2" a="1"/>
  <c r="R335" i="2" s="1"/>
  <c r="R336" i="2" a="1"/>
  <c r="R336" i="2" s="1"/>
  <c r="R337" i="2" a="1"/>
  <c r="R337" i="2" s="1"/>
  <c r="R338" i="2" a="1"/>
  <c r="R338" i="2" s="1"/>
  <c r="R339" i="2" a="1"/>
  <c r="R339" i="2" s="1"/>
  <c r="R340" i="2" a="1"/>
  <c r="R340" i="2" s="1"/>
  <c r="R341" i="2" a="1"/>
  <c r="R341" i="2" s="1"/>
  <c r="R342" i="2" a="1"/>
  <c r="R342" i="2" s="1"/>
  <c r="R343" i="2" a="1"/>
  <c r="R343" i="2" s="1"/>
  <c r="R344" i="2" a="1"/>
  <c r="R344" i="2" s="1"/>
  <c r="R345" i="2" a="1"/>
  <c r="R345" i="2" s="1"/>
  <c r="R346" i="2" a="1"/>
  <c r="R346" i="2" s="1"/>
  <c r="R347" i="2" a="1"/>
  <c r="R347" i="2" s="1"/>
  <c r="R348" i="2" a="1"/>
  <c r="R348" i="2" s="1"/>
  <c r="R349" i="2" a="1"/>
  <c r="R349" i="2" s="1"/>
  <c r="R350" i="2" a="1"/>
  <c r="R350" i="2" s="1"/>
  <c r="R351" i="2" a="1"/>
  <c r="R351" i="2" s="1"/>
  <c r="R352" i="2" a="1"/>
  <c r="R352" i="2" s="1"/>
  <c r="R353" i="2" a="1"/>
  <c r="R353" i="2" s="1"/>
  <c r="R354" i="2" a="1"/>
  <c r="R354" i="2" s="1"/>
  <c r="R355" i="2" a="1"/>
  <c r="R355" i="2" s="1"/>
  <c r="R356" i="2" a="1"/>
  <c r="R356" i="2" s="1"/>
  <c r="R357" i="2" a="1"/>
  <c r="R357" i="2" s="1"/>
  <c r="R358" i="2" a="1"/>
  <c r="R358" i="2" s="1"/>
  <c r="R359" i="2" a="1"/>
  <c r="R359" i="2" s="1"/>
  <c r="R360" i="2" a="1"/>
  <c r="R360" i="2" s="1"/>
  <c r="R361" i="2" a="1"/>
  <c r="R361" i="2" s="1"/>
  <c r="R362" i="2" a="1"/>
  <c r="R362" i="2" s="1"/>
  <c r="R363" i="2" a="1"/>
  <c r="R363" i="2" s="1"/>
  <c r="R364" i="2" a="1"/>
  <c r="R364" i="2" s="1"/>
  <c r="R365" i="2" a="1"/>
  <c r="R365" i="2" s="1"/>
  <c r="R366" i="2" a="1"/>
  <c r="R366" i="2" s="1"/>
  <c r="R367" i="2" a="1"/>
  <c r="R367" i="2" s="1"/>
  <c r="R368" i="2" a="1"/>
  <c r="R368" i="2" s="1"/>
  <c r="R369" i="2" a="1"/>
  <c r="R369" i="2" s="1"/>
  <c r="R370" i="2" a="1"/>
  <c r="R370" i="2" s="1"/>
  <c r="R371" i="2" a="1"/>
  <c r="R371" i="2" s="1"/>
  <c r="R372" i="2" a="1"/>
  <c r="R372" i="2" s="1"/>
  <c r="R373" i="2" a="1"/>
  <c r="R373" i="2" s="1"/>
  <c r="R374" i="2" a="1"/>
  <c r="R374" i="2" s="1"/>
  <c r="R375" i="2" a="1"/>
  <c r="R375" i="2" s="1"/>
  <c r="R376" i="2" a="1"/>
  <c r="R376" i="2" s="1"/>
  <c r="R377" i="2" a="1"/>
  <c r="R377" i="2" s="1"/>
  <c r="R378" i="2" a="1"/>
  <c r="R378" i="2" s="1"/>
  <c r="R379" i="2" a="1"/>
  <c r="R379" i="2" s="1"/>
  <c r="R380" i="2" a="1"/>
  <c r="R380" i="2" s="1"/>
  <c r="R381" i="2" a="1"/>
  <c r="R381" i="2" s="1"/>
  <c r="R382" i="2" a="1"/>
  <c r="R382" i="2" s="1"/>
  <c r="R383" i="2" a="1"/>
  <c r="R383" i="2" s="1"/>
  <c r="R384" i="2" a="1"/>
  <c r="R384" i="2" s="1"/>
  <c r="R385" i="2" a="1"/>
  <c r="R385" i="2" s="1"/>
  <c r="R386" i="2" a="1"/>
  <c r="R386" i="2" s="1"/>
  <c r="R387" i="2" a="1"/>
  <c r="R387" i="2" s="1"/>
  <c r="R388" i="2" a="1"/>
  <c r="R388" i="2" s="1"/>
  <c r="R389" i="2" a="1"/>
  <c r="R389" i="2" s="1"/>
  <c r="R390" i="2" a="1"/>
  <c r="R390" i="2" s="1"/>
  <c r="R391" i="2" a="1"/>
  <c r="R391" i="2" s="1"/>
  <c r="R392" i="2" a="1"/>
  <c r="R392" i="2" s="1"/>
  <c r="R393" i="2" a="1"/>
  <c r="R393" i="2" s="1"/>
  <c r="R394" i="2" a="1"/>
  <c r="R394" i="2" s="1"/>
  <c r="R395" i="2" a="1"/>
  <c r="R395" i="2" s="1"/>
  <c r="R396" i="2" a="1"/>
  <c r="R396" i="2" s="1"/>
  <c r="R397" i="2" a="1"/>
  <c r="R397" i="2" s="1"/>
  <c r="R398" i="2" a="1"/>
  <c r="R398" i="2" s="1"/>
  <c r="R399" i="2" a="1"/>
  <c r="R399" i="2" s="1"/>
  <c r="R400" i="2" a="1"/>
  <c r="R400" i="2" s="1"/>
  <c r="R401" i="2" a="1"/>
  <c r="R401" i="2" s="1"/>
  <c r="R402" i="2" a="1"/>
  <c r="R402" i="2" s="1"/>
  <c r="R403" i="2" a="1"/>
  <c r="R403" i="2" s="1"/>
  <c r="R404" i="2" a="1"/>
  <c r="R404" i="2" s="1"/>
  <c r="R405" i="2" a="1"/>
  <c r="R405" i="2" s="1"/>
  <c r="R406" i="2" a="1"/>
  <c r="R406" i="2" s="1"/>
  <c r="R407" i="2" a="1"/>
  <c r="R407" i="2" s="1"/>
  <c r="R408" i="2" a="1"/>
  <c r="R408" i="2" s="1"/>
  <c r="R409" i="2" a="1"/>
  <c r="R409" i="2" s="1"/>
  <c r="R410" i="2" a="1"/>
  <c r="R410" i="2" s="1"/>
  <c r="R411" i="2" a="1"/>
  <c r="R411" i="2" s="1"/>
  <c r="R412" i="2" a="1"/>
  <c r="R412" i="2" s="1"/>
  <c r="R413" i="2" a="1"/>
  <c r="R413" i="2" s="1"/>
  <c r="R414" i="2" a="1"/>
  <c r="R414" i="2" s="1"/>
  <c r="R415" i="2" a="1"/>
  <c r="R415" i="2" s="1"/>
  <c r="R416" i="2" a="1"/>
  <c r="R416" i="2" s="1"/>
  <c r="R417" i="2" a="1"/>
  <c r="R417" i="2" s="1"/>
  <c r="R418" i="2" a="1"/>
  <c r="R418" i="2" s="1"/>
  <c r="R419" i="2" a="1"/>
  <c r="R419" i="2" s="1"/>
  <c r="R420" i="2" a="1"/>
  <c r="R420" i="2" s="1"/>
  <c r="R421" i="2" a="1"/>
  <c r="R421" i="2" s="1"/>
  <c r="R422" i="2" a="1"/>
  <c r="R422" i="2" s="1"/>
  <c r="R423" i="2" a="1"/>
  <c r="R423" i="2" s="1"/>
  <c r="R424" i="2" a="1"/>
  <c r="R424" i="2" s="1"/>
  <c r="R425" i="2" a="1"/>
  <c r="R425" i="2" s="1"/>
  <c r="R426" i="2" a="1"/>
  <c r="R426" i="2" s="1"/>
  <c r="R427" i="2" a="1"/>
  <c r="R427" i="2" s="1"/>
  <c r="R428" i="2" a="1"/>
  <c r="R428" i="2" s="1"/>
  <c r="R429" i="2" a="1"/>
  <c r="R429" i="2" s="1"/>
  <c r="R430" i="2" a="1"/>
  <c r="R430" i="2" s="1"/>
  <c r="R431" i="2" a="1"/>
  <c r="R431" i="2" s="1"/>
  <c r="R432" i="2" a="1"/>
  <c r="R432" i="2" s="1"/>
  <c r="R433" i="2" a="1"/>
  <c r="R433" i="2" s="1"/>
  <c r="R434" i="2" a="1"/>
  <c r="R434" i="2" s="1"/>
  <c r="R435" i="2" a="1"/>
  <c r="R435" i="2" s="1"/>
  <c r="R436" i="2" a="1"/>
  <c r="R436" i="2" s="1"/>
  <c r="R437" i="2" a="1"/>
  <c r="R437" i="2" s="1"/>
  <c r="R438" i="2" a="1"/>
  <c r="R438" i="2" s="1"/>
  <c r="R439" i="2" a="1"/>
  <c r="R439" i="2" s="1"/>
  <c r="R440" i="2" a="1"/>
  <c r="R440" i="2" s="1"/>
  <c r="R441" i="2" a="1"/>
  <c r="R441" i="2" s="1"/>
  <c r="R442" i="2" a="1"/>
  <c r="R442" i="2" s="1"/>
  <c r="R443" i="2" a="1"/>
  <c r="R443" i="2" s="1"/>
  <c r="R444" i="2" a="1"/>
  <c r="R444" i="2" s="1"/>
  <c r="R445" i="2" a="1"/>
  <c r="R445" i="2" s="1"/>
  <c r="R446" i="2" a="1"/>
  <c r="R446" i="2" s="1"/>
  <c r="R447" i="2" a="1"/>
  <c r="R447" i="2" s="1"/>
  <c r="R448" i="2" a="1"/>
  <c r="R448" i="2" s="1"/>
  <c r="R449" i="2" a="1"/>
  <c r="R449" i="2" s="1"/>
  <c r="R450" i="2" a="1"/>
  <c r="R450" i="2" s="1"/>
  <c r="R451" i="2" a="1"/>
  <c r="R451" i="2" s="1"/>
  <c r="R452" i="2" a="1"/>
  <c r="R452" i="2" s="1"/>
  <c r="R453" i="2" a="1"/>
  <c r="R453" i="2" s="1"/>
  <c r="R454" i="2" a="1"/>
  <c r="R454" i="2" s="1"/>
  <c r="R455" i="2" a="1"/>
  <c r="R455" i="2" s="1"/>
  <c r="R456" i="2" a="1"/>
  <c r="R456" i="2" s="1"/>
  <c r="R457" i="2" a="1"/>
  <c r="R457" i="2" s="1"/>
  <c r="R458" i="2" a="1"/>
  <c r="R458" i="2" s="1"/>
  <c r="R459" i="2" a="1"/>
  <c r="R459" i="2" s="1"/>
  <c r="R460" i="2" a="1"/>
  <c r="R460" i="2" s="1"/>
  <c r="R461" i="2" a="1"/>
  <c r="R461" i="2" s="1"/>
  <c r="R462" i="2" a="1"/>
  <c r="R462" i="2" s="1"/>
  <c r="R463" i="2" a="1"/>
  <c r="R463" i="2" s="1"/>
  <c r="R464" i="2" a="1"/>
  <c r="R464" i="2" s="1"/>
  <c r="R465" i="2" a="1"/>
  <c r="R465" i="2" s="1"/>
  <c r="R466" i="2" a="1"/>
  <c r="R466" i="2" s="1"/>
  <c r="R467" i="2" a="1"/>
  <c r="R467" i="2" s="1"/>
  <c r="R468" i="2" a="1"/>
  <c r="R468" i="2" s="1"/>
  <c r="R469" i="2" a="1"/>
  <c r="R469" i="2" s="1"/>
  <c r="R470" i="2" a="1"/>
  <c r="R470" i="2" s="1"/>
  <c r="R471" i="2" a="1"/>
  <c r="R471" i="2" s="1"/>
  <c r="R472" i="2" a="1"/>
  <c r="R472" i="2" s="1"/>
  <c r="R473" i="2" a="1"/>
  <c r="R473" i="2" s="1"/>
  <c r="R474" i="2" a="1"/>
  <c r="R474" i="2" s="1"/>
  <c r="R475" i="2" a="1"/>
  <c r="R475" i="2" s="1"/>
  <c r="R476" i="2" a="1"/>
  <c r="R476" i="2" s="1"/>
  <c r="R477" i="2" a="1"/>
  <c r="R477" i="2" s="1"/>
  <c r="R478" i="2" a="1"/>
  <c r="R478" i="2" s="1"/>
  <c r="R479" i="2" a="1"/>
  <c r="R479" i="2" s="1"/>
  <c r="R480" i="2" a="1"/>
  <c r="R480" i="2" s="1"/>
  <c r="R481" i="2" a="1"/>
  <c r="R481" i="2" s="1"/>
  <c r="R482" i="2" a="1"/>
  <c r="R482" i="2" s="1"/>
  <c r="R483" i="2" a="1"/>
  <c r="R483" i="2" s="1"/>
  <c r="R484" i="2" a="1"/>
  <c r="R484" i="2" s="1"/>
  <c r="R485" i="2" a="1"/>
  <c r="R485" i="2" s="1"/>
  <c r="R486" i="2" a="1"/>
  <c r="R486" i="2" s="1"/>
  <c r="R487" i="2" a="1"/>
  <c r="R487" i="2" s="1"/>
  <c r="R488" i="2" a="1"/>
  <c r="R488" i="2" s="1"/>
  <c r="R489" i="2" a="1"/>
  <c r="R489" i="2" s="1"/>
  <c r="R490" i="2" a="1"/>
  <c r="R490" i="2" s="1"/>
  <c r="R491" i="2" a="1"/>
  <c r="R491" i="2" s="1"/>
  <c r="R492" i="2" a="1"/>
  <c r="R492" i="2" s="1"/>
  <c r="R493" i="2" a="1"/>
  <c r="R493" i="2" s="1"/>
  <c r="R494" i="2" a="1"/>
  <c r="R494" i="2" s="1"/>
  <c r="R495" i="2" a="1"/>
  <c r="R495" i="2" s="1"/>
  <c r="R496" i="2" a="1"/>
  <c r="R496" i="2" s="1"/>
  <c r="R497" i="2" a="1"/>
  <c r="R497" i="2" s="1"/>
  <c r="R498" i="2" a="1"/>
  <c r="R498" i="2" s="1"/>
  <c r="R499" i="2" a="1"/>
  <c r="R499" i="2" s="1"/>
  <c r="R500" i="2" a="1"/>
  <c r="R500" i="2" s="1"/>
  <c r="R501" i="2" a="1"/>
  <c r="R501" i="2" s="1"/>
  <c r="R502" i="2" a="1"/>
  <c r="R502" i="2" s="1"/>
  <c r="R503" i="2" a="1"/>
  <c r="R503" i="2" s="1"/>
  <c r="R504" i="2" a="1"/>
  <c r="R504" i="2" s="1"/>
  <c r="R505" i="2" a="1"/>
  <c r="R505" i="2" s="1"/>
  <c r="R506" i="2" a="1"/>
  <c r="R506" i="2" s="1"/>
  <c r="R507" i="2" a="1"/>
  <c r="R507" i="2" s="1"/>
  <c r="R508" i="2" a="1"/>
  <c r="R508" i="2" s="1"/>
  <c r="R509" i="2" a="1"/>
  <c r="R509" i="2" s="1"/>
  <c r="R510" i="2" a="1"/>
  <c r="R510" i="2" s="1"/>
  <c r="R511" i="2" a="1"/>
  <c r="R511" i="2" s="1"/>
  <c r="R512" i="2" a="1"/>
  <c r="R512" i="2" s="1"/>
  <c r="R513" i="2" a="1"/>
  <c r="R513" i="2" s="1"/>
  <c r="R514" i="2" a="1"/>
  <c r="R514" i="2" s="1"/>
  <c r="R515" i="2" a="1"/>
  <c r="R515" i="2" s="1"/>
  <c r="R516" i="2" a="1"/>
  <c r="R516" i="2" s="1"/>
  <c r="R517" i="2" a="1"/>
  <c r="R517" i="2" s="1"/>
  <c r="R518" i="2" a="1"/>
  <c r="R518" i="2" s="1"/>
  <c r="R519" i="2" a="1"/>
  <c r="R519" i="2" s="1"/>
  <c r="R520" i="2" a="1"/>
  <c r="R520" i="2" s="1"/>
  <c r="R521" i="2" a="1"/>
  <c r="R521" i="2" s="1"/>
  <c r="R522" i="2" a="1"/>
  <c r="R522" i="2" s="1"/>
  <c r="R523" i="2" a="1"/>
  <c r="R523" i="2" s="1"/>
  <c r="R524" i="2" a="1"/>
  <c r="R524" i="2" s="1"/>
  <c r="R525" i="2" a="1"/>
  <c r="R525" i="2" s="1"/>
  <c r="R526" i="2" a="1"/>
  <c r="R526" i="2" s="1"/>
  <c r="R527" i="2" a="1"/>
  <c r="R527" i="2" s="1"/>
  <c r="R528" i="2" a="1"/>
  <c r="R528" i="2" s="1"/>
  <c r="R529" i="2" a="1"/>
  <c r="R529" i="2" s="1"/>
  <c r="R530" i="2" a="1"/>
  <c r="R530" i="2" s="1"/>
  <c r="R531" i="2" a="1"/>
  <c r="R531" i="2" s="1"/>
  <c r="R532" i="2" a="1"/>
  <c r="R532" i="2" s="1"/>
  <c r="R533" i="2" a="1"/>
  <c r="R533" i="2" s="1"/>
  <c r="R534" i="2" a="1"/>
  <c r="R534" i="2" s="1"/>
  <c r="R535" i="2" a="1"/>
  <c r="R535" i="2" s="1"/>
  <c r="R536" i="2" a="1"/>
  <c r="R536" i="2" s="1"/>
  <c r="R537" i="2" a="1"/>
  <c r="R537" i="2" s="1"/>
  <c r="R538" i="2" a="1"/>
  <c r="R538" i="2" s="1"/>
  <c r="R539" i="2" a="1"/>
  <c r="R539" i="2" s="1"/>
  <c r="R540" i="2" a="1"/>
  <c r="R540" i="2" s="1"/>
  <c r="R541" i="2" a="1"/>
  <c r="R541" i="2" s="1"/>
  <c r="R542" i="2" a="1"/>
  <c r="R542" i="2" s="1"/>
  <c r="R543" i="2" a="1"/>
  <c r="R543" i="2" s="1"/>
  <c r="R544" i="2" a="1"/>
  <c r="R544" i="2" s="1"/>
  <c r="R545" i="2" a="1"/>
  <c r="R545" i="2" s="1"/>
  <c r="R546" i="2" a="1"/>
  <c r="R546" i="2" s="1"/>
  <c r="R547" i="2" a="1"/>
  <c r="R547" i="2" s="1"/>
  <c r="R548" i="2" a="1"/>
  <c r="R548" i="2" s="1"/>
  <c r="R549" i="2" a="1"/>
  <c r="R549" i="2" s="1"/>
  <c r="R550" i="2" a="1"/>
  <c r="R550" i="2" s="1"/>
  <c r="R551" i="2" a="1"/>
  <c r="R551" i="2" s="1"/>
  <c r="R552" i="2" a="1"/>
  <c r="R552" i="2" s="1"/>
  <c r="R553" i="2" a="1"/>
  <c r="R553" i="2" s="1"/>
  <c r="R554" i="2" a="1"/>
  <c r="R554" i="2" s="1"/>
  <c r="R555" i="2" a="1"/>
  <c r="R555" i="2" s="1"/>
  <c r="R556" i="2" a="1"/>
  <c r="R556" i="2" s="1"/>
  <c r="R557" i="2" a="1"/>
  <c r="R557" i="2" s="1"/>
  <c r="R558" i="2" a="1"/>
  <c r="R558" i="2" s="1"/>
  <c r="R559" i="2" a="1"/>
  <c r="R559" i="2" s="1"/>
  <c r="R560" i="2" a="1"/>
  <c r="R560" i="2" s="1"/>
  <c r="R561" i="2" a="1"/>
  <c r="R561" i="2" s="1"/>
  <c r="R562" i="2" a="1"/>
  <c r="R562" i="2" s="1"/>
  <c r="R563" i="2" a="1"/>
  <c r="R563" i="2" s="1"/>
  <c r="R564" i="2" a="1"/>
  <c r="R564" i="2" s="1"/>
  <c r="R565" i="2" a="1"/>
  <c r="R565" i="2" s="1"/>
  <c r="R566" i="2" a="1"/>
  <c r="R566" i="2" s="1"/>
  <c r="R567" i="2" a="1"/>
  <c r="R567" i="2" s="1"/>
  <c r="R568" i="2" a="1"/>
  <c r="R568" i="2" s="1"/>
  <c r="R569" i="2" a="1"/>
  <c r="R569" i="2" s="1"/>
  <c r="R570" i="2" a="1"/>
  <c r="R570" i="2" s="1"/>
  <c r="R571" i="2" a="1"/>
  <c r="R571" i="2" s="1"/>
  <c r="R572" i="2" a="1"/>
  <c r="R572" i="2" s="1"/>
  <c r="R573" i="2" a="1"/>
  <c r="R573" i="2" s="1"/>
  <c r="R574" i="2" a="1"/>
  <c r="R574" i="2" s="1"/>
  <c r="R575" i="2" a="1"/>
  <c r="R575" i="2" s="1"/>
  <c r="R576" i="2" a="1"/>
  <c r="R576" i="2" s="1"/>
  <c r="R577" i="2" a="1"/>
  <c r="R577" i="2" s="1"/>
  <c r="R578" i="2" a="1"/>
  <c r="R578" i="2" s="1"/>
  <c r="R579" i="2" a="1"/>
  <c r="R579" i="2" s="1"/>
  <c r="R580" i="2" a="1"/>
  <c r="R580" i="2" s="1"/>
  <c r="R581" i="2" a="1"/>
  <c r="R581" i="2" s="1"/>
  <c r="R582" i="2" a="1"/>
  <c r="R582" i="2" s="1"/>
  <c r="R583" i="2" a="1"/>
  <c r="R583" i="2" s="1"/>
  <c r="R584" i="2" a="1"/>
  <c r="R584" i="2" s="1"/>
  <c r="R585" i="2" a="1"/>
  <c r="R585" i="2" s="1"/>
  <c r="R586" i="2" a="1"/>
  <c r="R586" i="2" s="1"/>
  <c r="R587" i="2" a="1"/>
  <c r="R587" i="2" s="1"/>
  <c r="R588" i="2" a="1"/>
  <c r="R588" i="2" s="1"/>
  <c r="R589" i="2" a="1"/>
  <c r="R589" i="2" s="1"/>
  <c r="R590" i="2" a="1"/>
  <c r="R590" i="2" s="1"/>
  <c r="R591" i="2" a="1"/>
  <c r="R591" i="2" s="1"/>
  <c r="R592" i="2" a="1"/>
  <c r="R592" i="2" s="1"/>
  <c r="R593" i="2" a="1"/>
  <c r="R593" i="2" s="1"/>
  <c r="R594" i="2" a="1"/>
  <c r="R594" i="2" s="1"/>
  <c r="R595" i="2" a="1"/>
  <c r="R595" i="2" s="1"/>
  <c r="R596" i="2" a="1"/>
  <c r="R596" i="2" s="1"/>
  <c r="R597" i="2" a="1"/>
  <c r="R597" i="2" s="1"/>
  <c r="R598" i="2" a="1"/>
  <c r="R598" i="2" s="1"/>
  <c r="R599" i="2" a="1"/>
  <c r="R599" i="2" s="1"/>
  <c r="R600" i="2" a="1"/>
  <c r="R600" i="2" s="1"/>
  <c r="R601" i="2" a="1"/>
  <c r="R601" i="2" s="1"/>
  <c r="R602" i="2" a="1"/>
  <c r="R602" i="2" s="1"/>
  <c r="R603" i="2" a="1"/>
  <c r="R603" i="2" s="1"/>
  <c r="R604" i="2" a="1"/>
  <c r="R604" i="2" s="1"/>
  <c r="R605" i="2" a="1"/>
  <c r="R605" i="2" s="1"/>
  <c r="R606" i="2" a="1"/>
  <c r="R606" i="2" s="1"/>
  <c r="R607" i="2" a="1"/>
  <c r="R607" i="2" s="1"/>
  <c r="R608" i="2" a="1"/>
  <c r="R608" i="2" s="1"/>
  <c r="R609" i="2" a="1"/>
  <c r="R609" i="2" s="1"/>
  <c r="R610" i="2" a="1"/>
  <c r="R610" i="2" s="1"/>
  <c r="R611" i="2" a="1"/>
  <c r="R611" i="2" s="1"/>
  <c r="R612" i="2" a="1"/>
  <c r="R612" i="2" s="1"/>
  <c r="R613" i="2" a="1"/>
  <c r="R613" i="2" s="1"/>
  <c r="R614" i="2" a="1"/>
  <c r="R614" i="2" s="1"/>
  <c r="R615" i="2" a="1"/>
  <c r="R615" i="2" s="1"/>
  <c r="R616" i="2" a="1"/>
  <c r="R616" i="2" s="1"/>
  <c r="R617" i="2" a="1"/>
  <c r="R617" i="2" s="1"/>
  <c r="R618" i="2" a="1"/>
  <c r="R618" i="2" s="1"/>
  <c r="R619" i="2" a="1"/>
  <c r="R619" i="2" s="1"/>
  <c r="R620" i="2" a="1"/>
  <c r="R620" i="2" s="1"/>
  <c r="R621" i="2" a="1"/>
  <c r="R621" i="2" s="1"/>
  <c r="R622" i="2" a="1"/>
  <c r="R622" i="2" s="1"/>
  <c r="R623" i="2" a="1"/>
  <c r="R623" i="2" s="1"/>
  <c r="R624" i="2" a="1"/>
  <c r="R624" i="2" s="1"/>
  <c r="R625" i="2" a="1"/>
  <c r="R625" i="2" s="1"/>
  <c r="R626" i="2" a="1"/>
  <c r="R626" i="2" s="1"/>
  <c r="R627" i="2" a="1"/>
  <c r="R627" i="2" s="1"/>
  <c r="R628" i="2" a="1"/>
  <c r="R628" i="2" s="1"/>
  <c r="R629" i="2" a="1"/>
  <c r="R629" i="2" s="1"/>
  <c r="R630" i="2" a="1"/>
  <c r="R630" i="2" s="1"/>
  <c r="R631" i="2" a="1"/>
  <c r="R631" i="2" s="1"/>
  <c r="R632" i="2" a="1"/>
  <c r="R632" i="2" s="1"/>
  <c r="R633" i="2" a="1"/>
  <c r="R633" i="2" s="1"/>
  <c r="R634" i="2" a="1"/>
  <c r="R634" i="2" s="1"/>
  <c r="R635" i="2" a="1"/>
  <c r="R635" i="2" s="1"/>
  <c r="R636" i="2" a="1"/>
  <c r="R636" i="2" s="1"/>
  <c r="R637" i="2" a="1"/>
  <c r="R637" i="2" s="1"/>
  <c r="R638" i="2" a="1"/>
  <c r="R638" i="2" s="1"/>
  <c r="R639" i="2" a="1"/>
  <c r="R639" i="2" s="1"/>
  <c r="R640" i="2" a="1"/>
  <c r="R640" i="2" s="1"/>
  <c r="R641" i="2" a="1"/>
  <c r="R641" i="2" s="1"/>
  <c r="R642" i="2" a="1"/>
  <c r="R642" i="2" s="1"/>
  <c r="R643" i="2" a="1"/>
  <c r="R643" i="2"/>
  <c r="R644" i="2" a="1"/>
  <c r="R644" i="2" s="1"/>
  <c r="R645" i="2" a="1"/>
  <c r="R645" i="2" s="1"/>
  <c r="R646" i="2" a="1"/>
  <c r="R646" i="2" s="1"/>
  <c r="R647" i="2" a="1"/>
  <c r="R647" i="2" s="1"/>
  <c r="R648" i="2" a="1"/>
  <c r="R648" i="2" s="1"/>
  <c r="R649" i="2" a="1"/>
  <c r="R649" i="2" s="1"/>
  <c r="R650" i="2" a="1"/>
  <c r="R650" i="2" s="1"/>
  <c r="R651" i="2" a="1"/>
  <c r="R651" i="2" s="1"/>
  <c r="R652" i="2" a="1"/>
  <c r="R652" i="2" s="1"/>
  <c r="R653" i="2" a="1"/>
  <c r="R653" i="2" s="1"/>
  <c r="R654" i="2" a="1"/>
  <c r="R654" i="2" s="1"/>
  <c r="R655" i="2" a="1"/>
  <c r="R655" i="2" s="1"/>
  <c r="R656" i="2" a="1"/>
  <c r="R656" i="2" s="1"/>
  <c r="R657" i="2" a="1"/>
  <c r="R657" i="2" s="1"/>
  <c r="R658" i="2" a="1"/>
  <c r="R658" i="2"/>
  <c r="R659" i="2" a="1"/>
  <c r="R659" i="2" s="1"/>
  <c r="R660" i="2" a="1"/>
  <c r="R660" i="2" s="1"/>
  <c r="R661" i="2" a="1"/>
  <c r="R661" i="2" s="1"/>
  <c r="R662" i="2" a="1"/>
  <c r="R662" i="2" s="1"/>
  <c r="R663" i="2" a="1"/>
  <c r="R663" i="2" s="1"/>
  <c r="R664" i="2" a="1"/>
  <c r="R664" i="2" s="1"/>
  <c r="R665" i="2" a="1"/>
  <c r="R665" i="2" s="1"/>
  <c r="R666" i="2" a="1"/>
  <c r="R666" i="2" s="1"/>
  <c r="R667" i="2" a="1"/>
  <c r="R667" i="2" s="1"/>
  <c r="R668" i="2" a="1"/>
  <c r="R668" i="2" s="1"/>
  <c r="R669" i="2" a="1"/>
  <c r="R669" i="2" s="1"/>
  <c r="R670" i="2" a="1"/>
  <c r="R670" i="2" s="1"/>
  <c r="R671" i="2" a="1"/>
  <c r="R671" i="2" s="1"/>
  <c r="R672" i="2" a="1"/>
  <c r="R672" i="2" s="1"/>
  <c r="R673" i="2" a="1"/>
  <c r="R673" i="2" s="1"/>
  <c r="R674" i="2" a="1"/>
  <c r="R674" i="2" s="1"/>
  <c r="R675" i="2" a="1"/>
  <c r="R675" i="2" s="1"/>
  <c r="R676" i="2" a="1"/>
  <c r="R676" i="2" s="1"/>
  <c r="R677" i="2" a="1"/>
  <c r="R677" i="2" s="1"/>
  <c r="R678" i="2" a="1"/>
  <c r="R678" i="2" s="1"/>
  <c r="R679" i="2" a="1"/>
  <c r="R679" i="2" s="1"/>
  <c r="R680" i="2" a="1"/>
  <c r="R680" i="2" s="1"/>
  <c r="R681" i="2" a="1"/>
  <c r="R681" i="2" s="1"/>
  <c r="R682" i="2" a="1"/>
  <c r="R682" i="2" s="1"/>
  <c r="R683" i="2" a="1"/>
  <c r="R683" i="2" s="1"/>
  <c r="R684" i="2" a="1"/>
  <c r="R684" i="2" s="1"/>
  <c r="R685" i="2" a="1"/>
  <c r="R685" i="2" s="1"/>
  <c r="R686" i="2" a="1"/>
  <c r="R686" i="2" s="1"/>
  <c r="R687" i="2" a="1"/>
  <c r="R687" i="2" s="1"/>
  <c r="R688" i="2" a="1"/>
  <c r="R688" i="2" s="1"/>
  <c r="R689" i="2" a="1"/>
  <c r="R689" i="2" s="1"/>
  <c r="R690" i="2" a="1"/>
  <c r="R690" i="2" s="1"/>
  <c r="R691" i="2" a="1"/>
  <c r="R691" i="2" s="1"/>
  <c r="R692" i="2" a="1"/>
  <c r="R692" i="2" s="1"/>
  <c r="R693" i="2" a="1"/>
  <c r="R693" i="2" s="1"/>
  <c r="R694" i="2" a="1"/>
  <c r="R694" i="2" s="1"/>
  <c r="R695" i="2" a="1"/>
  <c r="R695" i="2" s="1"/>
  <c r="R696" i="2" a="1"/>
  <c r="R696" i="2" s="1"/>
  <c r="R697" i="2" a="1"/>
  <c r="R697" i="2" s="1"/>
  <c r="R698" i="2" a="1"/>
  <c r="R698" i="2" s="1"/>
  <c r="R699" i="2" a="1"/>
  <c r="R699" i="2" s="1"/>
  <c r="R700" i="2" a="1"/>
  <c r="R700" i="2" s="1"/>
  <c r="R701" i="2" a="1"/>
  <c r="R701" i="2" s="1"/>
  <c r="R702" i="2" a="1"/>
  <c r="R702" i="2" s="1"/>
  <c r="R703" i="2" a="1"/>
  <c r="R703" i="2" s="1"/>
  <c r="R704" i="2" a="1"/>
  <c r="R704" i="2" s="1"/>
  <c r="R705" i="2" a="1"/>
  <c r="R705" i="2" s="1"/>
  <c r="R706" i="2" a="1"/>
  <c r="R706" i="2" s="1"/>
  <c r="R707" i="2" a="1"/>
  <c r="R707" i="2" s="1"/>
  <c r="R708" i="2" a="1"/>
  <c r="R708" i="2" s="1"/>
  <c r="R709" i="2" a="1"/>
  <c r="R709" i="2" s="1"/>
  <c r="R710" i="2" a="1"/>
  <c r="R710" i="2" s="1"/>
  <c r="R711" i="2" a="1"/>
  <c r="R711" i="2" s="1"/>
  <c r="R712" i="2" a="1"/>
  <c r="R712" i="2" s="1"/>
  <c r="R713" i="2" a="1"/>
  <c r="R713" i="2" s="1"/>
  <c r="R714" i="2" a="1"/>
  <c r="R714" i="2" s="1"/>
  <c r="R715" i="2" a="1"/>
  <c r="R715" i="2" s="1"/>
  <c r="R716" i="2" a="1"/>
  <c r="R716" i="2" s="1"/>
  <c r="R717" i="2" a="1"/>
  <c r="R717" i="2" s="1"/>
  <c r="R718" i="2" a="1"/>
  <c r="R718" i="2" s="1"/>
  <c r="R719" i="2" a="1"/>
  <c r="R719" i="2" s="1"/>
  <c r="R720" i="2" a="1"/>
  <c r="R720" i="2" s="1"/>
  <c r="R721" i="2" a="1"/>
  <c r="R721" i="2" s="1"/>
  <c r="R722" i="2" a="1"/>
  <c r="R722" i="2" s="1"/>
  <c r="R723" i="2" a="1"/>
  <c r="R723" i="2" s="1"/>
  <c r="R724" i="2" a="1"/>
  <c r="R724" i="2" s="1"/>
  <c r="R725" i="2" a="1"/>
  <c r="R725" i="2" s="1"/>
  <c r="R726" i="2" a="1"/>
  <c r="R726" i="2" s="1"/>
  <c r="R727" i="2" a="1"/>
  <c r="R727" i="2" s="1"/>
  <c r="R728" i="2" a="1"/>
  <c r="R728" i="2" s="1"/>
  <c r="R729" i="2" a="1"/>
  <c r="R729" i="2" s="1"/>
  <c r="R730" i="2" a="1"/>
  <c r="R730" i="2" s="1"/>
  <c r="R731" i="2" a="1"/>
  <c r="R731" i="2" s="1"/>
  <c r="R732" i="2" a="1"/>
  <c r="R732" i="2" s="1"/>
  <c r="R733" i="2" a="1"/>
  <c r="R733" i="2" s="1"/>
  <c r="R734" i="2" a="1"/>
  <c r="R734" i="2" s="1"/>
  <c r="R735" i="2" a="1"/>
  <c r="R735" i="2" s="1"/>
  <c r="R736" i="2" a="1"/>
  <c r="R736" i="2" s="1"/>
  <c r="R737" i="2" a="1"/>
  <c r="R737" i="2" s="1"/>
  <c r="R738" i="2" a="1"/>
  <c r="R738" i="2" s="1"/>
  <c r="R739" i="2" a="1"/>
  <c r="R739" i="2" s="1"/>
  <c r="R740" i="2" a="1"/>
  <c r="R740" i="2" s="1"/>
  <c r="R741" i="2" a="1"/>
  <c r="R741" i="2" s="1"/>
  <c r="R742" i="2" a="1"/>
  <c r="R742" i="2" s="1"/>
  <c r="R743" i="2" a="1"/>
  <c r="R743" i="2" s="1"/>
  <c r="R744" i="2" a="1"/>
  <c r="R744" i="2" s="1"/>
  <c r="R745" i="2" a="1"/>
  <c r="R745" i="2" s="1"/>
  <c r="R746" i="2" a="1"/>
  <c r="R746" i="2" s="1"/>
  <c r="R747" i="2" a="1"/>
  <c r="R747" i="2" s="1"/>
  <c r="R748" i="2" a="1"/>
  <c r="R748" i="2" s="1"/>
  <c r="R749" i="2" a="1"/>
  <c r="R749" i="2" s="1"/>
  <c r="R750" i="2" a="1"/>
  <c r="R750" i="2" s="1"/>
  <c r="R751" i="2" a="1"/>
  <c r="R751" i="2" s="1"/>
  <c r="R752" i="2" a="1"/>
  <c r="R752" i="2" s="1"/>
  <c r="R753" i="2" a="1"/>
  <c r="R753" i="2" s="1"/>
  <c r="R754" i="2" a="1"/>
  <c r="R754" i="2" s="1"/>
  <c r="R755" i="2" a="1"/>
  <c r="R755" i="2" s="1"/>
  <c r="R756" i="2" a="1"/>
  <c r="R756" i="2" s="1"/>
  <c r="R757" i="2" a="1"/>
  <c r="R757" i="2" s="1"/>
  <c r="R758" i="2" a="1"/>
  <c r="R758" i="2" s="1"/>
  <c r="R759" i="2" a="1"/>
  <c r="R759" i="2" s="1"/>
  <c r="R760" i="2" a="1"/>
  <c r="R760" i="2" s="1"/>
  <c r="R761" i="2" a="1"/>
  <c r="R761" i="2" s="1"/>
  <c r="R762" i="2" a="1"/>
  <c r="R762" i="2" s="1"/>
  <c r="R763" i="2" a="1"/>
  <c r="R763" i="2" s="1"/>
  <c r="R764" i="2" a="1"/>
  <c r="R764" i="2" s="1"/>
  <c r="R765" i="2" a="1"/>
  <c r="R765" i="2" s="1"/>
  <c r="R766" i="2" a="1"/>
  <c r="R766" i="2" s="1"/>
  <c r="R767" i="2" a="1"/>
  <c r="R767" i="2" s="1"/>
  <c r="R768" i="2" a="1"/>
  <c r="R768" i="2" s="1"/>
  <c r="R769" i="2" a="1"/>
  <c r="R769" i="2" s="1"/>
  <c r="R770" i="2" a="1"/>
  <c r="R770" i="2" s="1"/>
  <c r="R771" i="2" a="1"/>
  <c r="R771" i="2" s="1"/>
  <c r="R772" i="2" a="1"/>
  <c r="R772" i="2" s="1"/>
  <c r="R773" i="2" a="1"/>
  <c r="R773" i="2" s="1"/>
  <c r="R774" i="2" a="1"/>
  <c r="R774" i="2" s="1"/>
  <c r="R775" i="2" a="1"/>
  <c r="R775" i="2" s="1"/>
  <c r="R776" i="2" a="1"/>
  <c r="R776" i="2" s="1"/>
  <c r="R777" i="2" a="1"/>
  <c r="R777" i="2" s="1"/>
  <c r="R778" i="2" a="1"/>
  <c r="R778" i="2" s="1"/>
  <c r="R779" i="2" a="1"/>
  <c r="R779" i="2" s="1"/>
  <c r="R780" i="2" a="1"/>
  <c r="R780" i="2" s="1"/>
  <c r="R781" i="2" a="1"/>
  <c r="R781" i="2" s="1"/>
  <c r="R782" i="2" a="1"/>
  <c r="R782" i="2" s="1"/>
  <c r="R783" i="2" a="1"/>
  <c r="R783" i="2" s="1"/>
  <c r="R784" i="2" a="1"/>
  <c r="R784" i="2" s="1"/>
  <c r="R785" i="2" a="1"/>
  <c r="R785" i="2" s="1"/>
  <c r="R786" i="2" a="1"/>
  <c r="R786" i="2" s="1"/>
  <c r="R787" i="2" a="1"/>
  <c r="R787" i="2" s="1"/>
  <c r="R788" i="2" a="1"/>
  <c r="R788" i="2" s="1"/>
  <c r="R789" i="2" a="1"/>
  <c r="R789" i="2" s="1"/>
  <c r="R790" i="2" a="1"/>
  <c r="R790" i="2" s="1"/>
  <c r="R791" i="2" a="1"/>
  <c r="R791" i="2" s="1"/>
  <c r="R792" i="2" a="1"/>
  <c r="R792" i="2" s="1"/>
  <c r="R793" i="2" a="1"/>
  <c r="R793" i="2" s="1"/>
  <c r="R794" i="2" a="1"/>
  <c r="R794" i="2" s="1"/>
  <c r="R795" i="2" a="1"/>
  <c r="R795" i="2" s="1"/>
  <c r="R796" i="2" a="1"/>
  <c r="R796" i="2" s="1"/>
  <c r="R797" i="2" a="1"/>
  <c r="R797" i="2" s="1"/>
  <c r="R798" i="2" a="1"/>
  <c r="R798" i="2" s="1"/>
  <c r="R799" i="2" a="1"/>
  <c r="R799" i="2" s="1"/>
  <c r="R800" i="2" a="1"/>
  <c r="R800" i="2" s="1"/>
  <c r="R801" i="2" a="1"/>
  <c r="R801" i="2" s="1"/>
  <c r="R802" i="2" a="1"/>
  <c r="R802" i="2" s="1"/>
  <c r="R803" i="2" a="1"/>
  <c r="R803" i="2" s="1"/>
  <c r="R804" i="2" a="1"/>
  <c r="R804" i="2" s="1"/>
  <c r="R805" i="2" a="1"/>
  <c r="R805" i="2" s="1"/>
  <c r="R806" i="2" a="1"/>
  <c r="R806" i="2" s="1"/>
  <c r="R807" i="2" a="1"/>
  <c r="R807" i="2" s="1"/>
  <c r="R808" i="2" a="1"/>
  <c r="R808" i="2" s="1"/>
  <c r="R809" i="2" a="1"/>
  <c r="R809" i="2" s="1"/>
  <c r="R810" i="2" a="1"/>
  <c r="R810" i="2" s="1"/>
  <c r="R811" i="2" a="1"/>
  <c r="R811" i="2" s="1"/>
  <c r="R812" i="2" a="1"/>
  <c r="R812" i="2" s="1"/>
  <c r="R813" i="2" a="1"/>
  <c r="R813" i="2" s="1"/>
  <c r="R814" i="2" a="1"/>
  <c r="R814" i="2" s="1"/>
  <c r="R815" i="2" a="1"/>
  <c r="R815" i="2" s="1"/>
  <c r="R816" i="2" a="1"/>
  <c r="R816" i="2" s="1"/>
  <c r="R817" i="2" a="1"/>
  <c r="R817" i="2" s="1"/>
  <c r="R818" i="2" a="1"/>
  <c r="R818" i="2" s="1"/>
  <c r="R819" i="2" a="1"/>
  <c r="R819" i="2" s="1"/>
  <c r="R820" i="2" a="1"/>
  <c r="R820" i="2" s="1"/>
  <c r="R821" i="2" a="1"/>
  <c r="R821" i="2" s="1"/>
  <c r="R822" i="2" a="1"/>
  <c r="R822" i="2" s="1"/>
  <c r="R823" i="2" a="1"/>
  <c r="R823" i="2" s="1"/>
  <c r="R824" i="2" a="1"/>
  <c r="R824" i="2" s="1"/>
  <c r="R825" i="2" a="1"/>
  <c r="R825" i="2" s="1"/>
  <c r="R826" i="2" a="1"/>
  <c r="R826" i="2" s="1"/>
  <c r="R827" i="2" a="1"/>
  <c r="R827" i="2" s="1"/>
  <c r="R828" i="2" a="1"/>
  <c r="R828" i="2" s="1"/>
  <c r="R829" i="2" a="1"/>
  <c r="R829" i="2" s="1"/>
  <c r="R830" i="2" a="1"/>
  <c r="R830" i="2" s="1"/>
  <c r="R831" i="2" a="1"/>
  <c r="R831" i="2" s="1"/>
  <c r="R832" i="2" a="1"/>
  <c r="R832" i="2" s="1"/>
  <c r="R833" i="2" a="1"/>
  <c r="R833" i="2" s="1"/>
  <c r="R834" i="2" a="1"/>
  <c r="R834" i="2" s="1"/>
  <c r="R835" i="2" a="1"/>
  <c r="R835" i="2" s="1"/>
  <c r="R836" i="2" a="1"/>
  <c r="R836" i="2" s="1"/>
  <c r="R837" i="2" a="1"/>
  <c r="R837" i="2" s="1"/>
  <c r="R838" i="2" a="1"/>
  <c r="R838" i="2" s="1"/>
  <c r="R839" i="2" a="1"/>
  <c r="R839" i="2" s="1"/>
  <c r="R840" i="2" a="1"/>
  <c r="R840" i="2" s="1"/>
  <c r="R841" i="2" a="1"/>
  <c r="R841" i="2" s="1"/>
  <c r="R842" i="2" a="1"/>
  <c r="R842" i="2" s="1"/>
  <c r="R843" i="2" a="1"/>
  <c r="R843" i="2" s="1"/>
  <c r="R844" i="2" a="1"/>
  <c r="R844" i="2" s="1"/>
  <c r="R845" i="2" a="1"/>
  <c r="R845" i="2" s="1"/>
  <c r="R846" i="2" a="1"/>
  <c r="R846" i="2" s="1"/>
  <c r="R847" i="2" a="1"/>
  <c r="R847" i="2" s="1"/>
  <c r="R848" i="2" a="1"/>
  <c r="R848" i="2" s="1"/>
  <c r="R849" i="2" a="1"/>
  <c r="R849" i="2" s="1"/>
  <c r="R850" i="2" a="1"/>
  <c r="R850" i="2" s="1"/>
  <c r="R851" i="2" a="1"/>
  <c r="R851" i="2" s="1"/>
  <c r="R852" i="2" a="1"/>
  <c r="R852" i="2" s="1"/>
  <c r="R853" i="2" a="1"/>
  <c r="R853" i="2" s="1"/>
  <c r="R854" i="2" a="1"/>
  <c r="R854" i="2" s="1"/>
  <c r="R855" i="2" a="1"/>
  <c r="R855" i="2" s="1"/>
  <c r="R856" i="2" a="1"/>
  <c r="R856" i="2" s="1"/>
  <c r="R857" i="2" a="1"/>
  <c r="R857" i="2" s="1"/>
  <c r="R858" i="2" a="1"/>
  <c r="R858" i="2" s="1"/>
  <c r="R859" i="2" a="1"/>
  <c r="R859" i="2" s="1"/>
  <c r="R860" i="2" a="1"/>
  <c r="R860" i="2" s="1"/>
  <c r="R861" i="2" a="1"/>
  <c r="R861" i="2" s="1"/>
  <c r="R862" i="2" a="1"/>
  <c r="R862" i="2" s="1"/>
  <c r="R863" i="2" a="1"/>
  <c r="R863" i="2" s="1"/>
  <c r="R864" i="2" a="1"/>
  <c r="R864" i="2" s="1"/>
  <c r="R865" i="2" a="1"/>
  <c r="R865" i="2" s="1"/>
  <c r="R866" i="2" a="1"/>
  <c r="R866" i="2" s="1"/>
  <c r="R867" i="2" a="1"/>
  <c r="R867" i="2" s="1"/>
  <c r="R868" i="2" a="1"/>
  <c r="R868" i="2" s="1"/>
  <c r="R869" i="2" a="1"/>
  <c r="R869" i="2" s="1"/>
  <c r="R870" i="2" a="1"/>
  <c r="R870" i="2" s="1"/>
  <c r="R871" i="2" a="1"/>
  <c r="R871" i="2" s="1"/>
  <c r="R872" i="2" a="1"/>
  <c r="R872" i="2" s="1"/>
  <c r="R873" i="2" a="1"/>
  <c r="R873" i="2" s="1"/>
  <c r="R874" i="2" a="1"/>
  <c r="R874" i="2" s="1"/>
  <c r="R875" i="2" a="1"/>
  <c r="R875" i="2" s="1"/>
  <c r="R876" i="2" a="1"/>
  <c r="R876" i="2" s="1"/>
  <c r="R877" i="2" a="1"/>
  <c r="R877" i="2" s="1"/>
  <c r="R878" i="2" a="1"/>
  <c r="R878" i="2" s="1"/>
  <c r="R879" i="2" a="1"/>
  <c r="R879" i="2" s="1"/>
  <c r="R880" i="2" a="1"/>
  <c r="R880" i="2" s="1"/>
  <c r="R881" i="2" a="1"/>
  <c r="R881" i="2" s="1"/>
  <c r="R882" i="2" a="1"/>
  <c r="R882" i="2" s="1"/>
  <c r="R883" i="2" a="1"/>
  <c r="R883" i="2" s="1"/>
  <c r="R884" i="2" a="1"/>
  <c r="R884" i="2" s="1"/>
  <c r="R885" i="2" a="1"/>
  <c r="R885" i="2" s="1"/>
  <c r="R886" i="2" a="1"/>
  <c r="R886" i="2" s="1"/>
  <c r="R887" i="2" a="1"/>
  <c r="R887" i="2" s="1"/>
  <c r="R888" i="2" a="1"/>
  <c r="R888" i="2" s="1"/>
  <c r="R889" i="2" a="1"/>
  <c r="R889" i="2" s="1"/>
  <c r="R890" i="2" a="1"/>
  <c r="R890" i="2" s="1"/>
  <c r="R891" i="2" a="1"/>
  <c r="R891" i="2" s="1"/>
  <c r="R892" i="2" a="1"/>
  <c r="R892" i="2" s="1"/>
  <c r="R893" i="2" a="1"/>
  <c r="R893" i="2" s="1"/>
  <c r="R894" i="2" a="1"/>
  <c r="R894" i="2" s="1"/>
  <c r="R895" i="2" a="1"/>
  <c r="R895" i="2" s="1"/>
  <c r="R896" i="2" a="1"/>
  <c r="R896" i="2" s="1"/>
  <c r="R897" i="2" a="1"/>
  <c r="R897" i="2" s="1"/>
  <c r="R898" i="2" a="1"/>
  <c r="R898" i="2" s="1"/>
  <c r="R899" i="2" a="1"/>
  <c r="R899" i="2" s="1"/>
  <c r="R900" i="2" a="1"/>
  <c r="R900" i="2" s="1"/>
  <c r="R901" i="2" a="1"/>
  <c r="R901" i="2" s="1"/>
  <c r="R902" i="2" a="1"/>
  <c r="R902" i="2" s="1"/>
  <c r="R903" i="2" a="1"/>
  <c r="R903" i="2" s="1"/>
  <c r="R904" i="2" a="1"/>
  <c r="R904" i="2" s="1"/>
  <c r="R905" i="2" a="1"/>
  <c r="R905" i="2" s="1"/>
  <c r="R906" i="2" a="1"/>
  <c r="R906" i="2" s="1"/>
  <c r="R907" i="2" a="1"/>
  <c r="R907" i="2" s="1"/>
  <c r="R908" i="2" a="1"/>
  <c r="R908" i="2" s="1"/>
  <c r="R909" i="2" a="1"/>
  <c r="R909" i="2" s="1"/>
  <c r="R910" i="2" a="1"/>
  <c r="R910" i="2" s="1"/>
  <c r="R911" i="2" a="1"/>
  <c r="R911" i="2" s="1"/>
  <c r="R912" i="2" a="1"/>
  <c r="R912" i="2" s="1"/>
  <c r="R913" i="2" a="1"/>
  <c r="R913" i="2" s="1"/>
  <c r="R914" i="2" a="1"/>
  <c r="R914" i="2" s="1"/>
  <c r="R915" i="2" a="1"/>
  <c r="R915" i="2" s="1"/>
  <c r="R916" i="2" a="1"/>
  <c r="R916" i="2" s="1"/>
  <c r="R917" i="2" a="1"/>
  <c r="R917" i="2" s="1"/>
  <c r="R918" i="2" a="1"/>
  <c r="R918" i="2" s="1"/>
  <c r="R919" i="2" a="1"/>
  <c r="R919" i="2" s="1"/>
  <c r="R920" i="2" a="1"/>
  <c r="R920" i="2" s="1"/>
  <c r="R921" i="2" a="1"/>
  <c r="R921" i="2" s="1"/>
  <c r="R922" i="2" a="1"/>
  <c r="R922" i="2" s="1"/>
  <c r="R923" i="2" a="1"/>
  <c r="R923" i="2" s="1"/>
  <c r="R924" i="2" a="1"/>
  <c r="R924" i="2" s="1"/>
  <c r="R925" i="2" a="1"/>
  <c r="R925" i="2" s="1"/>
  <c r="R926" i="2" a="1"/>
  <c r="R926" i="2" s="1"/>
  <c r="R927" i="2" a="1"/>
  <c r="R927" i="2" s="1"/>
  <c r="R928" i="2" a="1"/>
  <c r="R928" i="2" s="1"/>
  <c r="R929" i="2" a="1"/>
  <c r="R929" i="2" s="1"/>
  <c r="R930" i="2" a="1"/>
  <c r="R930" i="2" s="1"/>
  <c r="R931" i="2" a="1"/>
  <c r="R931" i="2" s="1"/>
  <c r="R932" i="2" a="1"/>
  <c r="R932" i="2" s="1"/>
  <c r="R933" i="2" a="1"/>
  <c r="R933" i="2" s="1"/>
  <c r="R934" i="2" a="1"/>
  <c r="R934" i="2" s="1"/>
  <c r="R935" i="2" a="1"/>
  <c r="R935" i="2" s="1"/>
  <c r="R936" i="2" a="1"/>
  <c r="R936" i="2" s="1"/>
  <c r="R937" i="2" a="1"/>
  <c r="R937" i="2" s="1"/>
  <c r="R938" i="2" a="1"/>
  <c r="R938" i="2" s="1"/>
  <c r="R939" i="2" a="1"/>
  <c r="R939" i="2" s="1"/>
  <c r="R940" i="2" a="1"/>
  <c r="R940" i="2" s="1"/>
  <c r="R941" i="2" a="1"/>
  <c r="R941" i="2" s="1"/>
  <c r="R942" i="2" a="1"/>
  <c r="R942" i="2" s="1"/>
  <c r="R943" i="2" a="1"/>
  <c r="R943" i="2" s="1"/>
  <c r="R944" i="2" a="1"/>
  <c r="R944" i="2" s="1"/>
  <c r="R945" i="2" a="1"/>
  <c r="R945" i="2" s="1"/>
  <c r="R946" i="2" a="1"/>
  <c r="R946" i="2" s="1"/>
  <c r="R947" i="2" a="1"/>
  <c r="R947" i="2" s="1"/>
  <c r="R948" i="2" a="1"/>
  <c r="R948" i="2" s="1"/>
  <c r="R949" i="2" a="1"/>
  <c r="R949" i="2" s="1"/>
  <c r="R950" i="2" a="1"/>
  <c r="R950" i="2" s="1"/>
  <c r="R951" i="2" a="1"/>
  <c r="R951" i="2" s="1"/>
  <c r="R952" i="2" a="1"/>
  <c r="R952" i="2" s="1"/>
  <c r="R953" i="2" a="1"/>
  <c r="R953" i="2" s="1"/>
  <c r="R954" i="2" a="1"/>
  <c r="R954" i="2" s="1"/>
  <c r="R955" i="2" a="1"/>
  <c r="R955" i="2" s="1"/>
  <c r="R956" i="2" a="1"/>
  <c r="R956" i="2" s="1"/>
  <c r="R957" i="2" a="1"/>
  <c r="R957" i="2" s="1"/>
  <c r="R958" i="2" a="1"/>
  <c r="R958" i="2" s="1"/>
  <c r="R959" i="2" a="1"/>
  <c r="R959" i="2" s="1"/>
  <c r="R960" i="2" a="1"/>
  <c r="R960" i="2" s="1"/>
  <c r="R961" i="2" a="1"/>
  <c r="R961" i="2" s="1"/>
  <c r="R962" i="2" a="1"/>
  <c r="R962" i="2" s="1"/>
  <c r="R963" i="2" a="1"/>
  <c r="R963" i="2" s="1"/>
  <c r="R964" i="2" a="1"/>
  <c r="R964" i="2" s="1"/>
  <c r="R965" i="2" a="1"/>
  <c r="R965" i="2" s="1"/>
  <c r="R966" i="2" a="1"/>
  <c r="R966" i="2" s="1"/>
  <c r="R967" i="2" a="1"/>
  <c r="R967" i="2" s="1"/>
  <c r="R968" i="2" a="1"/>
  <c r="R968" i="2" s="1"/>
  <c r="R969" i="2" a="1"/>
  <c r="R969" i="2" s="1"/>
  <c r="R970" i="2" a="1"/>
  <c r="R970" i="2" s="1"/>
  <c r="R971" i="2" a="1"/>
  <c r="R971" i="2" s="1"/>
  <c r="R972" i="2" a="1"/>
  <c r="R972" i="2" s="1"/>
  <c r="R973" i="2" a="1"/>
  <c r="R973" i="2" s="1"/>
  <c r="R974" i="2" a="1"/>
  <c r="R974" i="2" s="1"/>
  <c r="R975" i="2" a="1"/>
  <c r="R975" i="2" s="1"/>
  <c r="R976" i="2" a="1"/>
  <c r="R976" i="2" s="1"/>
  <c r="R977" i="2" a="1"/>
  <c r="R977" i="2" s="1"/>
  <c r="R978" i="2" a="1"/>
  <c r="R978" i="2" s="1"/>
  <c r="R979" i="2" a="1"/>
  <c r="R979" i="2" s="1"/>
  <c r="R980" i="2" a="1"/>
  <c r="R980" i="2" s="1"/>
  <c r="R981" i="2" a="1"/>
  <c r="R981" i="2" s="1"/>
  <c r="R982" i="2" a="1"/>
  <c r="R982" i="2" s="1"/>
  <c r="R983" i="2" a="1"/>
  <c r="R983" i="2" s="1"/>
  <c r="R984" i="2" a="1"/>
  <c r="R984" i="2" s="1"/>
  <c r="R985" i="2" a="1"/>
  <c r="R985" i="2" s="1"/>
  <c r="R986" i="2" a="1"/>
  <c r="R986" i="2" s="1"/>
  <c r="R987" i="2" a="1"/>
  <c r="R987" i="2" s="1"/>
  <c r="R988" i="2" a="1"/>
  <c r="R988" i="2" s="1"/>
  <c r="R989" i="2" a="1"/>
  <c r="R989" i="2" s="1"/>
  <c r="R990" i="2" a="1"/>
  <c r="R990" i="2" s="1"/>
  <c r="R991" i="2" a="1"/>
  <c r="R991" i="2"/>
  <c r="R992" i="2" a="1"/>
  <c r="R992" i="2" s="1"/>
  <c r="R993" i="2" a="1"/>
  <c r="R993" i="2" s="1"/>
  <c r="R994" i="2" a="1"/>
  <c r="R994" i="2" s="1"/>
  <c r="R995" i="2" a="1"/>
  <c r="R995" i="2" s="1"/>
  <c r="R996" i="2" a="1"/>
  <c r="R996" i="2" s="1"/>
  <c r="R997" i="2" a="1"/>
  <c r="R997" i="2" s="1"/>
  <c r="R998" i="2" a="1"/>
  <c r="R998" i="2" s="1"/>
  <c r="R999" i="2" a="1"/>
  <c r="R999" i="2" s="1"/>
  <c r="R1000" i="2" a="1"/>
  <c r="R1000" i="2" s="1"/>
  <c r="R1001" i="2" a="1"/>
  <c r="R1001" i="2" s="1"/>
  <c r="R2" i="2" a="1"/>
  <c r="R2" i="2" s="1"/>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2"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P2" i="2" l="1" a="1"/>
  <c r="P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<sst xmlns="http://schemas.openxmlformats.org/spreadsheetml/2006/main" count="10981" uniqueCount="2955">
  <si>
    <t>patient_id</t>
  </si>
  <si>
    <t>patient_name</t>
  </si>
  <si>
    <t>age</t>
  </si>
  <si>
    <t>gender</t>
  </si>
  <si>
    <t>appointment_date</t>
  </si>
  <si>
    <t>booking_date</t>
  </si>
  <si>
    <t>doctor</t>
  </si>
  <si>
    <t>department</t>
  </si>
  <si>
    <t>billing_amount</t>
  </si>
  <si>
    <t>follow_up_required</t>
  </si>
  <si>
    <t>Tammy Williams</t>
  </si>
  <si>
    <t>female</t>
  </si>
  <si>
    <t>Christopher Graham</t>
  </si>
  <si>
    <t>Cardiology</t>
  </si>
  <si>
    <t>¬£425.8</t>
  </si>
  <si>
    <t>Megan Strickland</t>
  </si>
  <si>
    <t>F</t>
  </si>
  <si>
    <t>Brandon Lewis</t>
  </si>
  <si>
    <t>Orthopedics</t>
  </si>
  <si>
    <t>‚Ç¨344.26</t>
  </si>
  <si>
    <t>Y</t>
  </si>
  <si>
    <t>Amanda Schroeder</t>
  </si>
  <si>
    <t>M</t>
  </si>
  <si>
    <t>Deanna Edwards</t>
  </si>
  <si>
    <t>Neurology</t>
  </si>
  <si>
    <t>‚Ç¨203.34</t>
  </si>
  <si>
    <t>Anthony Mcpherson</t>
  </si>
  <si>
    <t>Karen Parsons</t>
  </si>
  <si>
    <t>General</t>
  </si>
  <si>
    <t>Rs85.76</t>
  </si>
  <si>
    <t>No</t>
  </si>
  <si>
    <t>Benjamin Brown</t>
  </si>
  <si>
    <t>Andrea Hernandez</t>
  </si>
  <si>
    <t>$84.44</t>
  </si>
  <si>
    <t>Joe Sharp</t>
  </si>
  <si>
    <t>Kimberly Fields</t>
  </si>
  <si>
    <t>Yes</t>
  </si>
  <si>
    <t>Alexander Harris</t>
  </si>
  <si>
    <t>Female</t>
  </si>
  <si>
    <t>Jim Jones</t>
  </si>
  <si>
    <t>‚Ç¨99.0</t>
  </si>
  <si>
    <t>Raymond Williams</t>
  </si>
  <si>
    <t>James Brooks</t>
  </si>
  <si>
    <t>Rs374.63</t>
  </si>
  <si>
    <t>Dustin Willis</t>
  </si>
  <si>
    <t>Jamie Hill</t>
  </si>
  <si>
    <t>$452.37</t>
  </si>
  <si>
    <t>Tina Gallagher</t>
  </si>
  <si>
    <t>Tiffany Gates MD</t>
  </si>
  <si>
    <t>‚Ç¨494.97</t>
  </si>
  <si>
    <t>Robert Guerrero</t>
  </si>
  <si>
    <t>male</t>
  </si>
  <si>
    <t>Shane Brown</t>
  </si>
  <si>
    <t>¬£91.91</t>
  </si>
  <si>
    <t>Karen Walker</t>
  </si>
  <si>
    <t>Natalie White</t>
  </si>
  <si>
    <t>$82.88</t>
  </si>
  <si>
    <t>Chris Rice</t>
  </si>
  <si>
    <t>Amy Olson</t>
  </si>
  <si>
    <t>Rs277.14</t>
  </si>
  <si>
    <t>N</t>
  </si>
  <si>
    <t>Michael Mack</t>
  </si>
  <si>
    <t>John Larsen II</t>
  </si>
  <si>
    <t>‚Ç¨411.01</t>
  </si>
  <si>
    <t>Andrea Hubbard</t>
  </si>
  <si>
    <t>Andrea Gates</t>
  </si>
  <si>
    <t>¬£67.51</t>
  </si>
  <si>
    <t>Brian Jones</t>
  </si>
  <si>
    <t>Robert Navarro</t>
  </si>
  <si>
    <t>‚Ç¨163.99</t>
  </si>
  <si>
    <t>Kelly Olsen</t>
  </si>
  <si>
    <t>Male</t>
  </si>
  <si>
    <t>Christopher Bryant</t>
  </si>
  <si>
    <t>¬£252.38</t>
  </si>
  <si>
    <t>Andrew Oconnor</t>
  </si>
  <si>
    <t>Christina Hill</t>
  </si>
  <si>
    <t>$153.07</t>
  </si>
  <si>
    <t>Dennis Hurley</t>
  </si>
  <si>
    <t>Daniel Jacobson</t>
  </si>
  <si>
    <t>Rs329.3</t>
  </si>
  <si>
    <t>Paul Brock</t>
  </si>
  <si>
    <t>Kayla Savage</t>
  </si>
  <si>
    <t>‚Ç¨135.45</t>
  </si>
  <si>
    <t>Jennifer Aguirre</t>
  </si>
  <si>
    <t>Richard Huang</t>
  </si>
  <si>
    <t>Rs72.73</t>
  </si>
  <si>
    <t>Todd Wilson</t>
  </si>
  <si>
    <t>Rebecca Harrington</t>
  </si>
  <si>
    <t>Rs258.64</t>
  </si>
  <si>
    <t>Jeremiah Cole</t>
  </si>
  <si>
    <t>Louis Turner</t>
  </si>
  <si>
    <t>$203.61</t>
  </si>
  <si>
    <t>Vincent Brown</t>
  </si>
  <si>
    <t>Brianna Garcia</t>
  </si>
  <si>
    <t>Rs236.22</t>
  </si>
  <si>
    <t>Tracy Mcdonald</t>
  </si>
  <si>
    <t>Daniel Gutierrez</t>
  </si>
  <si>
    <t>Rs292.23</t>
  </si>
  <si>
    <t>Phillip Simpson</t>
  </si>
  <si>
    <t>Darren Brooks</t>
  </si>
  <si>
    <t>$51.72</t>
  </si>
  <si>
    <t>Penny Friedman</t>
  </si>
  <si>
    <t>Janice Taylor</t>
  </si>
  <si>
    <t>¬£218.84</t>
  </si>
  <si>
    <t>Cynthia Hensley</t>
  </si>
  <si>
    <t>David Robles</t>
  </si>
  <si>
    <t>Rs160.38</t>
  </si>
  <si>
    <t>Cassandra Gardner</t>
  </si>
  <si>
    <t>Gregory Kirk</t>
  </si>
  <si>
    <t>Rs342.38</t>
  </si>
  <si>
    <t>Patrick Saunders</t>
  </si>
  <si>
    <t>Casey Wagner</t>
  </si>
  <si>
    <t>Rs208.91</t>
  </si>
  <si>
    <t>Angel Kelly</t>
  </si>
  <si>
    <t>Stephanie Taylor</t>
  </si>
  <si>
    <t>Rs426.86</t>
  </si>
  <si>
    <t>Heather Baker</t>
  </si>
  <si>
    <t>Andrew Thomas</t>
  </si>
  <si>
    <t>¬£215.31</t>
  </si>
  <si>
    <t>Stacy Cunningham</t>
  </si>
  <si>
    <t>Laura Klein</t>
  </si>
  <si>
    <t>¬£413.53</t>
  </si>
  <si>
    <t>Nicole Shaw</t>
  </si>
  <si>
    <t>Mr. Brian Morton</t>
  </si>
  <si>
    <t>Michele Park</t>
  </si>
  <si>
    <t>Robert Sparks</t>
  </si>
  <si>
    <t>¬£396.22</t>
  </si>
  <si>
    <t>Leslie Silva</t>
  </si>
  <si>
    <t>Thomas Brandt</t>
  </si>
  <si>
    <t>$340.25</t>
  </si>
  <si>
    <t>Katelyn Smith</t>
  </si>
  <si>
    <t>Robert Henry</t>
  </si>
  <si>
    <t>$481.44</t>
  </si>
  <si>
    <t>John Yang</t>
  </si>
  <si>
    <t>Anthony Jensen</t>
  </si>
  <si>
    <t>$442.77</t>
  </si>
  <si>
    <t>Judy Blair</t>
  </si>
  <si>
    <t>Kevin Benton</t>
  </si>
  <si>
    <t>Rs175.63</t>
  </si>
  <si>
    <t>Jennifer Long</t>
  </si>
  <si>
    <t>Thomas Hernandez</t>
  </si>
  <si>
    <t>‚Ç¨320.66</t>
  </si>
  <si>
    <t>Melanie Gibson</t>
  </si>
  <si>
    <t>Alison Stanton</t>
  </si>
  <si>
    <t>$268.14</t>
  </si>
  <si>
    <t>Amanda Jones</t>
  </si>
  <si>
    <t>Christopher Morris</t>
  </si>
  <si>
    <t>‚Ç¨499.75</t>
  </si>
  <si>
    <t>Donna West</t>
  </si>
  <si>
    <t>Troy Hill</t>
  </si>
  <si>
    <t>Rs452.11</t>
  </si>
  <si>
    <t>Edward Sanders</t>
  </si>
  <si>
    <t>Steven Bailey</t>
  </si>
  <si>
    <t>Rs479.77</t>
  </si>
  <si>
    <t>Michael Levine</t>
  </si>
  <si>
    <t>Janet Ray</t>
  </si>
  <si>
    <t>¬£213.35</t>
  </si>
  <si>
    <t>Loretta Richardson</t>
  </si>
  <si>
    <t>Shane Jackson</t>
  </si>
  <si>
    <t>Rs120.34</t>
  </si>
  <si>
    <t>Kathleen Jones</t>
  </si>
  <si>
    <t>Diana Baker</t>
  </si>
  <si>
    <t>Rs135.43</t>
  </si>
  <si>
    <t>Michael Allen</t>
  </si>
  <si>
    <t>Brian Osborne DVM</t>
  </si>
  <si>
    <t>‚Ç¨214.44</t>
  </si>
  <si>
    <t>Kari Jackson</t>
  </si>
  <si>
    <t>Jeremiah Rose</t>
  </si>
  <si>
    <t>Rs376.08</t>
  </si>
  <si>
    <t>Kim Allen</t>
  </si>
  <si>
    <t>Nancy Levine MD</t>
  </si>
  <si>
    <t>‚Ç¨343.51</t>
  </si>
  <si>
    <t>Regina Wilson</t>
  </si>
  <si>
    <t>Jenny Zuniga</t>
  </si>
  <si>
    <t>Rs185.66</t>
  </si>
  <si>
    <t>Samantha Mosley</t>
  </si>
  <si>
    <t>Thomas Thomas</t>
  </si>
  <si>
    <t>‚Ç¨200.01</t>
  </si>
  <si>
    <t>Kathleen Porter</t>
  </si>
  <si>
    <t>Christine Calhoun</t>
  </si>
  <si>
    <t>$367.06</t>
  </si>
  <si>
    <t>Cheryl Michael</t>
  </si>
  <si>
    <t>Thomas Bennett</t>
  </si>
  <si>
    <t>Rs393.4</t>
  </si>
  <si>
    <t>Lawrence Rios</t>
  </si>
  <si>
    <t>Christopher Lee</t>
  </si>
  <si>
    <t>¬£387.4</t>
  </si>
  <si>
    <t>Vanessa Jones</t>
  </si>
  <si>
    <t>Courtney Knight</t>
  </si>
  <si>
    <t>$169.25</t>
  </si>
  <si>
    <t>Tiffany Burke</t>
  </si>
  <si>
    <t>Charles Lopez</t>
  </si>
  <si>
    <t>$274.81</t>
  </si>
  <si>
    <t>Joseph Church</t>
  </si>
  <si>
    <t>Ricky Velazquez</t>
  </si>
  <si>
    <t>Rs68.81</t>
  </si>
  <si>
    <t>Heather Jackson</t>
  </si>
  <si>
    <t>Todd Silva</t>
  </si>
  <si>
    <t>Rs365.13</t>
  </si>
  <si>
    <t>Adam Sanders</t>
  </si>
  <si>
    <t>Patrick Floyd</t>
  </si>
  <si>
    <t>$466.97</t>
  </si>
  <si>
    <t>Edward Perry</t>
  </si>
  <si>
    <t>James Miller</t>
  </si>
  <si>
    <t>Rs484.52</t>
  </si>
  <si>
    <t>Bonnie Boone</t>
  </si>
  <si>
    <t>Lorraine Figueroa</t>
  </si>
  <si>
    <t>‚Ç¨114.45</t>
  </si>
  <si>
    <t>Robert Brown</t>
  </si>
  <si>
    <t>Jamie Sosa</t>
  </si>
  <si>
    <t>‚Ç¨195.21</t>
  </si>
  <si>
    <t>Matthew Cross</t>
  </si>
  <si>
    <t>Connie Wood</t>
  </si>
  <si>
    <t>$149.8</t>
  </si>
  <si>
    <t>Jennifer Stark</t>
  </si>
  <si>
    <t>Jason Williams</t>
  </si>
  <si>
    <t>Rs270.33</t>
  </si>
  <si>
    <t>Jordan Camacho Jr.</t>
  </si>
  <si>
    <t>Alexis Carter</t>
  </si>
  <si>
    <t>$186.24</t>
  </si>
  <si>
    <t>Elizabeth Bryant</t>
  </si>
  <si>
    <t>Rebecca Kim</t>
  </si>
  <si>
    <t>Rs425.63</t>
  </si>
  <si>
    <t>Matthew Valdez</t>
  </si>
  <si>
    <t>Rachel Terry</t>
  </si>
  <si>
    <t>¬£91.77</t>
  </si>
  <si>
    <t>Richard Woodard</t>
  </si>
  <si>
    <t>Whitney Hoffman</t>
  </si>
  <si>
    <t>‚Ç¨91.27</t>
  </si>
  <si>
    <t>Chad Reed</t>
  </si>
  <si>
    <t>Jennifer Adams</t>
  </si>
  <si>
    <t>¬£453.06</t>
  </si>
  <si>
    <t>Jessica Heath</t>
  </si>
  <si>
    <t>Sherri Long</t>
  </si>
  <si>
    <t>‚Ç¨61.37</t>
  </si>
  <si>
    <t>Clayton Williamson</t>
  </si>
  <si>
    <t>Glen Diaz</t>
  </si>
  <si>
    <t>$185.52</t>
  </si>
  <si>
    <t>Timothy Walter</t>
  </si>
  <si>
    <t>Miss Julie Rodriguez</t>
  </si>
  <si>
    <t>¬£112.48</t>
  </si>
  <si>
    <t>Katelyn Miller</t>
  </si>
  <si>
    <t>Andrea Cruz</t>
  </si>
  <si>
    <t>$382.34</t>
  </si>
  <si>
    <t>Elizabeth Decker</t>
  </si>
  <si>
    <t>Brandi Hale</t>
  </si>
  <si>
    <t>Rs168.18</t>
  </si>
  <si>
    <t>Jessica Smith</t>
  </si>
  <si>
    <t>Crystal Mack</t>
  </si>
  <si>
    <t>James Johnston</t>
  </si>
  <si>
    <t>Drew Bartlett</t>
  </si>
  <si>
    <t>$206.53</t>
  </si>
  <si>
    <t>Christine Price</t>
  </si>
  <si>
    <t>Susan Brown</t>
  </si>
  <si>
    <t>$258.21</t>
  </si>
  <si>
    <t>Amy Mayer</t>
  </si>
  <si>
    <t>Jim Patterson</t>
  </si>
  <si>
    <t>‚Ç¨253.4</t>
  </si>
  <si>
    <t>Samuel Moore</t>
  </si>
  <si>
    <t>Heather Everett</t>
  </si>
  <si>
    <t>Rs83.09</t>
  </si>
  <si>
    <t>Jamie Mcclure</t>
  </si>
  <si>
    <t>Katherine Sanders</t>
  </si>
  <si>
    <t>$80.38</t>
  </si>
  <si>
    <t>Luke Price</t>
  </si>
  <si>
    <t>Virginia Lang</t>
  </si>
  <si>
    <t>Rs260.4</t>
  </si>
  <si>
    <t>Luis Rodriguez</t>
  </si>
  <si>
    <t>Samantha Bass MD</t>
  </si>
  <si>
    <t>$294.58</t>
  </si>
  <si>
    <t>Pamela Brown</t>
  </si>
  <si>
    <t>Melinda Duncan</t>
  </si>
  <si>
    <t>$247.13</t>
  </si>
  <si>
    <t>Craig Nixon</t>
  </si>
  <si>
    <t>William Key</t>
  </si>
  <si>
    <t>¬£341.19</t>
  </si>
  <si>
    <t>Justin Caldwell</t>
  </si>
  <si>
    <t>Ronnie Miller</t>
  </si>
  <si>
    <t>Rs383.69</t>
  </si>
  <si>
    <t>Cassandra Collins</t>
  </si>
  <si>
    <t>Mark Lutz</t>
  </si>
  <si>
    <t>‚Ç¨243.78</t>
  </si>
  <si>
    <t>Adam Torres</t>
  </si>
  <si>
    <t>Daniel Le</t>
  </si>
  <si>
    <t>Rs329.25</t>
  </si>
  <si>
    <t>Carol Foster</t>
  </si>
  <si>
    <t>Bryan Mann</t>
  </si>
  <si>
    <t>‚Ç¨389.37</t>
  </si>
  <si>
    <t>Chelsey Moore</t>
  </si>
  <si>
    <t>Randy Garrett</t>
  </si>
  <si>
    <t>¬£344.56</t>
  </si>
  <si>
    <t>John Hensley</t>
  </si>
  <si>
    <t>Paul Tate</t>
  </si>
  <si>
    <t>Rs289.07</t>
  </si>
  <si>
    <t>Chelsea Burns</t>
  </si>
  <si>
    <t>Michael Morales</t>
  </si>
  <si>
    <t>Rs193.6</t>
  </si>
  <si>
    <t>Ryan Miller</t>
  </si>
  <si>
    <t>Alexa Peterson</t>
  </si>
  <si>
    <t>Rs259.72</t>
  </si>
  <si>
    <t>Jared Green</t>
  </si>
  <si>
    <t>Brenda Castro</t>
  </si>
  <si>
    <t>‚Ç¨235.69</t>
  </si>
  <si>
    <t>Traci Chandler</t>
  </si>
  <si>
    <t>Tyler Carter</t>
  </si>
  <si>
    <t>‚Ç¨428.75</t>
  </si>
  <si>
    <t>Kenneth Graham</t>
  </si>
  <si>
    <t>Wayne Graham</t>
  </si>
  <si>
    <t>$142.32</t>
  </si>
  <si>
    <t>Angela Watkins</t>
  </si>
  <si>
    <t>Kyle Russell</t>
  </si>
  <si>
    <t>¬£109.31</t>
  </si>
  <si>
    <t>Keith Becker</t>
  </si>
  <si>
    <t>Kristopher Collier</t>
  </si>
  <si>
    <t>Nicole Hoffman</t>
  </si>
  <si>
    <t>Robert Mitchell</t>
  </si>
  <si>
    <t>$325.25</t>
  </si>
  <si>
    <t>Hannah Perez</t>
  </si>
  <si>
    <t>Rita Smith</t>
  </si>
  <si>
    <t>¬£111.92</t>
  </si>
  <si>
    <t>Amanda Fuller</t>
  </si>
  <si>
    <t>Anthony Cruz</t>
  </si>
  <si>
    <t>$347.68</t>
  </si>
  <si>
    <t>Tina Lewis</t>
  </si>
  <si>
    <t>Derrick Salazar</t>
  </si>
  <si>
    <t>¬£59.67</t>
  </si>
  <si>
    <t>Sarah Hahn</t>
  </si>
  <si>
    <t>Theresa Lee</t>
  </si>
  <si>
    <t>Rs123.03</t>
  </si>
  <si>
    <t>Destiny Martin</t>
  </si>
  <si>
    <t>Lynn Jones</t>
  </si>
  <si>
    <t>Rs420.58</t>
  </si>
  <si>
    <t>Megan Mitchell</t>
  </si>
  <si>
    <t>Desiree Giles</t>
  </si>
  <si>
    <t>‚Ç¨351.17</t>
  </si>
  <si>
    <t>Benjamin Hughes</t>
  </si>
  <si>
    <t>Nicholas Mcneil</t>
  </si>
  <si>
    <t>¬£125.31</t>
  </si>
  <si>
    <t>John Anderson</t>
  </si>
  <si>
    <t>Paul Blackburn</t>
  </si>
  <si>
    <t>‚Ç¨253.42</t>
  </si>
  <si>
    <t>Chelsea Matthews</t>
  </si>
  <si>
    <t>Elizabeth Obrien</t>
  </si>
  <si>
    <t>‚Ç¨359.78</t>
  </si>
  <si>
    <t>Monica Horton</t>
  </si>
  <si>
    <t>Kayla Stein</t>
  </si>
  <si>
    <t>$277.21</t>
  </si>
  <si>
    <t>Joanna Tucker</t>
  </si>
  <si>
    <t>Andrew Gray</t>
  </si>
  <si>
    <t>¬£84.69</t>
  </si>
  <si>
    <t>Dr. Peggy Mendoza</t>
  </si>
  <si>
    <t>Ashley Flowers</t>
  </si>
  <si>
    <t>‚Ç¨96.94</t>
  </si>
  <si>
    <t>Victoria Gomez</t>
  </si>
  <si>
    <t>Nicole Chandler</t>
  </si>
  <si>
    <t>Rs205.35</t>
  </si>
  <si>
    <t>Daniel Rivera</t>
  </si>
  <si>
    <t>Morgan Green</t>
  </si>
  <si>
    <t>Rs155.42</t>
  </si>
  <si>
    <t>Harry Wallace</t>
  </si>
  <si>
    <t>Nancy Hernandez</t>
  </si>
  <si>
    <t>$493.0</t>
  </si>
  <si>
    <t>Alicia Scott</t>
  </si>
  <si>
    <t>William Cochran</t>
  </si>
  <si>
    <t>$243.15</t>
  </si>
  <si>
    <t>Melissa Lane</t>
  </si>
  <si>
    <t>Vanessa Pittman</t>
  </si>
  <si>
    <t>‚Ç¨122.6</t>
  </si>
  <si>
    <t>Olivia Lambert</t>
  </si>
  <si>
    <t>Melanie Blanchard</t>
  </si>
  <si>
    <t>¬£100.34</t>
  </si>
  <si>
    <t>Russell Taylor</t>
  </si>
  <si>
    <t>Breanna Gray</t>
  </si>
  <si>
    <t>Rs335.07</t>
  </si>
  <si>
    <t>Joshua Sanchez DDS</t>
  </si>
  <si>
    <t>George Flores</t>
  </si>
  <si>
    <t>¬£154.29</t>
  </si>
  <si>
    <t>Kayla Drake</t>
  </si>
  <si>
    <t>Jennifer Long DDS</t>
  </si>
  <si>
    <t>$412.07</t>
  </si>
  <si>
    <t>Karen Carter</t>
  </si>
  <si>
    <t>Chase Clark</t>
  </si>
  <si>
    <t>Rs401.33</t>
  </si>
  <si>
    <t>Andrew Baker</t>
  </si>
  <si>
    <t>Michael Gillespie</t>
  </si>
  <si>
    <t>$486.57</t>
  </si>
  <si>
    <t>Richard Hernandez</t>
  </si>
  <si>
    <t>Daniel Bradley</t>
  </si>
  <si>
    <t>¬£482.25</t>
  </si>
  <si>
    <t>Matthew Rivera</t>
  </si>
  <si>
    <t>Theodore Bean</t>
  </si>
  <si>
    <t>‚Ç¨255.82</t>
  </si>
  <si>
    <t>Benjamin Jenkins</t>
  </si>
  <si>
    <t>Michael Bond</t>
  </si>
  <si>
    <t>‚Ç¨258.12</t>
  </si>
  <si>
    <t>John Johnson</t>
  </si>
  <si>
    <t>Steve Bush</t>
  </si>
  <si>
    <t>$162.94</t>
  </si>
  <si>
    <t>Martha Zavala</t>
  </si>
  <si>
    <t>Penny Freeman</t>
  </si>
  <si>
    <t>¬£153.05</t>
  </si>
  <si>
    <t>Daniel Ballard</t>
  </si>
  <si>
    <t>Willie Williams</t>
  </si>
  <si>
    <t>¬£114.64</t>
  </si>
  <si>
    <t>Mariah Davis</t>
  </si>
  <si>
    <t>Douglas Ford</t>
  </si>
  <si>
    <t>¬£381.62</t>
  </si>
  <si>
    <t>Timothy Osborne</t>
  </si>
  <si>
    <t>Christopher Ferguson</t>
  </si>
  <si>
    <t>¬£215.46</t>
  </si>
  <si>
    <t>Kelsey Collins</t>
  </si>
  <si>
    <t>Gabrielle Collins</t>
  </si>
  <si>
    <t>$455.75</t>
  </si>
  <si>
    <t>David Kramer</t>
  </si>
  <si>
    <t>Anne Watkins</t>
  </si>
  <si>
    <t>¬£325.97</t>
  </si>
  <si>
    <t>Patricia King</t>
  </si>
  <si>
    <t>$468.06</t>
  </si>
  <si>
    <t>Sheri Kline</t>
  </si>
  <si>
    <t>Jennifer Russell</t>
  </si>
  <si>
    <t>¬£377.14</t>
  </si>
  <si>
    <t>Troy White</t>
  </si>
  <si>
    <t>Cindy Cox</t>
  </si>
  <si>
    <t>$87.2</t>
  </si>
  <si>
    <t>David Young</t>
  </si>
  <si>
    <t>Amy Williams</t>
  </si>
  <si>
    <t>$226.97</t>
  </si>
  <si>
    <t>Tim Flowers</t>
  </si>
  <si>
    <t>Kimberly Henson</t>
  </si>
  <si>
    <t>Rs139.81</t>
  </si>
  <si>
    <t>Gregory Garcia</t>
  </si>
  <si>
    <t>Megan Jensen</t>
  </si>
  <si>
    <t>$466.08</t>
  </si>
  <si>
    <t>Max Martinez</t>
  </si>
  <si>
    <t>Joshua Sellers</t>
  </si>
  <si>
    <t>Rs352.03</t>
  </si>
  <si>
    <t>Paul Hinton</t>
  </si>
  <si>
    <t>Lindsey Fitzpatrick</t>
  </si>
  <si>
    <t>$461.19</t>
  </si>
  <si>
    <t>Thomas Landry</t>
  </si>
  <si>
    <t>Brandon Moore</t>
  </si>
  <si>
    <t>Alexander Le</t>
  </si>
  <si>
    <t>Cynthia Booker</t>
  </si>
  <si>
    <t>¬£252.22</t>
  </si>
  <si>
    <t>Joseph Irwin</t>
  </si>
  <si>
    <t>Jacob Kerr</t>
  </si>
  <si>
    <t>¬£206.74</t>
  </si>
  <si>
    <t>Corey Smith</t>
  </si>
  <si>
    <t>Luke Williams</t>
  </si>
  <si>
    <t>$130.7</t>
  </si>
  <si>
    <t>Brandon Baker</t>
  </si>
  <si>
    <t>Alison Walters</t>
  </si>
  <si>
    <t>¬£106.33</t>
  </si>
  <si>
    <t>John Campbell</t>
  </si>
  <si>
    <t>Tanya Baxter</t>
  </si>
  <si>
    <t>Craig Hunt</t>
  </si>
  <si>
    <t>Cynthia Brown</t>
  </si>
  <si>
    <t>$122.56</t>
  </si>
  <si>
    <t>Lisa Cameron</t>
  </si>
  <si>
    <t>Karen Hunt</t>
  </si>
  <si>
    <t>¬£238.81</t>
  </si>
  <si>
    <t>Nathaniel Wood</t>
  </si>
  <si>
    <t>Alec Hill</t>
  </si>
  <si>
    <t>Rs413.21</t>
  </si>
  <si>
    <t>Dr. Lindsey Arias DDS</t>
  </si>
  <si>
    <t>Colton Williams</t>
  </si>
  <si>
    <t>‚Ç¨91.87</t>
  </si>
  <si>
    <t>Timothy Matthews</t>
  </si>
  <si>
    <t>Brandy Sutton</t>
  </si>
  <si>
    <t>‚Ç¨485.5</t>
  </si>
  <si>
    <t>Katelyn Byrd</t>
  </si>
  <si>
    <t>Barbara Chavez</t>
  </si>
  <si>
    <t>¬£209.81</t>
  </si>
  <si>
    <t>Jeffrey Bates</t>
  </si>
  <si>
    <t>Lisa Ho</t>
  </si>
  <si>
    <t>$401.55</t>
  </si>
  <si>
    <t>Kevin Johnson</t>
  </si>
  <si>
    <t>Lance Smith</t>
  </si>
  <si>
    <t>Rs283.3</t>
  </si>
  <si>
    <t>Kelly Mcknight</t>
  </si>
  <si>
    <t>Jerry Lopez</t>
  </si>
  <si>
    <t>¬£146.2</t>
  </si>
  <si>
    <t>Jamie Wright</t>
  </si>
  <si>
    <t>Lori Hall</t>
  </si>
  <si>
    <t>‚Ç¨211.18</t>
  </si>
  <si>
    <t>Kimberly Conner</t>
  </si>
  <si>
    <t>Steven Holland</t>
  </si>
  <si>
    <t>¬£476.99</t>
  </si>
  <si>
    <t>Kelli Page</t>
  </si>
  <si>
    <t>Stephanie Wall</t>
  </si>
  <si>
    <t>$248.33</t>
  </si>
  <si>
    <t>Deanna Abbott</t>
  </si>
  <si>
    <t>Damon Hayes</t>
  </si>
  <si>
    <t>¬£192.67</t>
  </si>
  <si>
    <t>Lindsay Rodriguez</t>
  </si>
  <si>
    <t>Troy Lynch</t>
  </si>
  <si>
    <t>Christopher Singleton</t>
  </si>
  <si>
    <t>Brandy Graves</t>
  </si>
  <si>
    <t>$65.06</t>
  </si>
  <si>
    <t>Michael Walsh</t>
  </si>
  <si>
    <t>Tammy Watts</t>
  </si>
  <si>
    <t>¬£117.14</t>
  </si>
  <si>
    <t>Caroline Reed</t>
  </si>
  <si>
    <t>Eric Kelly</t>
  </si>
  <si>
    <t>Rs433.77</t>
  </si>
  <si>
    <t>Jennifer Wells</t>
  </si>
  <si>
    <t>David Cole</t>
  </si>
  <si>
    <t>$82.84</t>
  </si>
  <si>
    <t>Gary Walker</t>
  </si>
  <si>
    <t>Matthew Lopez</t>
  </si>
  <si>
    <t>Rs216.23</t>
  </si>
  <si>
    <t>Michelle Johnson</t>
  </si>
  <si>
    <t>Jennifer Brooks</t>
  </si>
  <si>
    <t>‚Ç¨492.98</t>
  </si>
  <si>
    <t>Malik Robinson</t>
  </si>
  <si>
    <t>Amber Little</t>
  </si>
  <si>
    <t>Rs280.77</t>
  </si>
  <si>
    <t>Michael Glenn</t>
  </si>
  <si>
    <t>Robert Martinez</t>
  </si>
  <si>
    <t>$99.19</t>
  </si>
  <si>
    <t>Anthony Cortez</t>
  </si>
  <si>
    <t>Derrick Cook</t>
  </si>
  <si>
    <t>$225.83</t>
  </si>
  <si>
    <t>Daniel Cole</t>
  </si>
  <si>
    <t>Dustin Jones</t>
  </si>
  <si>
    <t>$458.12</t>
  </si>
  <si>
    <t>Matthew Lloyd</t>
  </si>
  <si>
    <t>Timothy Morgan</t>
  </si>
  <si>
    <t>‚Ç¨244.78</t>
  </si>
  <si>
    <t>Jason Hicks</t>
  </si>
  <si>
    <t>Stacey Garcia</t>
  </si>
  <si>
    <t>‚Ç¨330.37</t>
  </si>
  <si>
    <t>Stephanie Cisneros</t>
  </si>
  <si>
    <t>Rachel Richards</t>
  </si>
  <si>
    <t>¬£98.14</t>
  </si>
  <si>
    <t>Troy Taylor</t>
  </si>
  <si>
    <t>Jason Gill</t>
  </si>
  <si>
    <t>¬£464.69</t>
  </si>
  <si>
    <t>Charles Cruz</t>
  </si>
  <si>
    <t>Jessica Sawyer</t>
  </si>
  <si>
    <t>¬£91.65</t>
  </si>
  <si>
    <t>Brenda Ward</t>
  </si>
  <si>
    <t>Tonya Smith</t>
  </si>
  <si>
    <t>Rs425.67</t>
  </si>
  <si>
    <t>David Martinez</t>
  </si>
  <si>
    <t>Amber Braun</t>
  </si>
  <si>
    <t>Alex Webster</t>
  </si>
  <si>
    <t>Lorraine Schroeder</t>
  </si>
  <si>
    <t>‚Ç¨140.86</t>
  </si>
  <si>
    <t>Carl Sanchez</t>
  </si>
  <si>
    <t>Christina Price</t>
  </si>
  <si>
    <t>$446.06</t>
  </si>
  <si>
    <t>Lucas Ray</t>
  </si>
  <si>
    <t>Carrie Larsen</t>
  </si>
  <si>
    <t>¬£138.59</t>
  </si>
  <si>
    <t>Cynthia Wells</t>
  </si>
  <si>
    <t>Ashlee Romero</t>
  </si>
  <si>
    <t>¬£448.6</t>
  </si>
  <si>
    <t>Dwayne Clarke</t>
  </si>
  <si>
    <t>Andrew Meadows</t>
  </si>
  <si>
    <t>‚Ç¨150.94</t>
  </si>
  <si>
    <t>James Jimenez</t>
  </si>
  <si>
    <t>Ryan Marsh</t>
  </si>
  <si>
    <t>‚Ç¨339.19</t>
  </si>
  <si>
    <t>Dr. Michele Copeland</t>
  </si>
  <si>
    <t>Debra Castillo</t>
  </si>
  <si>
    <t>‚Ç¨187.28</t>
  </si>
  <si>
    <t>Travis Allen MD</t>
  </si>
  <si>
    <t>Karen White</t>
  </si>
  <si>
    <t>‚Ç¨157.66</t>
  </si>
  <si>
    <t>Bradley Fuller</t>
  </si>
  <si>
    <t>Rs69.97</t>
  </si>
  <si>
    <t>Miss Crystal Davis DDS</t>
  </si>
  <si>
    <t>Christopher Hayes</t>
  </si>
  <si>
    <t>¬£490.55</t>
  </si>
  <si>
    <t>Kara White</t>
  </si>
  <si>
    <t>Kyle Dawson</t>
  </si>
  <si>
    <t>‚Ç¨315.64</t>
  </si>
  <si>
    <t>Briana Guerrero</t>
  </si>
  <si>
    <t>Molly Warner</t>
  </si>
  <si>
    <t>¬£231.08</t>
  </si>
  <si>
    <t>Judy Nguyen</t>
  </si>
  <si>
    <t>Michelle Ortega</t>
  </si>
  <si>
    <t>$429.14</t>
  </si>
  <si>
    <t>Sandra Murphy</t>
  </si>
  <si>
    <t>Shelby Brown</t>
  </si>
  <si>
    <t>Rs93.12</t>
  </si>
  <si>
    <t>Debra Ford</t>
  </si>
  <si>
    <t>Allison Smith</t>
  </si>
  <si>
    <t>¬£461.81</t>
  </si>
  <si>
    <t>Michelle Harris</t>
  </si>
  <si>
    <t>Matthew Garrett</t>
  </si>
  <si>
    <t>‚Ç¨130.72</t>
  </si>
  <si>
    <t>Ariel Davis</t>
  </si>
  <si>
    <t>Jason Gallagher</t>
  </si>
  <si>
    <t>Rs85.63</t>
  </si>
  <si>
    <t>Anna Garrett</t>
  </si>
  <si>
    <t>Alice Lucas</t>
  </si>
  <si>
    <t>‚Ç¨394.9</t>
  </si>
  <si>
    <t>Kimberly Guzman</t>
  </si>
  <si>
    <t>Kristin Reeves</t>
  </si>
  <si>
    <t>Terry Miller</t>
  </si>
  <si>
    <t>John Lyons</t>
  </si>
  <si>
    <t>Marissa Davidson</t>
  </si>
  <si>
    <t>Philip Davis</t>
  </si>
  <si>
    <t>¬£499.67</t>
  </si>
  <si>
    <t>Emma Martin</t>
  </si>
  <si>
    <t>Charles Mcmillan</t>
  </si>
  <si>
    <t>‚Ç¨66.64</t>
  </si>
  <si>
    <t>William Lewis</t>
  </si>
  <si>
    <t>Wesley Johnson</t>
  </si>
  <si>
    <t>Rs361.31</t>
  </si>
  <si>
    <t>Robert Mclaughlin</t>
  </si>
  <si>
    <t>Shannon Mejia</t>
  </si>
  <si>
    <t>¬£205.31</t>
  </si>
  <si>
    <t>William Sparks</t>
  </si>
  <si>
    <t>Jeffrey Ashley Jr.</t>
  </si>
  <si>
    <t>Rs193.18</t>
  </si>
  <si>
    <t>David Kidd</t>
  </si>
  <si>
    <t>Kathy Thompson</t>
  </si>
  <si>
    <t>¬£321.34</t>
  </si>
  <si>
    <t>Brandon Martin</t>
  </si>
  <si>
    <t>John Miller</t>
  </si>
  <si>
    <t>$446.44</t>
  </si>
  <si>
    <t>Amanda Martinez</t>
  </si>
  <si>
    <t>Gary Bowman</t>
  </si>
  <si>
    <t>$165.8</t>
  </si>
  <si>
    <t>Nancy Barry</t>
  </si>
  <si>
    <t>Katherine Espinoza</t>
  </si>
  <si>
    <t>Rs493.59</t>
  </si>
  <si>
    <t>Clinton Estrada</t>
  </si>
  <si>
    <t>Jacob Bender</t>
  </si>
  <si>
    <t>Maria Douglas</t>
  </si>
  <si>
    <t>Daniel Evans</t>
  </si>
  <si>
    <t>‚Ç¨489.64</t>
  </si>
  <si>
    <t>Walter Webb</t>
  </si>
  <si>
    <t>Dale Herrera</t>
  </si>
  <si>
    <t>Megan Avery</t>
  </si>
  <si>
    <t>Michael Arroyo Jr.</t>
  </si>
  <si>
    <t>$96.48</t>
  </si>
  <si>
    <t>Brianna Morris</t>
  </si>
  <si>
    <t>Gregory West DDS</t>
  </si>
  <si>
    <t>‚Ç¨422.79</t>
  </si>
  <si>
    <t>Judy Avila</t>
  </si>
  <si>
    <t>Morgan Ramos</t>
  </si>
  <si>
    <t>Rs330.43</t>
  </si>
  <si>
    <t>Erika Davis</t>
  </si>
  <si>
    <t>Allison Parker</t>
  </si>
  <si>
    <t>¬£440.72</t>
  </si>
  <si>
    <t>Jeffrey Solis</t>
  </si>
  <si>
    <t>William Nichols</t>
  </si>
  <si>
    <t>‚Ç¨287.03</t>
  </si>
  <si>
    <t>Scott Graves</t>
  </si>
  <si>
    <t>Marie Clark</t>
  </si>
  <si>
    <t>‚Ç¨489.0</t>
  </si>
  <si>
    <t>Ellen Fitzpatrick</t>
  </si>
  <si>
    <t>Grant Parker</t>
  </si>
  <si>
    <t>¬£201.19</t>
  </si>
  <si>
    <t>Mark Harrison</t>
  </si>
  <si>
    <t>Jennifer Hernandez</t>
  </si>
  <si>
    <t>‚Ç¨155.45</t>
  </si>
  <si>
    <t>Daniel Barajas</t>
  </si>
  <si>
    <t>Joshua Burnett</t>
  </si>
  <si>
    <t>¬£236.44</t>
  </si>
  <si>
    <t>Christine Murphy</t>
  </si>
  <si>
    <t>Amanda Mendoza</t>
  </si>
  <si>
    <t>$96.21</t>
  </si>
  <si>
    <t>Richard Wagner</t>
  </si>
  <si>
    <t>Christopher Sherman</t>
  </si>
  <si>
    <t>‚Ç¨270.47</t>
  </si>
  <si>
    <t>Eric Coffey</t>
  </si>
  <si>
    <t>Jeffrey Burns</t>
  </si>
  <si>
    <t>Rs284.29</t>
  </si>
  <si>
    <t>Tony Gibbs</t>
  </si>
  <si>
    <t>Brandon Morris</t>
  </si>
  <si>
    <t>‚Ç¨354.36</t>
  </si>
  <si>
    <t>Stephanie Bryant</t>
  </si>
  <si>
    <t>Sara Booth</t>
  </si>
  <si>
    <t>¬£452.69</t>
  </si>
  <si>
    <t>Eric Allen</t>
  </si>
  <si>
    <t>Amanda Mclaughlin</t>
  </si>
  <si>
    <t>¬£329.83</t>
  </si>
  <si>
    <t>Robert Jimenez</t>
  </si>
  <si>
    <t>Tony Randall</t>
  </si>
  <si>
    <t>‚Ç¨450.86</t>
  </si>
  <si>
    <t>Chris Wells</t>
  </si>
  <si>
    <t>Crystal Medina</t>
  </si>
  <si>
    <t>Rs132.38</t>
  </si>
  <si>
    <t>Danny Gray</t>
  </si>
  <si>
    <t>Patricia Carpenter</t>
  </si>
  <si>
    <t>‚Ç¨199.55</t>
  </si>
  <si>
    <t>Alicia Davis</t>
  </si>
  <si>
    <t>John Gonzalez</t>
  </si>
  <si>
    <t>‚Ç¨296.7</t>
  </si>
  <si>
    <t>Dr. John Hernandez</t>
  </si>
  <si>
    <t>Michelle Austin</t>
  </si>
  <si>
    <t>$409.96</t>
  </si>
  <si>
    <t>Andres Mills</t>
  </si>
  <si>
    <t>Paul Weaver</t>
  </si>
  <si>
    <t>¬£386.53</t>
  </si>
  <si>
    <t>Vanessa Allen</t>
  </si>
  <si>
    <t>Amy Chavez</t>
  </si>
  <si>
    <t>Rs243.94</t>
  </si>
  <si>
    <t>Virginia Flores</t>
  </si>
  <si>
    <t>Leonard Macias</t>
  </si>
  <si>
    <t>$364.83</t>
  </si>
  <si>
    <t>Mackenzie Walker</t>
  </si>
  <si>
    <t>Jenny Wright</t>
  </si>
  <si>
    <t>$335.95</t>
  </si>
  <si>
    <t>Kayla Berger</t>
  </si>
  <si>
    <t>Todd Oconnor</t>
  </si>
  <si>
    <t>Brian White</t>
  </si>
  <si>
    <t>Rachel Howell</t>
  </si>
  <si>
    <t>‚Ç¨387.58</t>
  </si>
  <si>
    <t>Dale Fisher</t>
  </si>
  <si>
    <t>Dr. Heidi Johnson</t>
  </si>
  <si>
    <t>Rs360.39</t>
  </si>
  <si>
    <t>Brian Griffith</t>
  </si>
  <si>
    <t>Robert Stanley</t>
  </si>
  <si>
    <t>¬£288.24</t>
  </si>
  <si>
    <t>Theresa Sanchez</t>
  </si>
  <si>
    <t>Amber Sullivan</t>
  </si>
  <si>
    <t>‚Ç¨286.43</t>
  </si>
  <si>
    <t>Kimberly Watson</t>
  </si>
  <si>
    <t>Joseph Meyers</t>
  </si>
  <si>
    <t>Christopher Miller</t>
  </si>
  <si>
    <t>Christine Arnold</t>
  </si>
  <si>
    <t>‚Ç¨476.26</t>
  </si>
  <si>
    <t>Brian Davis</t>
  </si>
  <si>
    <t>Michelle Smith</t>
  </si>
  <si>
    <t>¬£480.75</t>
  </si>
  <si>
    <t>Deborah Wagner</t>
  </si>
  <si>
    <t>Cesar Sanchez</t>
  </si>
  <si>
    <t>Rs277.6</t>
  </si>
  <si>
    <t>Christine Vega</t>
  </si>
  <si>
    <t>Jordan Cole</t>
  </si>
  <si>
    <t>Rs301.11</t>
  </si>
  <si>
    <t>Zachary Jones</t>
  </si>
  <si>
    <t>Alexander Lee</t>
  </si>
  <si>
    <t>¬£304.51</t>
  </si>
  <si>
    <t>Stephen Hicks</t>
  </si>
  <si>
    <t>Christopher Underwood</t>
  </si>
  <si>
    <t>¬£266.53</t>
  </si>
  <si>
    <t>Haley Taylor</t>
  </si>
  <si>
    <t>Christopher Wolfe</t>
  </si>
  <si>
    <t>Rs433.55</t>
  </si>
  <si>
    <t>Melissa Miranda</t>
  </si>
  <si>
    <t>Jennifer Jones</t>
  </si>
  <si>
    <t>¬£70.47</t>
  </si>
  <si>
    <t>Linda Nicholson</t>
  </si>
  <si>
    <t>Melissa Daniels</t>
  </si>
  <si>
    <t>$425.91</t>
  </si>
  <si>
    <t>Whitney Bradley</t>
  </si>
  <si>
    <t>Ryan White</t>
  </si>
  <si>
    <t>‚Ç¨111.71</t>
  </si>
  <si>
    <t>Carolyn Jacobson</t>
  </si>
  <si>
    <t>Katrina Johnston</t>
  </si>
  <si>
    <t>¬£365.37</t>
  </si>
  <si>
    <t>Jordan Hudson</t>
  </si>
  <si>
    <t>Linda Martin</t>
  </si>
  <si>
    <t>‚Ç¨475.27</t>
  </si>
  <si>
    <t>Joseph Banks</t>
  </si>
  <si>
    <t>Susan Kelley</t>
  </si>
  <si>
    <t>$108.6</t>
  </si>
  <si>
    <t>Brad West</t>
  </si>
  <si>
    <t>Samuel Stone</t>
  </si>
  <si>
    <t>¬£455.05</t>
  </si>
  <si>
    <t>Kelsey Johnson</t>
  </si>
  <si>
    <t>Mallory Torres</t>
  </si>
  <si>
    <t>¬£264.45</t>
  </si>
  <si>
    <t>Jared Parrish</t>
  </si>
  <si>
    <t>Wendy Herrera</t>
  </si>
  <si>
    <t>Rs132.57</t>
  </si>
  <si>
    <t>Megan Murphy</t>
  </si>
  <si>
    <t>Kevin Coleman</t>
  </si>
  <si>
    <t>Rs359.5</t>
  </si>
  <si>
    <t>Laura Lopez</t>
  </si>
  <si>
    <t>Julie Phillips</t>
  </si>
  <si>
    <t>Rs464.57</t>
  </si>
  <si>
    <t>Joshua Sanford</t>
  </si>
  <si>
    <t>Tara Montoya</t>
  </si>
  <si>
    <t>$186.61</t>
  </si>
  <si>
    <t>Mark Bowers</t>
  </si>
  <si>
    <t>Antonio Bryant</t>
  </si>
  <si>
    <t>$116.69</t>
  </si>
  <si>
    <t>Nicole West</t>
  </si>
  <si>
    <t>Marissa Jacobs</t>
  </si>
  <si>
    <t>‚Ç¨218.44</t>
  </si>
  <si>
    <t>Amy Wood</t>
  </si>
  <si>
    <t>John Shannon</t>
  </si>
  <si>
    <t>‚Ç¨255.67</t>
  </si>
  <si>
    <t>Robert Montoya</t>
  </si>
  <si>
    <t>Gregg Bennett</t>
  </si>
  <si>
    <t>Robert Torres</t>
  </si>
  <si>
    <t>Kyle Phillips</t>
  </si>
  <si>
    <t>$129.48</t>
  </si>
  <si>
    <t>Mason Morgan</t>
  </si>
  <si>
    <t>James Cobb</t>
  </si>
  <si>
    <t>Rs299.03</t>
  </si>
  <si>
    <t>Jeffrey Hart</t>
  </si>
  <si>
    <t>Jacob Townsend</t>
  </si>
  <si>
    <t>Rs459.66</t>
  </si>
  <si>
    <t>Jessica Pitts</t>
  </si>
  <si>
    <t>Miguel Hayes</t>
  </si>
  <si>
    <t>¬£403.61</t>
  </si>
  <si>
    <t>Amy King</t>
  </si>
  <si>
    <t>Peter Wells</t>
  </si>
  <si>
    <t>¬£241.48</t>
  </si>
  <si>
    <t>Lisa Fisher</t>
  </si>
  <si>
    <t>Karen Martin</t>
  </si>
  <si>
    <t>$417.38</t>
  </si>
  <si>
    <t>Donna Jenkins</t>
  </si>
  <si>
    <t>Rachel Allen</t>
  </si>
  <si>
    <t>Rs390.97</t>
  </si>
  <si>
    <t>Matthew Cox</t>
  </si>
  <si>
    <t>Alexander Horton</t>
  </si>
  <si>
    <t>Rs100.2</t>
  </si>
  <si>
    <t>Melissa Berry MD</t>
  </si>
  <si>
    <t>Kathryn Hooper</t>
  </si>
  <si>
    <t>¬£462.97</t>
  </si>
  <si>
    <t>Zachary Frazier</t>
  </si>
  <si>
    <t>Tamara Thompson</t>
  </si>
  <si>
    <t>$481.92</t>
  </si>
  <si>
    <t>Jose Bryant</t>
  </si>
  <si>
    <t>Ryan Lopez</t>
  </si>
  <si>
    <t>¬£350.41</t>
  </si>
  <si>
    <t>Thomas Smith</t>
  </si>
  <si>
    <t>Kenneth Turner</t>
  </si>
  <si>
    <t>Rs392.87</t>
  </si>
  <si>
    <t>Jason Harrington</t>
  </si>
  <si>
    <t>Stacey Miller</t>
  </si>
  <si>
    <t>Autumn Griffin</t>
  </si>
  <si>
    <t>Isabel Harris</t>
  </si>
  <si>
    <t>$202.41</t>
  </si>
  <si>
    <t>Adam Shelton</t>
  </si>
  <si>
    <t>Mary Thompson</t>
  </si>
  <si>
    <t>$225.1</t>
  </si>
  <si>
    <t>Amber Trevino</t>
  </si>
  <si>
    <t>Sarah Holder</t>
  </si>
  <si>
    <t>Jamie Aguilar</t>
  </si>
  <si>
    <t>Michael Duke</t>
  </si>
  <si>
    <t>‚Ç¨400.01</t>
  </si>
  <si>
    <t>Alyssa Lucas</t>
  </si>
  <si>
    <t>Daniel Ryan</t>
  </si>
  <si>
    <t>$400.52</t>
  </si>
  <si>
    <t>Theresa Young</t>
  </si>
  <si>
    <t>Brenda Booth</t>
  </si>
  <si>
    <t>¬£152.7</t>
  </si>
  <si>
    <t>Donna Clark</t>
  </si>
  <si>
    <t>Joanne Adams</t>
  </si>
  <si>
    <t>‚Ç¨154.68</t>
  </si>
  <si>
    <t>Michael White</t>
  </si>
  <si>
    <t>Seth Ramirez</t>
  </si>
  <si>
    <t>$300.71</t>
  </si>
  <si>
    <t>Jessica Johnson</t>
  </si>
  <si>
    <t>Kevin Weaver</t>
  </si>
  <si>
    <t>¬£166.59</t>
  </si>
  <si>
    <t>Victor Anderson MD</t>
  </si>
  <si>
    <t>Dr. William Terry</t>
  </si>
  <si>
    <t>¬£357.83</t>
  </si>
  <si>
    <t>Jodi Floyd</t>
  </si>
  <si>
    <t>Brett Arnold</t>
  </si>
  <si>
    <t>Rs458.11</t>
  </si>
  <si>
    <t>Bradley Leach</t>
  </si>
  <si>
    <t>Amanda Flores</t>
  </si>
  <si>
    <t>‚Ç¨85.07</t>
  </si>
  <si>
    <t>Stephen Butler</t>
  </si>
  <si>
    <t>Shannon Martinez</t>
  </si>
  <si>
    <t>¬£209.67</t>
  </si>
  <si>
    <t>Jennifer Martin</t>
  </si>
  <si>
    <t>Jeffery Smith</t>
  </si>
  <si>
    <t>¬£239.39</t>
  </si>
  <si>
    <t>Janet Gordon</t>
  </si>
  <si>
    <t>Rs398.73</t>
  </si>
  <si>
    <t>Susan Bautista</t>
  </si>
  <si>
    <t>Michael Schmidt</t>
  </si>
  <si>
    <t>‚Ç¨325.86</t>
  </si>
  <si>
    <t>Steve Ramirez</t>
  </si>
  <si>
    <t>Michelle Jones</t>
  </si>
  <si>
    <t>$451.11</t>
  </si>
  <si>
    <t>Kristine Logan</t>
  </si>
  <si>
    <t>Regina Cox</t>
  </si>
  <si>
    <t>¬£416.39</t>
  </si>
  <si>
    <t>Janet Lewis</t>
  </si>
  <si>
    <t>Gregory Neal</t>
  </si>
  <si>
    <t>‚Ç¨303.42</t>
  </si>
  <si>
    <t>Phillip Blevins</t>
  </si>
  <si>
    <t>Darryl Garcia</t>
  </si>
  <si>
    <t>$124.85</t>
  </si>
  <si>
    <t>Robert Mason</t>
  </si>
  <si>
    <t>Steven Mercer</t>
  </si>
  <si>
    <t>$370.37</t>
  </si>
  <si>
    <t>Rachel Nguyen</t>
  </si>
  <si>
    <t>John Wolf</t>
  </si>
  <si>
    <t>Rs416.85</t>
  </si>
  <si>
    <t>John Nguyen</t>
  </si>
  <si>
    <t>David Robertson</t>
  </si>
  <si>
    <t>Jennifer Stevens</t>
  </si>
  <si>
    <t>Joseph Park</t>
  </si>
  <si>
    <t>¬£231.18</t>
  </si>
  <si>
    <t>Matthew Davis</t>
  </si>
  <si>
    <t>Megan Lopez</t>
  </si>
  <si>
    <t>Rs119.4</t>
  </si>
  <si>
    <t>Ashley Daniels</t>
  </si>
  <si>
    <t>Robert Davies</t>
  </si>
  <si>
    <t>$63.38</t>
  </si>
  <si>
    <t>Dana Park</t>
  </si>
  <si>
    <t>Christopher Garrett</t>
  </si>
  <si>
    <t>Rs341.27</t>
  </si>
  <si>
    <t>Michael Short</t>
  </si>
  <si>
    <t>Charles Hess</t>
  </si>
  <si>
    <t>$483.19</t>
  </si>
  <si>
    <t>Anthony Mitchell</t>
  </si>
  <si>
    <t>Theresa Osborne</t>
  </si>
  <si>
    <t>‚Ç¨371.49</t>
  </si>
  <si>
    <t>Jamie Peck</t>
  </si>
  <si>
    <t>Lisa Garcia</t>
  </si>
  <si>
    <t>‚Ç¨406.43</t>
  </si>
  <si>
    <t>Kelsey Kelly</t>
  </si>
  <si>
    <t>Denise Hall</t>
  </si>
  <si>
    <t>‚Ç¨334.38</t>
  </si>
  <si>
    <t>Allison Mcgrath</t>
  </si>
  <si>
    <t>Morgan Mccoy</t>
  </si>
  <si>
    <t>Rs125.6</t>
  </si>
  <si>
    <t>Denise Anderson</t>
  </si>
  <si>
    <t>Timothy Beasley</t>
  </si>
  <si>
    <t>¬£377.85</t>
  </si>
  <si>
    <t>Louis Thomas</t>
  </si>
  <si>
    <t>Michelle Carter</t>
  </si>
  <si>
    <t>¬£450.24</t>
  </si>
  <si>
    <t>Sarah Taylor</t>
  </si>
  <si>
    <t>Christopher Sexton</t>
  </si>
  <si>
    <t>‚Ç¨382.81</t>
  </si>
  <si>
    <t>Dustin Perry</t>
  </si>
  <si>
    <t>Adam Moore</t>
  </si>
  <si>
    <t>$424.21</t>
  </si>
  <si>
    <t>Shawn Tucker</t>
  </si>
  <si>
    <t>Melissa Schmidt</t>
  </si>
  <si>
    <t>‚Ç¨258.38</t>
  </si>
  <si>
    <t>Rachel Russo</t>
  </si>
  <si>
    <t>Christine Wilson</t>
  </si>
  <si>
    <t>Rs366.15</t>
  </si>
  <si>
    <t>Dana Martinez</t>
  </si>
  <si>
    <t>Barry Bennett</t>
  </si>
  <si>
    <t>Rs466.92</t>
  </si>
  <si>
    <t>Shane Fowler</t>
  </si>
  <si>
    <t>Kimberly Douglas</t>
  </si>
  <si>
    <t>¬£114.67</t>
  </si>
  <si>
    <t>Kimberly Robinson</t>
  </si>
  <si>
    <t>Michael Wright</t>
  </si>
  <si>
    <t>Rs71.67</t>
  </si>
  <si>
    <t>Robert Rodriguez</t>
  </si>
  <si>
    <t>Stephanie Douglas</t>
  </si>
  <si>
    <t>Rs264.27</t>
  </si>
  <si>
    <t>Rita Joyce</t>
  </si>
  <si>
    <t>Diana Neal</t>
  </si>
  <si>
    <t>Rs92.45</t>
  </si>
  <si>
    <t>Kimberly Meyer</t>
  </si>
  <si>
    <t>Christopher Perez</t>
  </si>
  <si>
    <t>Rs441.33</t>
  </si>
  <si>
    <t>Kelly Morris</t>
  </si>
  <si>
    <t>Matthew Mccann</t>
  </si>
  <si>
    <t>Rs258.78</t>
  </si>
  <si>
    <t>Kevin Thompson</t>
  </si>
  <si>
    <t>Lynn Cruz</t>
  </si>
  <si>
    <t>Rs156.71</t>
  </si>
  <si>
    <t>April Braun</t>
  </si>
  <si>
    <t>Jacob Mendoza</t>
  </si>
  <si>
    <t>Rs110.47</t>
  </si>
  <si>
    <t>Alejandro Lopez</t>
  </si>
  <si>
    <t>Brian Bowman</t>
  </si>
  <si>
    <t>‚Ç¨361.32</t>
  </si>
  <si>
    <t>Scott Bishop</t>
  </si>
  <si>
    <t>Dylan Gibson</t>
  </si>
  <si>
    <t>‚Ç¨405.85</t>
  </si>
  <si>
    <t>Steven Baldwin</t>
  </si>
  <si>
    <t>Lori Reid</t>
  </si>
  <si>
    <t>Rs496.78</t>
  </si>
  <si>
    <t>Randy Austin</t>
  </si>
  <si>
    <t>Dr. Deborah Fitzgerald</t>
  </si>
  <si>
    <t>$364.33</t>
  </si>
  <si>
    <t>Anthony Martin</t>
  </si>
  <si>
    <t>Alex Richards</t>
  </si>
  <si>
    <t>Rs119.63</t>
  </si>
  <si>
    <t>Patricia Ramsey</t>
  </si>
  <si>
    <t>Jennifer Tanner</t>
  </si>
  <si>
    <t>¬£399.55</t>
  </si>
  <si>
    <t>Lauren Gardner</t>
  </si>
  <si>
    <t>Alison Castro</t>
  </si>
  <si>
    <t>Rs186.4</t>
  </si>
  <si>
    <t>Daniel Willis</t>
  </si>
  <si>
    <t>Megan Austin</t>
  </si>
  <si>
    <t>Rs234.99</t>
  </si>
  <si>
    <t>Shawn Moore</t>
  </si>
  <si>
    <t>Rebecca Ward</t>
  </si>
  <si>
    <t>Rs316.26</t>
  </si>
  <si>
    <t>Sherry Wilson</t>
  </si>
  <si>
    <t>Pamela Wiley</t>
  </si>
  <si>
    <t>Rs129.91</t>
  </si>
  <si>
    <t>Teresa Peters</t>
  </si>
  <si>
    <t>Tracey Johnson</t>
  </si>
  <si>
    <t>‚Ç¨468.01</t>
  </si>
  <si>
    <t>Nicole Evans</t>
  </si>
  <si>
    <t>Ashley Cuevas</t>
  </si>
  <si>
    <t>Rs459.41</t>
  </si>
  <si>
    <t>Brandon Sanders</t>
  </si>
  <si>
    <t>Amy Dunlap</t>
  </si>
  <si>
    <t>‚Ç¨370.25</t>
  </si>
  <si>
    <t>Samantha Wallace</t>
  </si>
  <si>
    <t>Charles Jackson</t>
  </si>
  <si>
    <t>Rs145.83</t>
  </si>
  <si>
    <t>Jared Butler</t>
  </si>
  <si>
    <t>Jason Morales</t>
  </si>
  <si>
    <t>Tracey Beck</t>
  </si>
  <si>
    <t>Logan Cooper</t>
  </si>
  <si>
    <t>$184.28</t>
  </si>
  <si>
    <t>Brianna Mcpherson</t>
  </si>
  <si>
    <t>Nathaniel Thompson</t>
  </si>
  <si>
    <t>¬£109.61</t>
  </si>
  <si>
    <t>Ray Mcbride</t>
  </si>
  <si>
    <t>Natalie Turner</t>
  </si>
  <si>
    <t>$135.41</t>
  </si>
  <si>
    <t>Tammy Thomas</t>
  </si>
  <si>
    <t>Kurt Cain</t>
  </si>
  <si>
    <t>¬£109.02</t>
  </si>
  <si>
    <t>Kelly Mason</t>
  </si>
  <si>
    <t>Laura Edwards</t>
  </si>
  <si>
    <t>$205.16</t>
  </si>
  <si>
    <t>Nicholas Kelly</t>
  </si>
  <si>
    <t>Paula Freeman</t>
  </si>
  <si>
    <t>Anne Jones DVM</t>
  </si>
  <si>
    <t>Linda French</t>
  </si>
  <si>
    <t>$296.43</t>
  </si>
  <si>
    <t>Andrea Mendez</t>
  </si>
  <si>
    <t>Joshua Reed</t>
  </si>
  <si>
    <t>$233.98</t>
  </si>
  <si>
    <t>Jennifer Schwartz</t>
  </si>
  <si>
    <t>Mrs. Michelle Ramsey</t>
  </si>
  <si>
    <t>‚Ç¨474.34</t>
  </si>
  <si>
    <t>Zachary Cross</t>
  </si>
  <si>
    <t>Toni Rodriguez</t>
  </si>
  <si>
    <t>¬£317.84</t>
  </si>
  <si>
    <t>Andrea Murray</t>
  </si>
  <si>
    <t>Alexa Martin</t>
  </si>
  <si>
    <t>Rs435.55</t>
  </si>
  <si>
    <t>Michele Green</t>
  </si>
  <si>
    <t>Rs88.58</t>
  </si>
  <si>
    <t>Summer Bishop</t>
  </si>
  <si>
    <t>Cynthia Green</t>
  </si>
  <si>
    <t>Daniel Braun</t>
  </si>
  <si>
    <t>Tonya Kennedy</t>
  </si>
  <si>
    <t>‚Ç¨252.38</t>
  </si>
  <si>
    <t>Kyle Jones</t>
  </si>
  <si>
    <t>Cheryl Mullins</t>
  </si>
  <si>
    <t>$366.49</t>
  </si>
  <si>
    <t>Erin Baker</t>
  </si>
  <si>
    <t>Carla King</t>
  </si>
  <si>
    <t>Rs239.5</t>
  </si>
  <si>
    <t>Cheryl Calderon</t>
  </si>
  <si>
    <t>Michael Adams</t>
  </si>
  <si>
    <t>Rs55.55</t>
  </si>
  <si>
    <t>Andrea Mcbride</t>
  </si>
  <si>
    <t>Laura Newman</t>
  </si>
  <si>
    <t>¬£112.28</t>
  </si>
  <si>
    <t>Danielle Barrett</t>
  </si>
  <si>
    <t>Gregory Griffin</t>
  </si>
  <si>
    <t>Rs386.16</t>
  </si>
  <si>
    <t>Madison Wilson</t>
  </si>
  <si>
    <t>Ryan Steele</t>
  </si>
  <si>
    <t>‚Ç¨230.73</t>
  </si>
  <si>
    <t>Thomas Crawford</t>
  </si>
  <si>
    <t>Ashley Shaw</t>
  </si>
  <si>
    <t>‚Ç¨296.85</t>
  </si>
  <si>
    <t>Sheila Thomas</t>
  </si>
  <si>
    <t>Catherine Gamble</t>
  </si>
  <si>
    <t>¬£64.79</t>
  </si>
  <si>
    <t>Daniel Long</t>
  </si>
  <si>
    <t>Jean Lawson DDS</t>
  </si>
  <si>
    <t>‚Ç¨101.1</t>
  </si>
  <si>
    <t>James Fox</t>
  </si>
  <si>
    <t>Victoria Osborne</t>
  </si>
  <si>
    <t>Rs204.86</t>
  </si>
  <si>
    <t>Evan Price</t>
  </si>
  <si>
    <t>Brooke Ramos</t>
  </si>
  <si>
    <t>$369.12</t>
  </si>
  <si>
    <t>Vanessa Graves</t>
  </si>
  <si>
    <t>Leslie Smith</t>
  </si>
  <si>
    <t>Rs474.33</t>
  </si>
  <si>
    <t>Barbara Drake</t>
  </si>
  <si>
    <t>Julie Jacobs</t>
  </si>
  <si>
    <t>‚Ç¨285.97</t>
  </si>
  <si>
    <t>Logan Gonzalez</t>
  </si>
  <si>
    <t>‚Ç¨209.27</t>
  </si>
  <si>
    <t>Brittney Gonzales</t>
  </si>
  <si>
    <t>Kimberly Caldwell</t>
  </si>
  <si>
    <t>Rs347.87</t>
  </si>
  <si>
    <t>Nichole Phillips</t>
  </si>
  <si>
    <t>Michael Jackson</t>
  </si>
  <si>
    <t>James Wise</t>
  </si>
  <si>
    <t>Karen Schmidt</t>
  </si>
  <si>
    <t>‚Ç¨98.07</t>
  </si>
  <si>
    <t>Logan Sampson</t>
  </si>
  <si>
    <t>Tiffany Melendez</t>
  </si>
  <si>
    <t>Rs154.03</t>
  </si>
  <si>
    <t>Tamara Ramirez MD</t>
  </si>
  <si>
    <t>Emily Mcintosh</t>
  </si>
  <si>
    <t>¬£126.87</t>
  </si>
  <si>
    <t>Sheryl Lopez</t>
  </si>
  <si>
    <t>Barbara Alvarado</t>
  </si>
  <si>
    <t>Shannon Ramos</t>
  </si>
  <si>
    <t>James Huber</t>
  </si>
  <si>
    <t>Daniel Vazquez</t>
  </si>
  <si>
    <t>Lisa Fry</t>
  </si>
  <si>
    <t>¬£194.82</t>
  </si>
  <si>
    <t>Kimberly Heath</t>
  </si>
  <si>
    <t>Amber Avila</t>
  </si>
  <si>
    <t>‚Ç¨145.75</t>
  </si>
  <si>
    <t>Tammy Yates</t>
  </si>
  <si>
    <t>Nancy Luna</t>
  </si>
  <si>
    <t>‚Ç¨58.55</t>
  </si>
  <si>
    <t>Alison Wolfe</t>
  </si>
  <si>
    <t>Michelle Thomas</t>
  </si>
  <si>
    <t>$481.22</t>
  </si>
  <si>
    <t>Natalie Miller</t>
  </si>
  <si>
    <t>Derrick Glass</t>
  </si>
  <si>
    <t>‚Ç¨56.37</t>
  </si>
  <si>
    <t>Kara Schneider</t>
  </si>
  <si>
    <t>Ivan Russo</t>
  </si>
  <si>
    <t>¬£456.26</t>
  </si>
  <si>
    <t>Kevin Jackson</t>
  </si>
  <si>
    <t>David Love</t>
  </si>
  <si>
    <t>$157.36</t>
  </si>
  <si>
    <t>Mary Werner</t>
  </si>
  <si>
    <t>Bonnie Walker</t>
  </si>
  <si>
    <t>$69.13</t>
  </si>
  <si>
    <t>Jennifer Barber</t>
  </si>
  <si>
    <t>Christopher Smith</t>
  </si>
  <si>
    <t>‚Ç¨56.63</t>
  </si>
  <si>
    <t>Emily Miller</t>
  </si>
  <si>
    <t>Nicole Bates</t>
  </si>
  <si>
    <t>$432.84</t>
  </si>
  <si>
    <t>Christine Lane</t>
  </si>
  <si>
    <t>Kimberly Long</t>
  </si>
  <si>
    <t>¬£208.8</t>
  </si>
  <si>
    <t>Gabriela Pope</t>
  </si>
  <si>
    <t>Melissa Brown</t>
  </si>
  <si>
    <t>$413.25</t>
  </si>
  <si>
    <t>Alexa Landry</t>
  </si>
  <si>
    <t>Larry Delgado</t>
  </si>
  <si>
    <t>$73.59</t>
  </si>
  <si>
    <t>Erica Thompson</t>
  </si>
  <si>
    <t>Jill Kelley</t>
  </si>
  <si>
    <t>Rs466.72</t>
  </si>
  <si>
    <t>James Noble</t>
  </si>
  <si>
    <t>Dylan George</t>
  </si>
  <si>
    <t>‚Ç¨213.67</t>
  </si>
  <si>
    <t>Sandra Russo</t>
  </si>
  <si>
    <t>Michael Alexander</t>
  </si>
  <si>
    <t>$156.9</t>
  </si>
  <si>
    <t>Robert Hampton</t>
  </si>
  <si>
    <t>Kevin Wilkinson</t>
  </si>
  <si>
    <t>¬£323.18</t>
  </si>
  <si>
    <t>Rachel Simmons</t>
  </si>
  <si>
    <t>Robert Sanchez</t>
  </si>
  <si>
    <t>$188.72</t>
  </si>
  <si>
    <t>Eduardo Martinez</t>
  </si>
  <si>
    <t>Craig Kelly</t>
  </si>
  <si>
    <t>¬£411.32</t>
  </si>
  <si>
    <t>Edward Taylor</t>
  </si>
  <si>
    <t>Yvette Johnson</t>
  </si>
  <si>
    <t>‚Ç¨388.8</t>
  </si>
  <si>
    <t>Ashley Martinez</t>
  </si>
  <si>
    <t>Spencer Torres</t>
  </si>
  <si>
    <t>$296.8</t>
  </si>
  <si>
    <t>Megan Edwards</t>
  </si>
  <si>
    <t>Eric Arellano</t>
  </si>
  <si>
    <t>‚Ç¨439.46</t>
  </si>
  <si>
    <t>Mr. Phillip Baxter</t>
  </si>
  <si>
    <t>Tricia Hunt</t>
  </si>
  <si>
    <t>$320.72</t>
  </si>
  <si>
    <t>Diana Schroeder</t>
  </si>
  <si>
    <t>Alexandra Lee</t>
  </si>
  <si>
    <t>$262.84</t>
  </si>
  <si>
    <t>Justin Chen</t>
  </si>
  <si>
    <t>Rs274.94</t>
  </si>
  <si>
    <t>Brian Garrett</t>
  </si>
  <si>
    <t>Tamara Williams</t>
  </si>
  <si>
    <t>¬£182.77</t>
  </si>
  <si>
    <t>Aaron Clay</t>
  </si>
  <si>
    <t>Timothy Barker</t>
  </si>
  <si>
    <t>‚Ç¨312.88</t>
  </si>
  <si>
    <t>Brian Bolton</t>
  </si>
  <si>
    <t>Natalie Patrick</t>
  </si>
  <si>
    <t>¬£163.58</t>
  </si>
  <si>
    <t>Karla Bush</t>
  </si>
  <si>
    <t>Victor Hernandez</t>
  </si>
  <si>
    <t>Rs135.85</t>
  </si>
  <si>
    <t>Michelle Edwards</t>
  </si>
  <si>
    <t>Charles Harvey</t>
  </si>
  <si>
    <t>¬£242.2</t>
  </si>
  <si>
    <t>Jack Sutton</t>
  </si>
  <si>
    <t>Paul Giles</t>
  </si>
  <si>
    <t>$374.72</t>
  </si>
  <si>
    <t>Joseph Hart</t>
  </si>
  <si>
    <t>Ralph Fernandez</t>
  </si>
  <si>
    <t>‚Ç¨326.58</t>
  </si>
  <si>
    <t>Rachel Carlson</t>
  </si>
  <si>
    <t>Paul Martinez</t>
  </si>
  <si>
    <t>$379.39</t>
  </si>
  <si>
    <t>Miss Stacey Weaver</t>
  </si>
  <si>
    <t>Rachel Wilson</t>
  </si>
  <si>
    <t>Rs442.41</t>
  </si>
  <si>
    <t>Steven Giles</t>
  </si>
  <si>
    <t>Kevin Vaughan</t>
  </si>
  <si>
    <t>‚Ç¨358.98</t>
  </si>
  <si>
    <t>Trevor Taylor</t>
  </si>
  <si>
    <t>William Schneider</t>
  </si>
  <si>
    <t>¬£235.74</t>
  </si>
  <si>
    <t>Erica Robbins</t>
  </si>
  <si>
    <t>Matthew Carlson</t>
  </si>
  <si>
    <t>$400.6</t>
  </si>
  <si>
    <t>Alexander Rios</t>
  </si>
  <si>
    <t>Bryan Parker</t>
  </si>
  <si>
    <t>‚Ç¨305.19</t>
  </si>
  <si>
    <t>Jennifer Reese</t>
  </si>
  <si>
    <t>James Aguilar</t>
  </si>
  <si>
    <t>¬£357.15</t>
  </si>
  <si>
    <t>Daniel Valenzuela</t>
  </si>
  <si>
    <t>Karen Brewer</t>
  </si>
  <si>
    <t>$245.21</t>
  </si>
  <si>
    <t>Alexander Jones</t>
  </si>
  <si>
    <t>Mary Ward</t>
  </si>
  <si>
    <t>Rs498.26</t>
  </si>
  <si>
    <t>Robert Myers DDS</t>
  </si>
  <si>
    <t>Luis Smith</t>
  </si>
  <si>
    <t>Rs499.72</t>
  </si>
  <si>
    <t>Jennifer Sims</t>
  </si>
  <si>
    <t>Janet Coffey</t>
  </si>
  <si>
    <t>‚Ç¨315.71</t>
  </si>
  <si>
    <t>Jenna Williams</t>
  </si>
  <si>
    <t>Ryan Mitchell</t>
  </si>
  <si>
    <t>$149.33</t>
  </si>
  <si>
    <t>Jamie Nixon</t>
  </si>
  <si>
    <t>Scott Allen</t>
  </si>
  <si>
    <t>$412.82</t>
  </si>
  <si>
    <t>Maria Harris</t>
  </si>
  <si>
    <t>Henry Hall</t>
  </si>
  <si>
    <t>¬£372.5</t>
  </si>
  <si>
    <t>Angela Davis</t>
  </si>
  <si>
    <t>Danielle Meyer</t>
  </si>
  <si>
    <t>¬£60.76</t>
  </si>
  <si>
    <t>Alex Burns</t>
  </si>
  <si>
    <t>Raymond Bond</t>
  </si>
  <si>
    <t>‚Ç¨290.52</t>
  </si>
  <si>
    <t>Thomas Banks</t>
  </si>
  <si>
    <t>George Stevens</t>
  </si>
  <si>
    <t>Rs451.66</t>
  </si>
  <si>
    <t>Courtney Everett</t>
  </si>
  <si>
    <t>Ryan Chavez</t>
  </si>
  <si>
    <t>¬£260.91</t>
  </si>
  <si>
    <t>Lori Montgomery</t>
  </si>
  <si>
    <t>Christy Fisher</t>
  </si>
  <si>
    <t>$117.12</t>
  </si>
  <si>
    <t>Sarah Fuller</t>
  </si>
  <si>
    <t>Cody Ortega</t>
  </si>
  <si>
    <t>Rs460.11</t>
  </si>
  <si>
    <t>Julia Mckenzie</t>
  </si>
  <si>
    <t>Sarah Scott</t>
  </si>
  <si>
    <t>‚Ç¨91.94</t>
  </si>
  <si>
    <t>Eric Kim</t>
  </si>
  <si>
    <t>Arthur Harris</t>
  </si>
  <si>
    <t>Anne Jacobs</t>
  </si>
  <si>
    <t>Lauren Clark</t>
  </si>
  <si>
    <t>¬£347.38</t>
  </si>
  <si>
    <t>Brandy Navarro</t>
  </si>
  <si>
    <t>Matthew Nichols</t>
  </si>
  <si>
    <t>Rs288.43</t>
  </si>
  <si>
    <t>Jennifer Lowery</t>
  </si>
  <si>
    <t>Tracy Johnson</t>
  </si>
  <si>
    <t>‚Ç¨222.2</t>
  </si>
  <si>
    <t>Thomas Nash</t>
  </si>
  <si>
    <t>Justin Flores</t>
  </si>
  <si>
    <t>Rs180.6</t>
  </si>
  <si>
    <t>Yolanda Thomas</t>
  </si>
  <si>
    <t>Keith Lee</t>
  </si>
  <si>
    <t>Victor Simmons</t>
  </si>
  <si>
    <t>Christopher Nelson</t>
  </si>
  <si>
    <t>‚Ç¨485.31</t>
  </si>
  <si>
    <t>Edward Holland</t>
  </si>
  <si>
    <t>Joe Rodriguez</t>
  </si>
  <si>
    <t>¬£255.9</t>
  </si>
  <si>
    <t>Mary Foster</t>
  </si>
  <si>
    <t>Terry Welch</t>
  </si>
  <si>
    <t>‚Ç¨443.13</t>
  </si>
  <si>
    <t>Michael Sullivan</t>
  </si>
  <si>
    <t>Angela Thomas</t>
  </si>
  <si>
    <t>Rs318.88</t>
  </si>
  <si>
    <t>Brandon Garcia</t>
  </si>
  <si>
    <t>$108.91</t>
  </si>
  <si>
    <t>Melissa Ramirez</t>
  </si>
  <si>
    <t>Amber Clayton</t>
  </si>
  <si>
    <t>¬£167.18</t>
  </si>
  <si>
    <t>Rachel Baker</t>
  </si>
  <si>
    <t>Maria Gentry</t>
  </si>
  <si>
    <t>¬£444.67</t>
  </si>
  <si>
    <t>Penny West</t>
  </si>
  <si>
    <t>Heather Ortiz</t>
  </si>
  <si>
    <t>$396.57</t>
  </si>
  <si>
    <t>Michelle Mcclain</t>
  </si>
  <si>
    <t>Mrs. Amy Miller</t>
  </si>
  <si>
    <t>Rs185.29</t>
  </si>
  <si>
    <t>Jennifer Davis</t>
  </si>
  <si>
    <t>Michael Bryant</t>
  </si>
  <si>
    <t>$215.89</t>
  </si>
  <si>
    <t>Kimberly Lee</t>
  </si>
  <si>
    <t>Vanessa Ramirez</t>
  </si>
  <si>
    <t>¬£438.81</t>
  </si>
  <si>
    <t>Paul Perez</t>
  </si>
  <si>
    <t>Nancy Young</t>
  </si>
  <si>
    <t>‚Ç¨231.7</t>
  </si>
  <si>
    <t>Tyler Smith</t>
  </si>
  <si>
    <t>Melinda Smith</t>
  </si>
  <si>
    <t>Anthony Boyd</t>
  </si>
  <si>
    <t>Bradley Gibson</t>
  </si>
  <si>
    <t>¬£173.85</t>
  </si>
  <si>
    <t>Henry Snyder</t>
  </si>
  <si>
    <t>Theresa Simon</t>
  </si>
  <si>
    <t>$285.44</t>
  </si>
  <si>
    <t>Sabrina Wade</t>
  </si>
  <si>
    <t>Randy Vargas</t>
  </si>
  <si>
    <t>Rs202.92</t>
  </si>
  <si>
    <t>Cody Scott</t>
  </si>
  <si>
    <t>Larry Cohen</t>
  </si>
  <si>
    <t>‚Ç¨383.47</t>
  </si>
  <si>
    <t>David Mcdonald</t>
  </si>
  <si>
    <t>Donald Garcia</t>
  </si>
  <si>
    <t>¬£302.66</t>
  </si>
  <si>
    <t>Sherri Guzman</t>
  </si>
  <si>
    <t>Carlos Morton</t>
  </si>
  <si>
    <t>¬£472.57</t>
  </si>
  <si>
    <t>Mr. Brian Anderson</t>
  </si>
  <si>
    <t>Adrienne Roberts</t>
  </si>
  <si>
    <t>‚Ç¨417.21</t>
  </si>
  <si>
    <t>Kayla Mccormick</t>
  </si>
  <si>
    <t>Robert Burton</t>
  </si>
  <si>
    <t>$244.68</t>
  </si>
  <si>
    <t>Mark Reeves</t>
  </si>
  <si>
    <t>Mark Hill</t>
  </si>
  <si>
    <t>$70.7</t>
  </si>
  <si>
    <t>Debra Short</t>
  </si>
  <si>
    <t>Karla Baker</t>
  </si>
  <si>
    <t>‚Ç¨386.37</t>
  </si>
  <si>
    <t>Melissa Richmond</t>
  </si>
  <si>
    <t>Jasmin Holmes</t>
  </si>
  <si>
    <t>$387.75</t>
  </si>
  <si>
    <t>Linda Murphy</t>
  </si>
  <si>
    <t>Margaret Montoya</t>
  </si>
  <si>
    <t>Rs176.68</t>
  </si>
  <si>
    <t>Michael Gonzales</t>
  </si>
  <si>
    <t>Richard Torres</t>
  </si>
  <si>
    <t>Rs491.64</t>
  </si>
  <si>
    <t>Samantha Garner</t>
  </si>
  <si>
    <t>Jacob Hobbs</t>
  </si>
  <si>
    <t>$325.91</t>
  </si>
  <si>
    <t>David Reeves</t>
  </si>
  <si>
    <t>Marc Copeland</t>
  </si>
  <si>
    <t>Tamara Smith</t>
  </si>
  <si>
    <t>$280.21</t>
  </si>
  <si>
    <t>William Conley</t>
  </si>
  <si>
    <t>Thomas Wallace</t>
  </si>
  <si>
    <t>Rs88.29</t>
  </si>
  <si>
    <t>Kelly Ayers</t>
  </si>
  <si>
    <t>Justin Taylor</t>
  </si>
  <si>
    <t>$443.75</t>
  </si>
  <si>
    <t>James Perry</t>
  </si>
  <si>
    <t>Leonard Campbell</t>
  </si>
  <si>
    <t>$385.61</t>
  </si>
  <si>
    <t>Steven Phelps</t>
  </si>
  <si>
    <t>Darren Williams</t>
  </si>
  <si>
    <t>Rs350.5</t>
  </si>
  <si>
    <t>Mark Daniels</t>
  </si>
  <si>
    <t>Kimberly Pierce</t>
  </si>
  <si>
    <t>$255.56</t>
  </si>
  <si>
    <t>Zachary Williams</t>
  </si>
  <si>
    <t>Selena Brown</t>
  </si>
  <si>
    <t>¬£458.83</t>
  </si>
  <si>
    <t>Carly Ford</t>
  </si>
  <si>
    <t>Scott Tran</t>
  </si>
  <si>
    <t>‚Ç¨138.29</t>
  </si>
  <si>
    <t>Elaine Williams</t>
  </si>
  <si>
    <t>Daniel Carlson</t>
  </si>
  <si>
    <t>Rs189.02</t>
  </si>
  <si>
    <t>Randy Wright</t>
  </si>
  <si>
    <t>Jennifer Banks</t>
  </si>
  <si>
    <t>‚Ç¨272.47</t>
  </si>
  <si>
    <t>Charles Foley</t>
  </si>
  <si>
    <t>Richard Arias</t>
  </si>
  <si>
    <t>‚Ç¨450.37</t>
  </si>
  <si>
    <t>Ryan Kennedy</t>
  </si>
  <si>
    <t>Scott Shannon</t>
  </si>
  <si>
    <t>$490.67</t>
  </si>
  <si>
    <t>Stephen Cox</t>
  </si>
  <si>
    <t>Joseph King</t>
  </si>
  <si>
    <t>¬£99.17</t>
  </si>
  <si>
    <t>Jennifer Jackson</t>
  </si>
  <si>
    <t>Frank Harrell</t>
  </si>
  <si>
    <t>$105.64</t>
  </si>
  <si>
    <t>Jessica Wilson</t>
  </si>
  <si>
    <t>Sharon Nash</t>
  </si>
  <si>
    <t>‚Ç¨437.18</t>
  </si>
  <si>
    <t>Brittany Wall</t>
  </si>
  <si>
    <t>Willie Dean</t>
  </si>
  <si>
    <t>Rs77.2</t>
  </si>
  <si>
    <t>Diane Adams</t>
  </si>
  <si>
    <t>Andrew Carroll</t>
  </si>
  <si>
    <t>‚Ç¨118.72</t>
  </si>
  <si>
    <t>Shawn Moon</t>
  </si>
  <si>
    <t>Sheila Williams</t>
  </si>
  <si>
    <t>‚Ç¨155.69</t>
  </si>
  <si>
    <t>Sharon Lopez</t>
  </si>
  <si>
    <t>Yolanda Richardson</t>
  </si>
  <si>
    <t>$487.57</t>
  </si>
  <si>
    <t>Timothy Ramirez</t>
  </si>
  <si>
    <t>Tiffany Shepherd</t>
  </si>
  <si>
    <t>Rs412.44</t>
  </si>
  <si>
    <t>Daniel Marshall</t>
  </si>
  <si>
    <t>Lisa Taylor</t>
  </si>
  <si>
    <t>¬£297.5</t>
  </si>
  <si>
    <t>Andre Pitts</t>
  </si>
  <si>
    <t>Donna Sandoval</t>
  </si>
  <si>
    <t>‚Ç¨481.4</t>
  </si>
  <si>
    <t>Mary Garcia</t>
  </si>
  <si>
    <t>Brianna Ortega</t>
  </si>
  <si>
    <t>$252.53</t>
  </si>
  <si>
    <t>Lawrence Ford</t>
  </si>
  <si>
    <t>Randall Watts</t>
  </si>
  <si>
    <t>‚Ç¨167.8</t>
  </si>
  <si>
    <t>Monica Mcclure</t>
  </si>
  <si>
    <t>Martha Byrd</t>
  </si>
  <si>
    <t>Rs347.94</t>
  </si>
  <si>
    <t>Troy Richards</t>
  </si>
  <si>
    <t>Thomas Baker</t>
  </si>
  <si>
    <t>¬£305.02</t>
  </si>
  <si>
    <t>Anna Rowe</t>
  </si>
  <si>
    <t>Judith Preston</t>
  </si>
  <si>
    <t>‚Ç¨83.61</t>
  </si>
  <si>
    <t>Michael Espinoza</t>
  </si>
  <si>
    <t>Amber King</t>
  </si>
  <si>
    <t>¬£360.39</t>
  </si>
  <si>
    <t>Kenneth Dixon</t>
  </si>
  <si>
    <t>Sandra Sloan</t>
  </si>
  <si>
    <t>‚Ç¨402.4</t>
  </si>
  <si>
    <t>Justin Ortiz</t>
  </si>
  <si>
    <t>Russell Myers</t>
  </si>
  <si>
    <t>¬£234.26</t>
  </si>
  <si>
    <t>Melissa Wagner</t>
  </si>
  <si>
    <t>Megan Garcia</t>
  </si>
  <si>
    <t>Rs219.5</t>
  </si>
  <si>
    <t>Jamie Miller</t>
  </si>
  <si>
    <t>Gloria Perez</t>
  </si>
  <si>
    <t>‚Ç¨191.19</t>
  </si>
  <si>
    <t>Cynthia Jones</t>
  </si>
  <si>
    <t>Eugene Little</t>
  </si>
  <si>
    <t>Rs318.15</t>
  </si>
  <si>
    <t>Henry Quinn</t>
  </si>
  <si>
    <t>Audrey Hansen</t>
  </si>
  <si>
    <t>$350.0</t>
  </si>
  <si>
    <t>Jake Robinson</t>
  </si>
  <si>
    <t>Nathan Quinn</t>
  </si>
  <si>
    <t>Rs178.28</t>
  </si>
  <si>
    <t>Kimberly Morrison</t>
  </si>
  <si>
    <t>Brian Young</t>
  </si>
  <si>
    <t>$248.31</t>
  </si>
  <si>
    <t>Ricardo White</t>
  </si>
  <si>
    <t>Tanya Barker</t>
  </si>
  <si>
    <t>Rs352.72</t>
  </si>
  <si>
    <t>Cynthia Richard</t>
  </si>
  <si>
    <t>Scott King</t>
  </si>
  <si>
    <t>‚Ç¨208.03</t>
  </si>
  <si>
    <t>David Thompson</t>
  </si>
  <si>
    <t>Derek Velazquez</t>
  </si>
  <si>
    <t>¬£116.75</t>
  </si>
  <si>
    <t>Mary Moon</t>
  </si>
  <si>
    <t>Ernest Rodriguez</t>
  </si>
  <si>
    <t>‚Ç¨91.29</t>
  </si>
  <si>
    <t>John Gallagher</t>
  </si>
  <si>
    <t>Kara Austin</t>
  </si>
  <si>
    <t>‚Ç¨198.61</t>
  </si>
  <si>
    <t>Benjamin Allen</t>
  </si>
  <si>
    <t>Richard Johnson</t>
  </si>
  <si>
    <t>‚Ç¨257.17</t>
  </si>
  <si>
    <t>Abigail Holt</t>
  </si>
  <si>
    <t>Jacob Mays</t>
  </si>
  <si>
    <t>$343.79</t>
  </si>
  <si>
    <t>Katherine Rogers</t>
  </si>
  <si>
    <t>Morgan Edwards</t>
  </si>
  <si>
    <t>$431.21</t>
  </si>
  <si>
    <t>Jason Larson</t>
  </si>
  <si>
    <t>Helen Davis</t>
  </si>
  <si>
    <t>¬£241.91</t>
  </si>
  <si>
    <t>Jesse Robertson</t>
  </si>
  <si>
    <t>Rebecca Gross</t>
  </si>
  <si>
    <t>‚Ç¨95.25</t>
  </si>
  <si>
    <t>Tyler Trujillo</t>
  </si>
  <si>
    <t>Andrea Walsh</t>
  </si>
  <si>
    <t>¬£167.07</t>
  </si>
  <si>
    <t>Travis Rodriguez</t>
  </si>
  <si>
    <t>‚Ç¨426.64</t>
  </si>
  <si>
    <t>Darren Alvarado</t>
  </si>
  <si>
    <t>Spencer Booth</t>
  </si>
  <si>
    <t>‚Ç¨106.8</t>
  </si>
  <si>
    <t>Troy Marshall</t>
  </si>
  <si>
    <t>Benjamin Robinson</t>
  </si>
  <si>
    <t>$478.18</t>
  </si>
  <si>
    <t>Corey Turner</t>
  </si>
  <si>
    <t>Heidi Baker</t>
  </si>
  <si>
    <t>Rs435.1</t>
  </si>
  <si>
    <t>Ashley Wright</t>
  </si>
  <si>
    <t>Kristen Lopez</t>
  </si>
  <si>
    <t>‚Ç¨403.22</t>
  </si>
  <si>
    <t>Jose Bauer</t>
  </si>
  <si>
    <t>Reginald Barrett</t>
  </si>
  <si>
    <t>‚Ç¨390.81</t>
  </si>
  <si>
    <t>Jared Lester</t>
  </si>
  <si>
    <t>David Espinoza</t>
  </si>
  <si>
    <t>¬£310.42</t>
  </si>
  <si>
    <t>Jeffrey Martinez</t>
  </si>
  <si>
    <t>Michael Ross</t>
  </si>
  <si>
    <t>$469.3</t>
  </si>
  <si>
    <t>Christopher Massey</t>
  </si>
  <si>
    <t>William Moore</t>
  </si>
  <si>
    <t>‚Ç¨495.94</t>
  </si>
  <si>
    <t>Erin Small</t>
  </si>
  <si>
    <t>Jeff Lane</t>
  </si>
  <si>
    <t>‚Ç¨403.87</t>
  </si>
  <si>
    <t>Pamela Dalton</t>
  </si>
  <si>
    <t>Christopher Jones</t>
  </si>
  <si>
    <t>Rs466.56</t>
  </si>
  <si>
    <t>Rebecca Parrish</t>
  </si>
  <si>
    <t>Jordan Shelton</t>
  </si>
  <si>
    <t>$163.52</t>
  </si>
  <si>
    <t>Dominic Bell</t>
  </si>
  <si>
    <t>April Castillo</t>
  </si>
  <si>
    <t>Rs356.13</t>
  </si>
  <si>
    <t>Gregory Arellano</t>
  </si>
  <si>
    <t>Natalie Smith</t>
  </si>
  <si>
    <t>$400.62</t>
  </si>
  <si>
    <t>Laura Chan</t>
  </si>
  <si>
    <t>Reginald Miller</t>
  </si>
  <si>
    <t>$177.93</t>
  </si>
  <si>
    <t>Michael Watkins</t>
  </si>
  <si>
    <t>Brian Deleon</t>
  </si>
  <si>
    <t>¬£313.04</t>
  </si>
  <si>
    <t>Daniel Garrett</t>
  </si>
  <si>
    <t>Francisco Steele</t>
  </si>
  <si>
    <t>¬£424.5</t>
  </si>
  <si>
    <t>Ronald Gonzalez</t>
  </si>
  <si>
    <t>Crystal Mueller</t>
  </si>
  <si>
    <t>Rs222.37</t>
  </si>
  <si>
    <t>Charles Green</t>
  </si>
  <si>
    <t>Lisa Hoffman</t>
  </si>
  <si>
    <t>‚Ç¨349.49</t>
  </si>
  <si>
    <t>Allison Ramos</t>
  </si>
  <si>
    <t>Chase Ford</t>
  </si>
  <si>
    <t>$482.2</t>
  </si>
  <si>
    <t>Christopher Brown</t>
  </si>
  <si>
    <t>Henry Moore</t>
  </si>
  <si>
    <t>Rs92.08</t>
  </si>
  <si>
    <t>Barbara Holland</t>
  </si>
  <si>
    <t>Chelsea Aguirre</t>
  </si>
  <si>
    <t>‚Ç¨439.56</t>
  </si>
  <si>
    <t>Matthew Herrera</t>
  </si>
  <si>
    <t>Cody Murray</t>
  </si>
  <si>
    <t>Rs473.48</t>
  </si>
  <si>
    <t>Valerie Vaughn</t>
  </si>
  <si>
    <t>Felicia Warner</t>
  </si>
  <si>
    <t>Tiffany Miller</t>
  </si>
  <si>
    <t>Melissa Bradley</t>
  </si>
  <si>
    <t>‚Ç¨151.02</t>
  </si>
  <si>
    <t>Cassandra Cain</t>
  </si>
  <si>
    <t>Jessica Williams</t>
  </si>
  <si>
    <t>Rs79.59</t>
  </si>
  <si>
    <t>Glen Arroyo</t>
  </si>
  <si>
    <t>Christopher Schneider</t>
  </si>
  <si>
    <t>¬£167.31</t>
  </si>
  <si>
    <t>Kimberly Hill</t>
  </si>
  <si>
    <t>Kenneth Long</t>
  </si>
  <si>
    <t>Rs194.81</t>
  </si>
  <si>
    <t>Erik Martinez</t>
  </si>
  <si>
    <t>Jennifer Carroll</t>
  </si>
  <si>
    <t>$97.67</t>
  </si>
  <si>
    <t>Michael Bradley</t>
  </si>
  <si>
    <t>Carl Gomez</t>
  </si>
  <si>
    <t>¬£254.91</t>
  </si>
  <si>
    <t>Rebecca Carey DDS</t>
  </si>
  <si>
    <t>David Carter</t>
  </si>
  <si>
    <t>$169.09</t>
  </si>
  <si>
    <t>Tammy Nelson</t>
  </si>
  <si>
    <t>Angel Aguilar</t>
  </si>
  <si>
    <t>Heidi Alvarez</t>
  </si>
  <si>
    <t>Jeremy Wilson</t>
  </si>
  <si>
    <t>Rs94.19</t>
  </si>
  <si>
    <t>Robert Edwards</t>
  </si>
  <si>
    <t>Ashley Gonzalez</t>
  </si>
  <si>
    <t>¬£84.87</t>
  </si>
  <si>
    <t>Bryan Fritz</t>
  </si>
  <si>
    <t>Kelsey Hernandez</t>
  </si>
  <si>
    <t>$338.43</t>
  </si>
  <si>
    <t>Donald Reed</t>
  </si>
  <si>
    <t>Danny Webster</t>
  </si>
  <si>
    <t>$453.66</t>
  </si>
  <si>
    <t>Alejandra Perkins</t>
  </si>
  <si>
    <t>Daniel Dickerson</t>
  </si>
  <si>
    <t>Jonathan Drake</t>
  </si>
  <si>
    <t>Andrew Johnson</t>
  </si>
  <si>
    <t>¬£328.88</t>
  </si>
  <si>
    <t>Sandra Wood</t>
  </si>
  <si>
    <t>Brian Armstrong</t>
  </si>
  <si>
    <t>¬£51.93</t>
  </si>
  <si>
    <t>Alexis Moody</t>
  </si>
  <si>
    <t>Jennifer Reyes</t>
  </si>
  <si>
    <t>Rs201.8</t>
  </si>
  <si>
    <t>Carol Williams</t>
  </si>
  <si>
    <t>Joshua Gomez</t>
  </si>
  <si>
    <t>$129.1</t>
  </si>
  <si>
    <t>Kimberly Adkins</t>
  </si>
  <si>
    <t>Tamara Rivera</t>
  </si>
  <si>
    <t>Tracie Jefferson</t>
  </si>
  <si>
    <t>Margaret Robinson</t>
  </si>
  <si>
    <t>$153.53</t>
  </si>
  <si>
    <t>Aaron Young</t>
  </si>
  <si>
    <t>Wendy Cochran</t>
  </si>
  <si>
    <t>Rs222.33</t>
  </si>
  <si>
    <t>Terry Dennis</t>
  </si>
  <si>
    <t>Kelsey Scott</t>
  </si>
  <si>
    <t>Rs403.78</t>
  </si>
  <si>
    <t>Michael Newman MD</t>
  </si>
  <si>
    <t>Ronald Santos</t>
  </si>
  <si>
    <t>$343.21</t>
  </si>
  <si>
    <t>Kristin Terry</t>
  </si>
  <si>
    <t>Michael Brown</t>
  </si>
  <si>
    <t>¬£67.97</t>
  </si>
  <si>
    <t>Nicole Green</t>
  </si>
  <si>
    <t>Charles Owens</t>
  </si>
  <si>
    <t>Rs365.21</t>
  </si>
  <si>
    <t>Tina Cook</t>
  </si>
  <si>
    <t>Paul Allen</t>
  </si>
  <si>
    <t>¬£269.53</t>
  </si>
  <si>
    <t>Robin Donovan</t>
  </si>
  <si>
    <t>Brian Brown</t>
  </si>
  <si>
    <t>$163.58</t>
  </si>
  <si>
    <t>Bryan Meyers</t>
  </si>
  <si>
    <t>Michael Trevino</t>
  </si>
  <si>
    <t>Rs499.36</t>
  </si>
  <si>
    <t>Deanna Manning</t>
  </si>
  <si>
    <t>Austin Stout</t>
  </si>
  <si>
    <t>Rs101.37</t>
  </si>
  <si>
    <t>Linda Miller</t>
  </si>
  <si>
    <t>Patricia White</t>
  </si>
  <si>
    <t>Kathryn Bell</t>
  </si>
  <si>
    <t>Andre Carter</t>
  </si>
  <si>
    <t>¬£442.72</t>
  </si>
  <si>
    <t>Patrick Ewing</t>
  </si>
  <si>
    <t>Alexander Jackson</t>
  </si>
  <si>
    <t>¬£224.89</t>
  </si>
  <si>
    <t>Steven Henderson</t>
  </si>
  <si>
    <t>Nicole Martinez</t>
  </si>
  <si>
    <t>Rs163.4</t>
  </si>
  <si>
    <t>Michael Marquez</t>
  </si>
  <si>
    <t>Mr. Curtis Ortiz</t>
  </si>
  <si>
    <t>‚Ç¨202.98</t>
  </si>
  <si>
    <t>Brittany Thompson</t>
  </si>
  <si>
    <t>Wendy Davis</t>
  </si>
  <si>
    <t>Rs257.1</t>
  </si>
  <si>
    <t>Tracy Perez</t>
  </si>
  <si>
    <t>Lauren Rosario</t>
  </si>
  <si>
    <t>‚Ç¨466.87</t>
  </si>
  <si>
    <t>Morgan Torres</t>
  </si>
  <si>
    <t>April Lyons</t>
  </si>
  <si>
    <t>Jessica Price</t>
  </si>
  <si>
    <t>Justin Rice</t>
  </si>
  <si>
    <t>‚Ç¨490.78</t>
  </si>
  <si>
    <t>Kayla Williams</t>
  </si>
  <si>
    <t>Aaron Cooper</t>
  </si>
  <si>
    <t>Rs217.86</t>
  </si>
  <si>
    <t>Victoria Young</t>
  </si>
  <si>
    <t>Lauren Whitaker</t>
  </si>
  <si>
    <t>$174.04</t>
  </si>
  <si>
    <t>Roger Hatfield</t>
  </si>
  <si>
    <t>Victoria Lopez</t>
  </si>
  <si>
    <t>‚Ç¨196.21</t>
  </si>
  <si>
    <t>Robert Lewis</t>
  </si>
  <si>
    <t>Samantha Cameron</t>
  </si>
  <si>
    <t>Rs490.08</t>
  </si>
  <si>
    <t>Jeremiah Perez</t>
  </si>
  <si>
    <t>Michael Black</t>
  </si>
  <si>
    <t>$91.94</t>
  </si>
  <si>
    <t>Haley Mcintosh</t>
  </si>
  <si>
    <t>Amanda Boyd</t>
  </si>
  <si>
    <t>‚Ç¨484.82</t>
  </si>
  <si>
    <t>Kathy Rhodes</t>
  </si>
  <si>
    <t>Rachel Bright</t>
  </si>
  <si>
    <t>$175.26</t>
  </si>
  <si>
    <t>Louis Craig</t>
  </si>
  <si>
    <t>Rachel Wood</t>
  </si>
  <si>
    <t>Rs484.93</t>
  </si>
  <si>
    <t>Jenny Black</t>
  </si>
  <si>
    <t>Jamie Nunez</t>
  </si>
  <si>
    <t>$381.93</t>
  </si>
  <si>
    <t>Sarah Davis</t>
  </si>
  <si>
    <t>Rebecca Thompson</t>
  </si>
  <si>
    <t>Rs402.6</t>
  </si>
  <si>
    <t>Heidi Sosa</t>
  </si>
  <si>
    <t>Nancy Wilson</t>
  </si>
  <si>
    <t>Rs241.81</t>
  </si>
  <si>
    <t>Dalton Rodriguez</t>
  </si>
  <si>
    <t>Erica Sanchez</t>
  </si>
  <si>
    <t>Rs467.2</t>
  </si>
  <si>
    <t>Jacqueline West</t>
  </si>
  <si>
    <t>Steven Walker</t>
  </si>
  <si>
    <t>¬£148.74</t>
  </si>
  <si>
    <t>Sherri Barry</t>
  </si>
  <si>
    <t>Janet Schultz</t>
  </si>
  <si>
    <t>¬£109.72</t>
  </si>
  <si>
    <t>Lydia Russell</t>
  </si>
  <si>
    <t>Matthew Clark</t>
  </si>
  <si>
    <t>¬£477.53</t>
  </si>
  <si>
    <t>Alexander Hammond</t>
  </si>
  <si>
    <t>Tara Moore</t>
  </si>
  <si>
    <t>‚Ç¨286.71</t>
  </si>
  <si>
    <t>Nichole Anderson</t>
  </si>
  <si>
    <t>Richard Vega</t>
  </si>
  <si>
    <t>¬£316.89</t>
  </si>
  <si>
    <t>Jacqueline Peters</t>
  </si>
  <si>
    <t>Adam Jensen</t>
  </si>
  <si>
    <t>‚Ç¨266.74</t>
  </si>
  <si>
    <t>Kelly Hodge</t>
  </si>
  <si>
    <t>Terry Jones</t>
  </si>
  <si>
    <t>¬£175.09</t>
  </si>
  <si>
    <t>Brandi Boyd</t>
  </si>
  <si>
    <t>Mary Jacobson</t>
  </si>
  <si>
    <t>Rs96.2</t>
  </si>
  <si>
    <t>David Jones</t>
  </si>
  <si>
    <t>Dakota Fleming</t>
  </si>
  <si>
    <t>Rs443.12</t>
  </si>
  <si>
    <t>Zachary Lewis</t>
  </si>
  <si>
    <t>Gary Washington</t>
  </si>
  <si>
    <t>$351.94</t>
  </si>
  <si>
    <t>Andrea Anderson</t>
  </si>
  <si>
    <t>Mary Burgess</t>
  </si>
  <si>
    <t>$59.55</t>
  </si>
  <si>
    <t>Shawn Castillo</t>
  </si>
  <si>
    <t>¬£339.57</t>
  </si>
  <si>
    <t>Jerry Holmes</t>
  </si>
  <si>
    <t>Kim Daniels</t>
  </si>
  <si>
    <t>Rs344.57</t>
  </si>
  <si>
    <t>Kimberly Diaz</t>
  </si>
  <si>
    <t>David Guzman</t>
  </si>
  <si>
    <t>$197.72</t>
  </si>
  <si>
    <t>Katherine Olson</t>
  </si>
  <si>
    <t>Larry Roberts</t>
  </si>
  <si>
    <t>¬£202.68</t>
  </si>
  <si>
    <t>Nathaniel White</t>
  </si>
  <si>
    <t>Andrew Clark</t>
  </si>
  <si>
    <t>$95.4</t>
  </si>
  <si>
    <t>Robert Garcia</t>
  </si>
  <si>
    <t>Eric Lewis</t>
  </si>
  <si>
    <t>‚Ç¨245.84</t>
  </si>
  <si>
    <t>Richard Medina</t>
  </si>
  <si>
    <t>‚Ç¨284.66</t>
  </si>
  <si>
    <t>Peter Pierce</t>
  </si>
  <si>
    <t>Deborah Snyder</t>
  </si>
  <si>
    <t>Rs389.49</t>
  </si>
  <si>
    <t>Elizabeth Russo</t>
  </si>
  <si>
    <t>Connie Martinez</t>
  </si>
  <si>
    <t>Jacqueline Collins</t>
  </si>
  <si>
    <t>Paul Parker</t>
  </si>
  <si>
    <t>$161.5</t>
  </si>
  <si>
    <t>Mckenzie Mccarty</t>
  </si>
  <si>
    <t>Larry Smith</t>
  </si>
  <si>
    <t>¬£68.36</t>
  </si>
  <si>
    <t>Samuel Thomas</t>
  </si>
  <si>
    <t>Donna Johnson</t>
  </si>
  <si>
    <t>¬£332.15</t>
  </si>
  <si>
    <t>Robert Williams</t>
  </si>
  <si>
    <t>Jessica Chandler</t>
  </si>
  <si>
    <t>¬£294.14</t>
  </si>
  <si>
    <t>Brent Thompson</t>
  </si>
  <si>
    <t>Pamela Cunningham</t>
  </si>
  <si>
    <t>‚Ç¨202.54</t>
  </si>
  <si>
    <t>Ms. Kristen Johnson</t>
  </si>
  <si>
    <t>Susan Griffin</t>
  </si>
  <si>
    <t>Rs455.57</t>
  </si>
  <si>
    <t>Darlene Clark</t>
  </si>
  <si>
    <t>Thomas Williams</t>
  </si>
  <si>
    <t>¬£378.58</t>
  </si>
  <si>
    <t>Corey King</t>
  </si>
  <si>
    <t>¬£110.44</t>
  </si>
  <si>
    <t>Lauren Burns</t>
  </si>
  <si>
    <t>Amy Baxter</t>
  </si>
  <si>
    <t>¬£274.12</t>
  </si>
  <si>
    <t>Jesse Wood</t>
  </si>
  <si>
    <t>Deborah Vasquez</t>
  </si>
  <si>
    <t>Rs224.83</t>
  </si>
  <si>
    <t>James Price</t>
  </si>
  <si>
    <t>Jessica Garcia</t>
  </si>
  <si>
    <t>$194.55</t>
  </si>
  <si>
    <t>Darryl Murphy</t>
  </si>
  <si>
    <t>Christian Chapman</t>
  </si>
  <si>
    <t>‚Ç¨207.23</t>
  </si>
  <si>
    <t>Maria Boyd</t>
  </si>
  <si>
    <t>Mike Miller</t>
  </si>
  <si>
    <t>‚Ç¨464.96</t>
  </si>
  <si>
    <t>Jacqueline Howell</t>
  </si>
  <si>
    <t>Felicia Smith</t>
  </si>
  <si>
    <t>¬£316.64</t>
  </si>
  <si>
    <t>Tracy Smith</t>
  </si>
  <si>
    <t>Amber Baxter</t>
  </si>
  <si>
    <t>Rs139.49</t>
  </si>
  <si>
    <t>Victoria Perry</t>
  </si>
  <si>
    <t>Heather Garcia</t>
  </si>
  <si>
    <t>‚Ç¨447.23</t>
  </si>
  <si>
    <t>Pamela Davis</t>
  </si>
  <si>
    <t>Antonio Galloway</t>
  </si>
  <si>
    <t>‚Ç¨320.38</t>
  </si>
  <si>
    <t>Stephanie Carr</t>
  </si>
  <si>
    <t>David Colon</t>
  </si>
  <si>
    <t>$212.66</t>
  </si>
  <si>
    <t>Carrie Davis</t>
  </si>
  <si>
    <t>Michael Jones</t>
  </si>
  <si>
    <t>Rs390.86</t>
  </si>
  <si>
    <t>Pamela Young</t>
  </si>
  <si>
    <t>Yvonne Richardson</t>
  </si>
  <si>
    <t>$136.23</t>
  </si>
  <si>
    <t>Leonard Clark</t>
  </si>
  <si>
    <t>Robert Foster</t>
  </si>
  <si>
    <t>Rs68.8</t>
  </si>
  <si>
    <t>Michele Perry</t>
  </si>
  <si>
    <t>Leslie Gomez</t>
  </si>
  <si>
    <t>‚Ç¨79.41</t>
  </si>
  <si>
    <t>Ryan Tucker</t>
  </si>
  <si>
    <t>Barbara Owens</t>
  </si>
  <si>
    <t>Rs224.61</t>
  </si>
  <si>
    <t>Kelsey Rice</t>
  </si>
  <si>
    <t>Darren Jensen</t>
  </si>
  <si>
    <t>$190.44</t>
  </si>
  <si>
    <t>Monique Daniels</t>
  </si>
  <si>
    <t>Alexander Brown</t>
  </si>
  <si>
    <t>$316.64</t>
  </si>
  <si>
    <t>Joseph Mcmillan</t>
  </si>
  <si>
    <t>Frederick Nielsen</t>
  </si>
  <si>
    <t>Rs308.59</t>
  </si>
  <si>
    <t>Miss Christine Lopez</t>
  </si>
  <si>
    <t>Cynthia Turner</t>
  </si>
  <si>
    <t>$414.58</t>
  </si>
  <si>
    <t>Christy Nunez</t>
  </si>
  <si>
    <t>Theresa Parker</t>
  </si>
  <si>
    <t>‚Ç¨338.24</t>
  </si>
  <si>
    <t>Jeff Lynch</t>
  </si>
  <si>
    <t>Joseph Gibbs</t>
  </si>
  <si>
    <t>‚Ç¨53.35</t>
  </si>
  <si>
    <t>James Mendez</t>
  </si>
  <si>
    <t>Jackie Brooks</t>
  </si>
  <si>
    <t>$186.43</t>
  </si>
  <si>
    <t>Kelly Hess</t>
  </si>
  <si>
    <t>Seth Benson</t>
  </si>
  <si>
    <t>Rs268.93</t>
  </si>
  <si>
    <t>Sandra Wilson</t>
  </si>
  <si>
    <t>Cheryl Adams</t>
  </si>
  <si>
    <t>‚Ç¨322.0</t>
  </si>
  <si>
    <t>Jennifer Williams</t>
  </si>
  <si>
    <t>Emily Barnes</t>
  </si>
  <si>
    <t>$498.84</t>
  </si>
  <si>
    <t>Kathryn Green</t>
  </si>
  <si>
    <t>Robert Moreno</t>
  </si>
  <si>
    <t>Rs415.78</t>
  </si>
  <si>
    <t>Holly Potter</t>
  </si>
  <si>
    <t>Christina Mitchell</t>
  </si>
  <si>
    <t>Rs274.5</t>
  </si>
  <si>
    <t>Catherine Stein</t>
  </si>
  <si>
    <t>Donald Jacobson</t>
  </si>
  <si>
    <t>¬£368.24</t>
  </si>
  <si>
    <t>Wendy Andrews</t>
  </si>
  <si>
    <t>Kimberly Wilcox</t>
  </si>
  <si>
    <t>Rs353.07</t>
  </si>
  <si>
    <t>Richard Alexander</t>
  </si>
  <si>
    <t>Monica Torres</t>
  </si>
  <si>
    <t>¬£358.68</t>
  </si>
  <si>
    <t>Javier Hawkins</t>
  </si>
  <si>
    <t>Debra Fields</t>
  </si>
  <si>
    <t>$427.54</t>
  </si>
  <si>
    <t>Sonya Wheeler</t>
  </si>
  <si>
    <t>Adam Carlson</t>
  </si>
  <si>
    <t>Rs433.05</t>
  </si>
  <si>
    <t>Jessica Castillo</t>
  </si>
  <si>
    <t>Bryan Newton</t>
  </si>
  <si>
    <t>‚Ç¨436.91</t>
  </si>
  <si>
    <t>Courtney Powell</t>
  </si>
  <si>
    <t>Kelly Hardin</t>
  </si>
  <si>
    <t>‚Ç¨252.53</t>
  </si>
  <si>
    <t>Crystal Oneal</t>
  </si>
  <si>
    <t>Harold Gray</t>
  </si>
  <si>
    <t>$421.74</t>
  </si>
  <si>
    <t>Alison Robinson</t>
  </si>
  <si>
    <t>Jose Thomas</t>
  </si>
  <si>
    <t>¬£175.6</t>
  </si>
  <si>
    <t>Justin White</t>
  </si>
  <si>
    <t>Jose Jackson</t>
  </si>
  <si>
    <t>Rs203.05</t>
  </si>
  <si>
    <t>Linda Ryan</t>
  </si>
  <si>
    <t>Sandra Johns</t>
  </si>
  <si>
    <t>¬£123.13</t>
  </si>
  <si>
    <t>Meghan Evans</t>
  </si>
  <si>
    <t>Courtney Yang</t>
  </si>
  <si>
    <t>$337.15</t>
  </si>
  <si>
    <t>Tiffany Stone</t>
  </si>
  <si>
    <t>Henry Kelley</t>
  </si>
  <si>
    <t>‚Ç¨180.76</t>
  </si>
  <si>
    <t>Melanie Hernandez</t>
  </si>
  <si>
    <t>Adam Anderson</t>
  </si>
  <si>
    <t>$445.97</t>
  </si>
  <si>
    <t>Gabriel Yang</t>
  </si>
  <si>
    <t>Justin Thomas</t>
  </si>
  <si>
    <t>¬£236.58</t>
  </si>
  <si>
    <t>Nicole Garcia</t>
  </si>
  <si>
    <t>Guy Vaughn</t>
  </si>
  <si>
    <t>$125.33</t>
  </si>
  <si>
    <t>Jenny Martin</t>
  </si>
  <si>
    <t>Andrew Terry</t>
  </si>
  <si>
    <t>‚Ç¨394.58</t>
  </si>
  <si>
    <t>Audrey Irwin</t>
  </si>
  <si>
    <t>Michael Murphy</t>
  </si>
  <si>
    <t>‚Ç¨96.12</t>
  </si>
  <si>
    <t>Bryan Armstrong</t>
  </si>
  <si>
    <t>Robert Escobar</t>
  </si>
  <si>
    <t>Rs305.01</t>
  </si>
  <si>
    <t>Lisa Hill</t>
  </si>
  <si>
    <t>Mia Boyd</t>
  </si>
  <si>
    <t>$169.01</t>
  </si>
  <si>
    <t>Susan Delgado</t>
  </si>
  <si>
    <t>Paula Mann</t>
  </si>
  <si>
    <t>‚Ç¨304.86</t>
  </si>
  <si>
    <t>Bradley Myers</t>
  </si>
  <si>
    <t>Mark Barrett</t>
  </si>
  <si>
    <t>Rs426.51</t>
  </si>
  <si>
    <t>Derek Smith</t>
  </si>
  <si>
    <t>Jeremy Burton</t>
  </si>
  <si>
    <t>$215.76</t>
  </si>
  <si>
    <t>Taylor Farley</t>
  </si>
  <si>
    <t>Christy Lewis</t>
  </si>
  <si>
    <t>$184.11</t>
  </si>
  <si>
    <t>Richard Richardson</t>
  </si>
  <si>
    <t>Robin Hebert</t>
  </si>
  <si>
    <t>Rs226.12</t>
  </si>
  <si>
    <t>Ryan Rodriguez</t>
  </si>
  <si>
    <t>Eric Kennedy</t>
  </si>
  <si>
    <t>Rs277.5</t>
  </si>
  <si>
    <t>Jeremy Coleman</t>
  </si>
  <si>
    <t>David Riley</t>
  </si>
  <si>
    <t>Rs63.99</t>
  </si>
  <si>
    <t>Alexander Williams</t>
  </si>
  <si>
    <t>Erin Chandler</t>
  </si>
  <si>
    <t>Rs85.56</t>
  </si>
  <si>
    <t>Steven Richards</t>
  </si>
  <si>
    <t>Zachary Hamilton</t>
  </si>
  <si>
    <t>‚Ç¨237.1</t>
  </si>
  <si>
    <t>Toni Morris DDS</t>
  </si>
  <si>
    <t>Robin Medina</t>
  </si>
  <si>
    <t>‚Ç¨250.69</t>
  </si>
  <si>
    <t>Zachary Allen</t>
  </si>
  <si>
    <t>Justin Smith</t>
  </si>
  <si>
    <t>Mary Wilson</t>
  </si>
  <si>
    <t>Misty Higgins</t>
  </si>
  <si>
    <t>$421.57</t>
  </si>
  <si>
    <t>Nicole Shepard</t>
  </si>
  <si>
    <t>Mr. Ricky Le</t>
  </si>
  <si>
    <t>‚Ç¨77.79</t>
  </si>
  <si>
    <t>Trevor Anderson</t>
  </si>
  <si>
    <t>Kenneth Johnson</t>
  </si>
  <si>
    <t>‚Ç¨156.32</t>
  </si>
  <si>
    <t>Robert Wade</t>
  </si>
  <si>
    <t>Phillip Shelton</t>
  </si>
  <si>
    <t>$249.74</t>
  </si>
  <si>
    <t>Oscar Luna</t>
  </si>
  <si>
    <t>John Stewart</t>
  </si>
  <si>
    <t>$126.56</t>
  </si>
  <si>
    <t>Lance Hobbs</t>
  </si>
  <si>
    <t>Mr. James Brown</t>
  </si>
  <si>
    <t>$143.32</t>
  </si>
  <si>
    <t>Misty Wells</t>
  </si>
  <si>
    <t>Debra Booker</t>
  </si>
  <si>
    <t>¬£353.8</t>
  </si>
  <si>
    <t>Adam Mcdonald</t>
  </si>
  <si>
    <t>David Schmidt</t>
  </si>
  <si>
    <t>¬£174.54</t>
  </si>
  <si>
    <t>David Mann</t>
  </si>
  <si>
    <t>Donald Ferguson</t>
  </si>
  <si>
    <t>¬£217.77</t>
  </si>
  <si>
    <t>Daniel White</t>
  </si>
  <si>
    <t>Chad Johnson</t>
  </si>
  <si>
    <t>Rs277.51</t>
  </si>
  <si>
    <t>Steven Gonzalez</t>
  </si>
  <si>
    <t>Jonathan Daniels</t>
  </si>
  <si>
    <t>¬£259.19</t>
  </si>
  <si>
    <t>Samuel Harrison</t>
  </si>
  <si>
    <t>Hunter Powell</t>
  </si>
  <si>
    <t>Rs492.92</t>
  </si>
  <si>
    <t>Bethany Williams</t>
  </si>
  <si>
    <t>Kayla Woods</t>
  </si>
  <si>
    <t>‚Ç¨51.38</t>
  </si>
  <si>
    <t>Eddie Tate</t>
  </si>
  <si>
    <t>Paul Johnson</t>
  </si>
  <si>
    <t>Rs374.03</t>
  </si>
  <si>
    <t>Christopher Trujillo</t>
  </si>
  <si>
    <t>Keith Smith</t>
  </si>
  <si>
    <t>¬£175.33</t>
  </si>
  <si>
    <t>Sarah Thompson</t>
  </si>
  <si>
    <t>Ruth Shaw</t>
  </si>
  <si>
    <t>¬£129.25</t>
  </si>
  <si>
    <t>Bradley Jones</t>
  </si>
  <si>
    <t>Douglas Patton</t>
  </si>
  <si>
    <t>Rs257.41</t>
  </si>
  <si>
    <t>Emma Ferrell</t>
  </si>
  <si>
    <t>David Bradford</t>
  </si>
  <si>
    <t>‚Ç¨337.48</t>
  </si>
  <si>
    <t>Michael Garcia</t>
  </si>
  <si>
    <t>Barbara Mack</t>
  </si>
  <si>
    <t>‚Ç¨310.15</t>
  </si>
  <si>
    <t>Darlene Hodge</t>
  </si>
  <si>
    <t>Amanda Cruz</t>
  </si>
  <si>
    <t>‚Ç¨63.14</t>
  </si>
  <si>
    <t>Katherine Rios</t>
  </si>
  <si>
    <t>Elizabeth Foster</t>
  </si>
  <si>
    <t>$265.67</t>
  </si>
  <si>
    <t>Jennifer Shaffer</t>
  </si>
  <si>
    <t>Brittany Watson</t>
  </si>
  <si>
    <t>$382.64</t>
  </si>
  <si>
    <t>Leslie Newman</t>
  </si>
  <si>
    <t>Lindsey Mendoza</t>
  </si>
  <si>
    <t>Rs125.35</t>
  </si>
  <si>
    <t>Alejandro Romero</t>
  </si>
  <si>
    <t>Karen Hancock</t>
  </si>
  <si>
    <t>¬£206.69</t>
  </si>
  <si>
    <t>Ashley Peterson</t>
  </si>
  <si>
    <t>Kyle Mcintyre</t>
  </si>
  <si>
    <t>¬£358.45</t>
  </si>
  <si>
    <t>Steven Wallace</t>
  </si>
  <si>
    <t>Katherine Martin</t>
  </si>
  <si>
    <t>‚Ç¨496.62</t>
  </si>
  <si>
    <t>Lindsey Sullivan MD</t>
  </si>
  <si>
    <t>David Barnett</t>
  </si>
  <si>
    <t>Rs290.47</t>
  </si>
  <si>
    <t>William Wilson</t>
  </si>
  <si>
    <t>Jacob Bernard</t>
  </si>
  <si>
    <t>‚Ç¨346.4</t>
  </si>
  <si>
    <t>Kenneth Cox</t>
  </si>
  <si>
    <t>Brian Walker</t>
  </si>
  <si>
    <t>$123.28</t>
  </si>
  <si>
    <t>Susan Winters</t>
  </si>
  <si>
    <t>Christopher Simpson</t>
  </si>
  <si>
    <t>$353.09</t>
  </si>
  <si>
    <t>Marissa Randall</t>
  </si>
  <si>
    <t>Kent Cannon</t>
  </si>
  <si>
    <t>Rs299.12</t>
  </si>
  <si>
    <t>Lydia Davis</t>
  </si>
  <si>
    <t>Brian Rodriguez</t>
  </si>
  <si>
    <t>‚Ç¨286.79</t>
  </si>
  <si>
    <t>Jason Kennedy</t>
  </si>
  <si>
    <t>Robert Fowler</t>
  </si>
  <si>
    <t>‚Ç¨330.76</t>
  </si>
  <si>
    <t>Bill Brown</t>
  </si>
  <si>
    <t>‚Ç¨69.76</t>
  </si>
  <si>
    <t>Shannon Vargas</t>
  </si>
  <si>
    <t>Brian Caldwell</t>
  </si>
  <si>
    <t>$341.11</t>
  </si>
  <si>
    <t>Jennifer Dorsey</t>
  </si>
  <si>
    <t>Michael Stanley</t>
  </si>
  <si>
    <t>$147.08</t>
  </si>
  <si>
    <t>Gary Simpson</t>
  </si>
  <si>
    <t>Veronica Chen</t>
  </si>
  <si>
    <t>$462.6</t>
  </si>
  <si>
    <t>Nicole Adams</t>
  </si>
  <si>
    <t>Krystal Krueger</t>
  </si>
  <si>
    <t>‚Ç¨357.53</t>
  </si>
  <si>
    <t>Gary Ramos</t>
  </si>
  <si>
    <t>Gregory Riley</t>
  </si>
  <si>
    <t>Rs353.35</t>
  </si>
  <si>
    <t>Veronica Shaw</t>
  </si>
  <si>
    <t>Michael Franco</t>
  </si>
  <si>
    <t>¬£174.42</t>
  </si>
  <si>
    <t>Lisa Smith</t>
  </si>
  <si>
    <t>Daniel Beck</t>
  </si>
  <si>
    <t>Rs449.41</t>
  </si>
  <si>
    <t>Eric Lawson</t>
  </si>
  <si>
    <t>Andrew Webb</t>
  </si>
  <si>
    <t>$179.07</t>
  </si>
  <si>
    <t>Vanessa Wright</t>
  </si>
  <si>
    <t>Virginia Sharp</t>
  </si>
  <si>
    <t>Rs344.67</t>
  </si>
  <si>
    <t>Edward Thomas</t>
  </si>
  <si>
    <t>Teresa Medina</t>
  </si>
  <si>
    <t>$84.72</t>
  </si>
  <si>
    <t>Cassandra Peterson</t>
  </si>
  <si>
    <t>Mary Sanchez</t>
  </si>
  <si>
    <t>Ellen Stevens</t>
  </si>
  <si>
    <t>Charles Wells</t>
  </si>
  <si>
    <t>¬£479.79</t>
  </si>
  <si>
    <t>Shawn Mendoza</t>
  </si>
  <si>
    <t>Erin Walton</t>
  </si>
  <si>
    <t>‚Ç¨77.99</t>
  </si>
  <si>
    <t>Sandra Hill</t>
  </si>
  <si>
    <t>Julie May</t>
  </si>
  <si>
    <t>Rs113.2</t>
  </si>
  <si>
    <t>Oscar Hunt</t>
  </si>
  <si>
    <t>Michael Mason</t>
  </si>
  <si>
    <t>¬£363.04</t>
  </si>
  <si>
    <t>Tristan Booth</t>
  </si>
  <si>
    <t>Alicia Hall</t>
  </si>
  <si>
    <t>$477.72</t>
  </si>
  <si>
    <t>Ashlee Warren</t>
  </si>
  <si>
    <t>Cynthia Cruz</t>
  </si>
  <si>
    <t>Rs289.74</t>
  </si>
  <si>
    <t>Alexander Vega</t>
  </si>
  <si>
    <t>Karen Gomez</t>
  </si>
  <si>
    <t>$270.15</t>
  </si>
  <si>
    <t>Breanna Lewis</t>
  </si>
  <si>
    <t>Jerry Tucker</t>
  </si>
  <si>
    <t>¬£155.98</t>
  </si>
  <si>
    <t>Jackie Lane</t>
  </si>
  <si>
    <t>Jackie Harper</t>
  </si>
  <si>
    <t>Rs335.27</t>
  </si>
  <si>
    <t>Shawn Cordova</t>
  </si>
  <si>
    <t>Wendy Mcguire</t>
  </si>
  <si>
    <t>Rs285.22</t>
  </si>
  <si>
    <t>Christina Macdonald</t>
  </si>
  <si>
    <t>Samuel Ramirez</t>
  </si>
  <si>
    <t>Rs91.36</t>
  </si>
  <si>
    <t>Dylan Jones</t>
  </si>
  <si>
    <t>Katherine Small</t>
  </si>
  <si>
    <t>Rs498.58</t>
  </si>
  <si>
    <t>Christine Herring</t>
  </si>
  <si>
    <t>Kristin Hartman</t>
  </si>
  <si>
    <t>‚Ç¨453.73</t>
  </si>
  <si>
    <t>Brandon Carter</t>
  </si>
  <si>
    <t>¬£218.54</t>
  </si>
  <si>
    <t>Lori Dean</t>
  </si>
  <si>
    <t>Theresa Williams</t>
  </si>
  <si>
    <t>Rs312.26</t>
  </si>
  <si>
    <t>Deborah Robinson</t>
  </si>
  <si>
    <t>Joseph Bell</t>
  </si>
  <si>
    <t>‚Ç¨159.21</t>
  </si>
  <si>
    <t>Jason Tate</t>
  </si>
  <si>
    <t>Kimberly Young</t>
  </si>
  <si>
    <t>‚Ç¨484.79</t>
  </si>
  <si>
    <t>Jill Mcconnell</t>
  </si>
  <si>
    <t>Jessica Miller</t>
  </si>
  <si>
    <t>Rs475.35</t>
  </si>
  <si>
    <t>Kyle Barnes Jr.</t>
  </si>
  <si>
    <t>Donna Peters</t>
  </si>
  <si>
    <t>$156.1</t>
  </si>
  <si>
    <t>Regina Smith</t>
  </si>
  <si>
    <t>Donna Orr</t>
  </si>
  <si>
    <t>$246.13</t>
  </si>
  <si>
    <t>Jeffrey Warren</t>
  </si>
  <si>
    <t>Mrs. Michelle Reed</t>
  </si>
  <si>
    <t>Rs340.54</t>
  </si>
  <si>
    <t>Andre Crosby</t>
  </si>
  <si>
    <t>Douglas Smith</t>
  </si>
  <si>
    <t>$235.81</t>
  </si>
  <si>
    <t>Jessica Maldonado DDS</t>
  </si>
  <si>
    <t>Kelly Thomas</t>
  </si>
  <si>
    <t>¬£166.21</t>
  </si>
  <si>
    <t>Ian Bush</t>
  </si>
  <si>
    <t>Steven Welch</t>
  </si>
  <si>
    <t>‚Ç¨418.29</t>
  </si>
  <si>
    <t>Nicole Warren</t>
  </si>
  <si>
    <t>Kimberly Beck</t>
  </si>
  <si>
    <t>¬£415.35</t>
  </si>
  <si>
    <t>Dennis Jacobs</t>
  </si>
  <si>
    <t>Katherine Long</t>
  </si>
  <si>
    <t>$307.29</t>
  </si>
  <si>
    <t>Edward Black</t>
  </si>
  <si>
    <t>Nathan Summers</t>
  </si>
  <si>
    <t>Rs268.75</t>
  </si>
  <si>
    <t>Suzanne Jenkins</t>
  </si>
  <si>
    <t>Maureen Jacobson</t>
  </si>
  <si>
    <t>‚Ç¨248.97</t>
  </si>
  <si>
    <t>Lindsey Green</t>
  </si>
  <si>
    <t>James Fleming</t>
  </si>
  <si>
    <t>$270.71</t>
  </si>
  <si>
    <t>Sarah Hernandez</t>
  </si>
  <si>
    <t>Jeremy Mclaughlin</t>
  </si>
  <si>
    <t>$253.36</t>
  </si>
  <si>
    <t>Christina Eaton</t>
  </si>
  <si>
    <t>Stephanie Kelley DVM</t>
  </si>
  <si>
    <t>$192.87</t>
  </si>
  <si>
    <t>Angela Rogers</t>
  </si>
  <si>
    <t>Dr. Brian Smith</t>
  </si>
  <si>
    <t>Rs362.08</t>
  </si>
  <si>
    <t>Molly Hayden</t>
  </si>
  <si>
    <t>Brian Chambers</t>
  </si>
  <si>
    <t>¬£306.62</t>
  </si>
  <si>
    <t>Brian Clarke</t>
  </si>
  <si>
    <t>Amanda Hoffman</t>
  </si>
  <si>
    <t>$348.18</t>
  </si>
  <si>
    <t>Steven Morgan</t>
  </si>
  <si>
    <t>Donna Adkins</t>
  </si>
  <si>
    <t>¬£298.42</t>
  </si>
  <si>
    <t>Sara Morse</t>
  </si>
  <si>
    <t>Mrs. Jennifer Ingram</t>
  </si>
  <si>
    <t>Katrina Williams MD</t>
  </si>
  <si>
    <t>$473.2</t>
  </si>
  <si>
    <t>Troy Torres</t>
  </si>
  <si>
    <t>Matthew Carney</t>
  </si>
  <si>
    <t>$124.09</t>
  </si>
  <si>
    <t>Stephanie Moss</t>
  </si>
  <si>
    <t>Jason Bray</t>
  </si>
  <si>
    <t>‚Ç¨52.32</t>
  </si>
  <si>
    <t>Jade Blanchard MD</t>
  </si>
  <si>
    <t>Amber Waters</t>
  </si>
  <si>
    <t>$151.03</t>
  </si>
  <si>
    <t>Pamela Johnson</t>
  </si>
  <si>
    <t>Crystal Garza</t>
  </si>
  <si>
    <t>Rs417.42</t>
  </si>
  <si>
    <t>Glenn Wall</t>
  </si>
  <si>
    <t>Sarah Peterson</t>
  </si>
  <si>
    <t>$112.9</t>
  </si>
  <si>
    <t>Christopher Beard</t>
  </si>
  <si>
    <t>Jerry Torres</t>
  </si>
  <si>
    <t>Rs126.44</t>
  </si>
  <si>
    <t>Darin Caldwell</t>
  </si>
  <si>
    <t>Danielle Pacheco</t>
  </si>
  <si>
    <t>‚Ç¨185.15</t>
  </si>
  <si>
    <t>Henry Henderson</t>
  </si>
  <si>
    <t>James Love</t>
  </si>
  <si>
    <t>Regina Giles</t>
  </si>
  <si>
    <t>Kimberly Foster</t>
  </si>
  <si>
    <t>‚Ç¨258.9</t>
  </si>
  <si>
    <t>Curtis Cooke</t>
  </si>
  <si>
    <t>John Hancock</t>
  </si>
  <si>
    <t>‚Ç¨477.08</t>
  </si>
  <si>
    <t>Joel Marshall</t>
  </si>
  <si>
    <t>Victoria Garcia</t>
  </si>
  <si>
    <t>‚Ç¨306.8</t>
  </si>
  <si>
    <t>Peter Schaefer</t>
  </si>
  <si>
    <t>Carlos Spence</t>
  </si>
  <si>
    <t>Rs190.01</t>
  </si>
  <si>
    <t>Andrew Cross</t>
  </si>
  <si>
    <t>Victor Warner</t>
  </si>
  <si>
    <t>Rs281.44</t>
  </si>
  <si>
    <t>Jonathan Fernandez</t>
  </si>
  <si>
    <t>Luis Nolan</t>
  </si>
  <si>
    <t>Rs252.73</t>
  </si>
  <si>
    <t>Rebecca Gould</t>
  </si>
  <si>
    <t>Xavier Richardson</t>
  </si>
  <si>
    <t>¬£397.0</t>
  </si>
  <si>
    <t>Anthony Nash</t>
  </si>
  <si>
    <t>Brianna Shea</t>
  </si>
  <si>
    <t>Rs392.0</t>
  </si>
  <si>
    <t>Kimberly Fitzpatrick</t>
  </si>
  <si>
    <t>Mark Moore</t>
  </si>
  <si>
    <t>Elizabeth Duke</t>
  </si>
  <si>
    <t>Michael Rogers</t>
  </si>
  <si>
    <t>‚Ç¨156.61</t>
  </si>
  <si>
    <t>Richard Griffin</t>
  </si>
  <si>
    <t>Tina Gonzalez</t>
  </si>
  <si>
    <t>Rs81.87</t>
  </si>
  <si>
    <t>Erica Jimenez</t>
  </si>
  <si>
    <t>Bethany Mcpherson</t>
  </si>
  <si>
    <t>¬£438.16</t>
  </si>
  <si>
    <t>Melissa Allen</t>
  </si>
  <si>
    <t>Rodney Lopez</t>
  </si>
  <si>
    <t>¬£447.77</t>
  </si>
  <si>
    <t>Manuel Becker</t>
  </si>
  <si>
    <t>Jacob Patel</t>
  </si>
  <si>
    <t>$139.99</t>
  </si>
  <si>
    <t>Jamie Andrews</t>
  </si>
  <si>
    <t>¬£393.1</t>
  </si>
  <si>
    <t>Shannon Flores</t>
  </si>
  <si>
    <t>Scott Washington</t>
  </si>
  <si>
    <t>¬£248.78</t>
  </si>
  <si>
    <t>Tara Garrison</t>
  </si>
  <si>
    <t>Stacy Hartman</t>
  </si>
  <si>
    <t>¬£453.09</t>
  </si>
  <si>
    <t>Kevin Fields</t>
  </si>
  <si>
    <t>‚Ç¨57.05</t>
  </si>
  <si>
    <t>Sandra Terry</t>
  </si>
  <si>
    <t>Debra Buchanan</t>
  </si>
  <si>
    <t>¬£386.04</t>
  </si>
  <si>
    <t>Steven Miller</t>
  </si>
  <si>
    <t>Bob Shaw</t>
  </si>
  <si>
    <t>¬£204.82</t>
  </si>
  <si>
    <t>Haley King</t>
  </si>
  <si>
    <t>Erin Carr</t>
  </si>
  <si>
    <t>‚Ç¨239.93</t>
  </si>
  <si>
    <t>Jonathan Wood</t>
  </si>
  <si>
    <t>Jon Duarte</t>
  </si>
  <si>
    <t>Rs486.07</t>
  </si>
  <si>
    <t>Jessica Ali</t>
  </si>
  <si>
    <t>Willie Rose</t>
  </si>
  <si>
    <t>‚Ç¨73.35</t>
  </si>
  <si>
    <t>Bridget Cooley</t>
  </si>
  <si>
    <t>Ashley Edwards</t>
  </si>
  <si>
    <t>¬£144.78</t>
  </si>
  <si>
    <t>Brad Hill</t>
  </si>
  <si>
    <t>Emily Joseph</t>
  </si>
  <si>
    <t>‚Ç¨92.16</t>
  </si>
  <si>
    <t>Nathan Murphy</t>
  </si>
  <si>
    <t>Kerry Rowe</t>
  </si>
  <si>
    <t>Rs164.9</t>
  </si>
  <si>
    <t>Stephanie Caldwell MD</t>
  </si>
  <si>
    <t>Darrell Mendez</t>
  </si>
  <si>
    <t>$74.84</t>
  </si>
  <si>
    <t>Henry Carlson</t>
  </si>
  <si>
    <t>Rs230.11</t>
  </si>
  <si>
    <t>Michael Evans</t>
  </si>
  <si>
    <t>Manuel Vargas</t>
  </si>
  <si>
    <t>‚Ç¨304.67</t>
  </si>
  <si>
    <t>Heidi Hamilton</t>
  </si>
  <si>
    <t>¬£275.12</t>
  </si>
  <si>
    <t>Jeremiah Cruz</t>
  </si>
  <si>
    <t>Matthew Pratt</t>
  </si>
  <si>
    <t>‚Ç¨177.85</t>
  </si>
  <si>
    <t>Nicholas Vasquez</t>
  </si>
  <si>
    <t>Jennifer Anderson</t>
  </si>
  <si>
    <t>Rs410.8</t>
  </si>
  <si>
    <t>Cheryl Smith</t>
  </si>
  <si>
    <t>Sarah Harper DDS</t>
  </si>
  <si>
    <t>$97.46</t>
  </si>
  <si>
    <t>Matthew Moore</t>
  </si>
  <si>
    <t>Erica Riley</t>
  </si>
  <si>
    <t>Rs116.32</t>
  </si>
  <si>
    <t>Katherine Wilson</t>
  </si>
  <si>
    <t>Mitchell Sims</t>
  </si>
  <si>
    <t>$203.3</t>
  </si>
  <si>
    <t>Dawn Collins</t>
  </si>
  <si>
    <t>$139.43</t>
  </si>
  <si>
    <t>John Rich</t>
  </si>
  <si>
    <t>Jennifer Johnston</t>
  </si>
  <si>
    <t>Kathleen Oneal</t>
  </si>
  <si>
    <t>Jacob Andrade</t>
  </si>
  <si>
    <t>$74.36</t>
  </si>
  <si>
    <t>Courtney Hunt</t>
  </si>
  <si>
    <t>Mrs. Kayla Peterson</t>
  </si>
  <si>
    <t>‚Ç¨303.91</t>
  </si>
  <si>
    <t>Steven Wilson</t>
  </si>
  <si>
    <t>Hannah Herrera</t>
  </si>
  <si>
    <t>$77.48</t>
  </si>
  <si>
    <t>Meghan Sanchez</t>
  </si>
  <si>
    <t>Judith Watson</t>
  </si>
  <si>
    <t>‚Ç¨282.36</t>
  </si>
  <si>
    <t>Amanda Johnston</t>
  </si>
  <si>
    <t>Angela Burton</t>
  </si>
  <si>
    <t>Richard Jones</t>
  </si>
  <si>
    <t>Stephen Cooper</t>
  </si>
  <si>
    <t>¬£243.46</t>
  </si>
  <si>
    <t>Lindsay Harris</t>
  </si>
  <si>
    <t>Ryan Hughes</t>
  </si>
  <si>
    <t>‚Ç¨444.38</t>
  </si>
  <si>
    <t>Kathy Banks</t>
  </si>
  <si>
    <t>Anna Yoder</t>
  </si>
  <si>
    <t>Rs319.04</t>
  </si>
  <si>
    <t>Beth Murphy</t>
  </si>
  <si>
    <t>Adam Davis</t>
  </si>
  <si>
    <t>¬£330.71</t>
  </si>
  <si>
    <t>Barbara Johnston</t>
  </si>
  <si>
    <t>April Hood</t>
  </si>
  <si>
    <t>Rs160.18</t>
  </si>
  <si>
    <t>Patrick Perez</t>
  </si>
  <si>
    <t>Jesse Edwards</t>
  </si>
  <si>
    <t>$290.14</t>
  </si>
  <si>
    <t>Sonia Moss</t>
  </si>
  <si>
    <t>Joy Armstrong</t>
  </si>
  <si>
    <t>‚Ç¨244.09</t>
  </si>
  <si>
    <t>Dana Mcclure</t>
  </si>
  <si>
    <t>Mark Norton</t>
  </si>
  <si>
    <t>¬£150.5</t>
  </si>
  <si>
    <t>Ryan Williams</t>
  </si>
  <si>
    <t>Veronica Fry</t>
  </si>
  <si>
    <t>$398.47</t>
  </si>
  <si>
    <t>Amy Baird</t>
  </si>
  <si>
    <t>Diana Jones</t>
  </si>
  <si>
    <t>¬£262.16</t>
  </si>
  <si>
    <t>Frank Castaneda</t>
  </si>
  <si>
    <t>Christopher Chen</t>
  </si>
  <si>
    <t>Benjamin Ramirez</t>
  </si>
  <si>
    <t>$142.33</t>
  </si>
  <si>
    <t>Matthew Buckley</t>
  </si>
  <si>
    <t>Ryan Collins</t>
  </si>
  <si>
    <t>Rs476.81</t>
  </si>
  <si>
    <t>Kimberly Goodman</t>
  </si>
  <si>
    <t>Luis Kim</t>
  </si>
  <si>
    <t>‚Ç¨351.04</t>
  </si>
  <si>
    <t>Brandi Osborn</t>
  </si>
  <si>
    <t>Daisy Rodriguez</t>
  </si>
  <si>
    <t>¬£73.97</t>
  </si>
  <si>
    <t>Christopher Lopez</t>
  </si>
  <si>
    <t>Caleb Kennedy</t>
  </si>
  <si>
    <t>$295.71</t>
  </si>
  <si>
    <t>Ronnie Roach</t>
  </si>
  <si>
    <t>Jason Houston</t>
  </si>
  <si>
    <t>Rs167.5</t>
  </si>
  <si>
    <t>Gary Taylor</t>
  </si>
  <si>
    <t>Lauren Medina</t>
  </si>
  <si>
    <t>¬£321.5</t>
  </si>
  <si>
    <t>Rodney Gonzalez</t>
  </si>
  <si>
    <t>$168.33</t>
  </si>
  <si>
    <t>Patrick Roach</t>
  </si>
  <si>
    <t>Karen Duke</t>
  </si>
  <si>
    <t>‚Ç¨411.75</t>
  </si>
  <si>
    <t>Sandra Rojas</t>
  </si>
  <si>
    <t>Donna Stone</t>
  </si>
  <si>
    <t>Daniel Bender</t>
  </si>
  <si>
    <t>¬£462.15</t>
  </si>
  <si>
    <t>Erik Davis</t>
  </si>
  <si>
    <t>Amanda White</t>
  </si>
  <si>
    <t>Brian Patel</t>
  </si>
  <si>
    <t>Tracy Harris</t>
  </si>
  <si>
    <t>‚Ç¨124.69</t>
  </si>
  <si>
    <t>George Houston</t>
  </si>
  <si>
    <t>Brian Vincent</t>
  </si>
  <si>
    <t>‚Ç¨129.38</t>
  </si>
  <si>
    <t>Mrs. Katherine Huber PhD</t>
  </si>
  <si>
    <t>Kathryn Young</t>
  </si>
  <si>
    <t>$488.54</t>
  </si>
  <si>
    <t>Edward Russell</t>
  </si>
  <si>
    <t>Connor Brown</t>
  </si>
  <si>
    <t>¬£93.45</t>
  </si>
  <si>
    <t>Thomas Fleming</t>
  </si>
  <si>
    <t>Kimberly Mcdonald</t>
  </si>
  <si>
    <t>‚Ç¨73.45</t>
  </si>
  <si>
    <t>Savannah Butler</t>
  </si>
  <si>
    <t>James Nguyen</t>
  </si>
  <si>
    <t>$340.47</t>
  </si>
  <si>
    <t>David Wilson</t>
  </si>
  <si>
    <t>Matthew Wilson</t>
  </si>
  <si>
    <t>¬£414.94</t>
  </si>
  <si>
    <t>Jacob Price</t>
  </si>
  <si>
    <t>Kimberly Rangel</t>
  </si>
  <si>
    <t>‚Ç¨238.05</t>
  </si>
  <si>
    <t>Brian Mitchell</t>
  </si>
  <si>
    <t>Rs63.62</t>
  </si>
  <si>
    <t>Kendra Jones</t>
  </si>
  <si>
    <t>Karen Grimes</t>
  </si>
  <si>
    <t>$101.59</t>
  </si>
  <si>
    <t>Anthony Medina</t>
  </si>
  <si>
    <t>Richard Walker</t>
  </si>
  <si>
    <t>$498.48</t>
  </si>
  <si>
    <t>Desiree Wilkins</t>
  </si>
  <si>
    <t>Jamie Ford</t>
  </si>
  <si>
    <t>$305.84</t>
  </si>
  <si>
    <t>Ashley Cunningham</t>
  </si>
  <si>
    <t>Sarah Montgomery</t>
  </si>
  <si>
    <t>Rs160.05</t>
  </si>
  <si>
    <t>Abigail Townsend</t>
  </si>
  <si>
    <t>Allison Salazar</t>
  </si>
  <si>
    <t>$406.61</t>
  </si>
  <si>
    <t>Diana Collins</t>
  </si>
  <si>
    <t>Glenn Bond</t>
  </si>
  <si>
    <t>¬£359.32</t>
  </si>
  <si>
    <t>William Roberts Jr.</t>
  </si>
  <si>
    <t>Savannah Beltran</t>
  </si>
  <si>
    <t>$315.17</t>
  </si>
  <si>
    <t>Sean Bailey</t>
  </si>
  <si>
    <t>Erika Turner</t>
  </si>
  <si>
    <t>¬£319.92</t>
  </si>
  <si>
    <t>Adrian Vincent</t>
  </si>
  <si>
    <t>William Coleman MD</t>
  </si>
  <si>
    <t>¬£352.01</t>
  </si>
  <si>
    <t>John Walsh</t>
  </si>
  <si>
    <t>Wanda Cox</t>
  </si>
  <si>
    <t>¬£88.56</t>
  </si>
  <si>
    <t>Christopher Johnson</t>
  </si>
  <si>
    <t>Susan Stanton</t>
  </si>
  <si>
    <t>$461.18</t>
  </si>
  <si>
    <t>Roger Holmes</t>
  </si>
  <si>
    <t>Paula Stone</t>
  </si>
  <si>
    <t>Rs206.57</t>
  </si>
  <si>
    <t>Michael Hamilton</t>
  </si>
  <si>
    <t>Angie Smith</t>
  </si>
  <si>
    <t>¬£107.34</t>
  </si>
  <si>
    <t>Courtney Gonzales</t>
  </si>
  <si>
    <t>Kayla Norris</t>
  </si>
  <si>
    <t>$385.01</t>
  </si>
  <si>
    <t>Leslie Medina</t>
  </si>
  <si>
    <t>Matthew Morse</t>
  </si>
  <si>
    <t>¬£490.93</t>
  </si>
  <si>
    <t>Frank Fields</t>
  </si>
  <si>
    <t>Heather Diaz</t>
  </si>
  <si>
    <t>$168.86</t>
  </si>
  <si>
    <t>Darren Douglas</t>
  </si>
  <si>
    <t>Andrew Gordon</t>
  </si>
  <si>
    <t>$463.06</t>
  </si>
  <si>
    <t>Jerry Jones</t>
  </si>
  <si>
    <t>Ashley Gomez</t>
  </si>
  <si>
    <t>$261.87</t>
  </si>
  <si>
    <t>Sheila Barrett</t>
  </si>
  <si>
    <t>John Wallace</t>
  </si>
  <si>
    <t>Rs170.53</t>
  </si>
  <si>
    <t>Kim Morris</t>
  </si>
  <si>
    <t>Michael Morris</t>
  </si>
  <si>
    <t>$197.66</t>
  </si>
  <si>
    <t>Sarah Rivas</t>
  </si>
  <si>
    <t>Scott Vega</t>
  </si>
  <si>
    <t>¬£454.23</t>
  </si>
  <si>
    <t>Adam Lane</t>
  </si>
  <si>
    <t>Lynn Dorsey</t>
  </si>
  <si>
    <t>‚Ç¨104.3</t>
  </si>
  <si>
    <t>Ronald Taylor</t>
  </si>
  <si>
    <t>Vanessa Jackson</t>
  </si>
  <si>
    <t>$263.1</t>
  </si>
  <si>
    <t>Angela Smith</t>
  </si>
  <si>
    <t>Nicholas Jones</t>
  </si>
  <si>
    <t>¬£229.44</t>
  </si>
  <si>
    <t>Chad Tyler</t>
  </si>
  <si>
    <t>Tiffany Sullivan</t>
  </si>
  <si>
    <t>¬£424.53</t>
  </si>
  <si>
    <t>Mary Manning</t>
  </si>
  <si>
    <t>William Harris</t>
  </si>
  <si>
    <t>$248.84</t>
  </si>
  <si>
    <t>Samantha Hoffman</t>
  </si>
  <si>
    <t>Julie Smith</t>
  </si>
  <si>
    <t>$89.38</t>
  </si>
  <si>
    <t>Shawn Juarez</t>
  </si>
  <si>
    <t>Patrick Morrison</t>
  </si>
  <si>
    <t>‚Ç¨110.8</t>
  </si>
  <si>
    <t>Dave Summers</t>
  </si>
  <si>
    <t>Traci Hopkins</t>
  </si>
  <si>
    <t>$217.51</t>
  </si>
  <si>
    <t>Luke Brady</t>
  </si>
  <si>
    <t>Adam Hall</t>
  </si>
  <si>
    <t>‚Ç¨427.98</t>
  </si>
  <si>
    <t>Christian Guerrero</t>
  </si>
  <si>
    <t>Jennifer Perez</t>
  </si>
  <si>
    <t>$298.89</t>
  </si>
  <si>
    <t>Terrence Long</t>
  </si>
  <si>
    <t>Natalie Rodriguez</t>
  </si>
  <si>
    <t>¬£182.71</t>
  </si>
  <si>
    <t>Victor Everett</t>
  </si>
  <si>
    <t>Jacob Diaz</t>
  </si>
  <si>
    <t>‚Ç¨350.12</t>
  </si>
  <si>
    <t>Amanda Stevenson</t>
  </si>
  <si>
    <t>Tyler Cunningham</t>
  </si>
  <si>
    <t>‚Ç¨158.91</t>
  </si>
  <si>
    <t>Vanessa Perkins</t>
  </si>
  <si>
    <t>Megan Smith</t>
  </si>
  <si>
    <t>¬£457.94</t>
  </si>
  <si>
    <t>Michael Davis</t>
  </si>
  <si>
    <t>Karen Griffin</t>
  </si>
  <si>
    <t>‚Ç¨130.9</t>
  </si>
  <si>
    <t>Amy Pierce</t>
  </si>
  <si>
    <t>Ian Castillo</t>
  </si>
  <si>
    <t>$318.44</t>
  </si>
  <si>
    <t>Dakota Kelly</t>
  </si>
  <si>
    <t>Andre Jones</t>
  </si>
  <si>
    <t>Rs291.99</t>
  </si>
  <si>
    <t>Erin Williams</t>
  </si>
  <si>
    <t>Sean Hernandez</t>
  </si>
  <si>
    <t>$161.56</t>
  </si>
  <si>
    <t>Tiffany Cooper</t>
  </si>
  <si>
    <t>Katrina Jones</t>
  </si>
  <si>
    <t>‚Ç¨79.8</t>
  </si>
  <si>
    <t>Jerry White</t>
  </si>
  <si>
    <t>Steven Scott</t>
  </si>
  <si>
    <t>Rs151.58</t>
  </si>
  <si>
    <t>Joseph Pace</t>
  </si>
  <si>
    <t>Lydia Baker</t>
  </si>
  <si>
    <t>Rs338.13</t>
  </si>
  <si>
    <t>Jean Kramer</t>
  </si>
  <si>
    <t>Donald Clark</t>
  </si>
  <si>
    <t>‚Ç¨441.92</t>
  </si>
  <si>
    <t>David Rose</t>
  </si>
  <si>
    <t>Dana Ewing</t>
  </si>
  <si>
    <t>Rs114.73</t>
  </si>
  <si>
    <t>Kevin Pearson</t>
  </si>
  <si>
    <t>¬£405.59</t>
  </si>
  <si>
    <t>James Gibbs</t>
  </si>
  <si>
    <t>Lisa Norris</t>
  </si>
  <si>
    <t>$368.56</t>
  </si>
  <si>
    <t>Lori Henderson</t>
  </si>
  <si>
    <t>Terri Stewart</t>
  </si>
  <si>
    <t>Rs496.31</t>
  </si>
  <si>
    <t>Benjamin Lewis</t>
  </si>
  <si>
    <t>Taylor Hicks</t>
  </si>
  <si>
    <t>‚Ç¨213.17</t>
  </si>
  <si>
    <t>Matthew Johnson</t>
  </si>
  <si>
    <t>John Moran</t>
  </si>
  <si>
    <t>‚Ç¨150.15</t>
  </si>
  <si>
    <t>Karen Myers</t>
  </si>
  <si>
    <t>David Wright</t>
  </si>
  <si>
    <t>‚Ç¨371.69</t>
  </si>
  <si>
    <t>Shelly Chavez</t>
  </si>
  <si>
    <t>Megan Morales</t>
  </si>
  <si>
    <t>$431.45</t>
  </si>
  <si>
    <t>Maria Williams</t>
  </si>
  <si>
    <t>Brandi Thomas</t>
  </si>
  <si>
    <t>¬£189.17</t>
  </si>
  <si>
    <t>Robert Humphrey</t>
  </si>
  <si>
    <t>Vanessa Brown</t>
  </si>
  <si>
    <t>$281.71</t>
  </si>
  <si>
    <t>Matthew Gutierrez</t>
  </si>
  <si>
    <t>‚Ç¨309.31</t>
  </si>
  <si>
    <t>Rebecca Banks</t>
  </si>
  <si>
    <t>April Randall DDS</t>
  </si>
  <si>
    <t>Rs57.03</t>
  </si>
  <si>
    <t>Ashley Rodriguez</t>
  </si>
  <si>
    <t>Russell Zimmerman</t>
  </si>
  <si>
    <t>Rs219.97</t>
  </si>
  <si>
    <t>Laura Ford</t>
  </si>
  <si>
    <t>Kyle Evans</t>
  </si>
  <si>
    <t>¬£186.51</t>
  </si>
  <si>
    <t>James Stout</t>
  </si>
  <si>
    <t>Andrea Myers</t>
  </si>
  <si>
    <t>‚Ç¨77.05</t>
  </si>
  <si>
    <t>Ashley Foster</t>
  </si>
  <si>
    <t>Melinda Cannon</t>
  </si>
  <si>
    <t>¬£208.72</t>
  </si>
  <si>
    <t>Christian Thomas</t>
  </si>
  <si>
    <t>Gregory Tapia</t>
  </si>
  <si>
    <t>¬£390.16</t>
  </si>
  <si>
    <t>Stacy Gardner</t>
  </si>
  <si>
    <t>Michael Campbell</t>
  </si>
  <si>
    <t>¬£74.78</t>
  </si>
  <si>
    <t>Taylor Patterson</t>
  </si>
  <si>
    <t>Ellen Miller</t>
  </si>
  <si>
    <t>$199.03</t>
  </si>
  <si>
    <t>Justin Zimmerman</t>
  </si>
  <si>
    <t>¬£245.09</t>
  </si>
  <si>
    <t>Jaclyn Knight</t>
  </si>
  <si>
    <t>John Oliver</t>
  </si>
  <si>
    <t>¬£282.03</t>
  </si>
  <si>
    <t>Jessica Rodriguez</t>
  </si>
  <si>
    <t>Jeffrey Martin</t>
  </si>
  <si>
    <t>Rs411.85</t>
  </si>
  <si>
    <t>Patricia Johnson DDS</t>
  </si>
  <si>
    <t>Ana Hunt</t>
  </si>
  <si>
    <t>¬£144.89</t>
  </si>
  <si>
    <t>Alexandra Sandoval</t>
  </si>
  <si>
    <t>Rachel Moore</t>
  </si>
  <si>
    <t>Rs198.95</t>
  </si>
  <si>
    <t>Mandy Smith</t>
  </si>
  <si>
    <t>Brian Olson</t>
  </si>
  <si>
    <t>Rs246.05</t>
  </si>
  <si>
    <t>Danny Cooper</t>
  </si>
  <si>
    <t>Mark Morrison</t>
  </si>
  <si>
    <t>‚Ç¨164.43</t>
  </si>
  <si>
    <t>Dr. Christina Dunn</t>
  </si>
  <si>
    <t>Madeline Sharp</t>
  </si>
  <si>
    <t>Rs381.59</t>
  </si>
  <si>
    <t>Rachel Porter</t>
  </si>
  <si>
    <t>Patrick Russell</t>
  </si>
  <si>
    <t>‚Ç¨341.42</t>
  </si>
  <si>
    <t>Megan Williams</t>
  </si>
  <si>
    <t>Melissa Khan</t>
  </si>
  <si>
    <t>Rs456.12</t>
  </si>
  <si>
    <t>Michelle Hill</t>
  </si>
  <si>
    <t>Rachel Sanchez</t>
  </si>
  <si>
    <t>Rs371.84</t>
  </si>
  <si>
    <t>Donna Green</t>
  </si>
  <si>
    <t>Clifford Ramirez</t>
  </si>
  <si>
    <t>‚Ç¨263.23</t>
  </si>
  <si>
    <t>Leon Anderson</t>
  </si>
  <si>
    <t>Mary Chandler</t>
  </si>
  <si>
    <t>$427.62</t>
  </si>
  <si>
    <t>Cheryl Ruiz</t>
  </si>
  <si>
    <t>Maria Thomas</t>
  </si>
  <si>
    <t>¬£100.78</t>
  </si>
  <si>
    <t>Keith Douglas</t>
  </si>
  <si>
    <t>Dawn Browning</t>
  </si>
  <si>
    <t>Christina Spencer</t>
  </si>
  <si>
    <t>Mark Kelley</t>
  </si>
  <si>
    <t>¬£308.28</t>
  </si>
  <si>
    <t>April Rios</t>
  </si>
  <si>
    <t>Megan Mccann</t>
  </si>
  <si>
    <t>‚Ç¨471.3</t>
  </si>
  <si>
    <t>Mallory Martin</t>
  </si>
  <si>
    <t>David Whitney</t>
  </si>
  <si>
    <t>Rs437.95</t>
  </si>
  <si>
    <t>Elizabeth Johnson</t>
  </si>
  <si>
    <t>Dr. Mary Day</t>
  </si>
  <si>
    <t>Rs461.32</t>
  </si>
  <si>
    <t>Ellen Rogers</t>
  </si>
  <si>
    <t>Tammie Melendez</t>
  </si>
  <si>
    <t>‚Ç¨424.17</t>
  </si>
  <si>
    <t>Kenneth Jenkins</t>
  </si>
  <si>
    <t>Tanya Eaton</t>
  </si>
  <si>
    <t>‚Ç¨428.7</t>
  </si>
  <si>
    <t>Duane Mitchell</t>
  </si>
  <si>
    <t>Helen Jackson</t>
  </si>
  <si>
    <t>‚Ç¨159.11</t>
  </si>
  <si>
    <t>Mr. Paul Chavez</t>
  </si>
  <si>
    <t>Evan Marquez</t>
  </si>
  <si>
    <t>$159.06</t>
  </si>
  <si>
    <t>Ian Weaver</t>
  </si>
  <si>
    <t>Audrey Torres</t>
  </si>
  <si>
    <t>Rs317.16</t>
  </si>
  <si>
    <t>Justin Hall</t>
  </si>
  <si>
    <t>‚Ç¨470.63</t>
  </si>
  <si>
    <t>Brian Riley</t>
  </si>
  <si>
    <t>Charles Kemp</t>
  </si>
  <si>
    <t>$153.44</t>
  </si>
  <si>
    <t>Joshua Wallace</t>
  </si>
  <si>
    <t>Melissa Price</t>
  </si>
  <si>
    <t>‚Ç¨416.08</t>
  </si>
  <si>
    <t>Amy Cruz</t>
  </si>
  <si>
    <t>Tony Burke</t>
  </si>
  <si>
    <t>‚Ç¨458.79</t>
  </si>
  <si>
    <t>Carly Dixon</t>
  </si>
  <si>
    <t>Gary Murray</t>
  </si>
  <si>
    <t>$125.8</t>
  </si>
  <si>
    <t>Pamela Bradshaw</t>
  </si>
  <si>
    <t>Donald Mitchell</t>
  </si>
  <si>
    <t>Rs352.94</t>
  </si>
  <si>
    <t>Rebecca Hall</t>
  </si>
  <si>
    <t>Kevin Mendoza DVM</t>
  </si>
  <si>
    <t>‚Ç¨111.4</t>
  </si>
  <si>
    <t>James Lopez</t>
  </si>
  <si>
    <t>Carla Cole</t>
  </si>
  <si>
    <t>‚Ç¨161.54</t>
  </si>
  <si>
    <t>Christopher Powell</t>
  </si>
  <si>
    <t>Gary Wood</t>
  </si>
  <si>
    <t>Rs479.37</t>
  </si>
  <si>
    <t>Barbara Dalton</t>
  </si>
  <si>
    <t>Rachel Holloway</t>
  </si>
  <si>
    <t>$306.94</t>
  </si>
  <si>
    <t>Alejandra Turner</t>
  </si>
  <si>
    <t>‚Ç¨194.95</t>
  </si>
  <si>
    <t>Kelsey Shaffer</t>
  </si>
  <si>
    <t>Christina Simmons</t>
  </si>
  <si>
    <t>‚Ç¨91.05</t>
  </si>
  <si>
    <t>Kara Stewart</t>
  </si>
  <si>
    <t>Becky Sanchez</t>
  </si>
  <si>
    <t>‚Ç¨290.36</t>
  </si>
  <si>
    <t>Kenneth Fox</t>
  </si>
  <si>
    <t>Kimberly Sullivan</t>
  </si>
  <si>
    <t>$85.53</t>
  </si>
  <si>
    <t>Michelle Bradford</t>
  </si>
  <si>
    <t>‚Ç¨419.74</t>
  </si>
  <si>
    <t>Amy Wilson</t>
  </si>
  <si>
    <t>Nathan Mathews</t>
  </si>
  <si>
    <t>Danielle Ortega</t>
  </si>
  <si>
    <t>Tiffany Lowery</t>
  </si>
  <si>
    <t>$83.67</t>
  </si>
  <si>
    <t>Gregory Hines</t>
  </si>
  <si>
    <t>Rebecca Goodwin</t>
  </si>
  <si>
    <t>Rs255.43</t>
  </si>
  <si>
    <t>Amanda Douglas</t>
  </si>
  <si>
    <t>Gregory Gonzalez</t>
  </si>
  <si>
    <t>Scott Walker</t>
  </si>
  <si>
    <t>Brianna Hernandez</t>
  </si>
  <si>
    <t>$433.63</t>
  </si>
  <si>
    <t>Teresa Kim</t>
  </si>
  <si>
    <t>Gregory Brown</t>
  </si>
  <si>
    <t>Rs461.04</t>
  </si>
  <si>
    <t>Kimberly Miller</t>
  </si>
  <si>
    <t>Anna Jennings</t>
  </si>
  <si>
    <t>¬£261.01</t>
  </si>
  <si>
    <t>Ashley Black</t>
  </si>
  <si>
    <t>Dennis Murphy</t>
  </si>
  <si>
    <t>Wendy Parks</t>
  </si>
  <si>
    <t>Melissa Williams</t>
  </si>
  <si>
    <t>Stacy Clements</t>
  </si>
  <si>
    <t>Cynthia Dunn</t>
  </si>
  <si>
    <t>Rs96.19</t>
  </si>
  <si>
    <t>Kyle Gibbs</t>
  </si>
  <si>
    <t>Christopher Guzman</t>
  </si>
  <si>
    <t>¬£248.76</t>
  </si>
  <si>
    <t>Beth Stephens</t>
  </si>
  <si>
    <t>Scott Nguyen</t>
  </si>
  <si>
    <t>Rs246.63</t>
  </si>
  <si>
    <t>Michael Heath</t>
  </si>
  <si>
    <t>Rs256.59</t>
  </si>
  <si>
    <t>James Malone</t>
  </si>
  <si>
    <t>Rhonda Oconnor</t>
  </si>
  <si>
    <t>$326.84</t>
  </si>
  <si>
    <t>Christina Moore</t>
  </si>
  <si>
    <t>Joshua Martin</t>
  </si>
  <si>
    <t>¬£476.97</t>
  </si>
  <si>
    <t>Katie Mcdaniel</t>
  </si>
  <si>
    <t>Aaron Perkins</t>
  </si>
  <si>
    <t>$136.77</t>
  </si>
  <si>
    <t>Scott Thompson</t>
  </si>
  <si>
    <t>Erika Richards</t>
  </si>
  <si>
    <t>‚Ç¨466.59</t>
  </si>
  <si>
    <t>Jon Berry</t>
  </si>
  <si>
    <t>Heather Foster</t>
  </si>
  <si>
    <t>‚Ç¨342.3</t>
  </si>
  <si>
    <t>Connie Wheeler</t>
  </si>
  <si>
    <t>Sherri Buckley</t>
  </si>
  <si>
    <t>‚Ç¨444.2</t>
  </si>
  <si>
    <t>Jonathan Howell</t>
  </si>
  <si>
    <t>Darryl Case</t>
  </si>
  <si>
    <t>Rs421.18</t>
  </si>
  <si>
    <t>Michelle King</t>
  </si>
  <si>
    <t>Anthony Hughes</t>
  </si>
  <si>
    <t>‚Ç¨386.3</t>
  </si>
  <si>
    <t>Christine Barron</t>
  </si>
  <si>
    <t>Thomas Clark MD</t>
  </si>
  <si>
    <t>Rs107.04</t>
  </si>
  <si>
    <t>Dr. Karen Miller DDS</t>
  </si>
  <si>
    <t>Martin Herring</t>
  </si>
  <si>
    <t>¬£381.15</t>
  </si>
  <si>
    <t>Kimberly Barnett</t>
  </si>
  <si>
    <t>William Bryan</t>
  </si>
  <si>
    <t>‚Ç¨477.98</t>
  </si>
  <si>
    <t>Abigail Warner</t>
  </si>
  <si>
    <t>Heather Stokes</t>
  </si>
  <si>
    <t>‚Ç¨418.27</t>
  </si>
  <si>
    <t>Melissa Vaughn</t>
  </si>
  <si>
    <t>Vickie Johnson</t>
  </si>
  <si>
    <t>‚Ç¨300.52</t>
  </si>
  <si>
    <t>Jocelyn Strickland</t>
  </si>
  <si>
    <t>Vincent Kemp</t>
  </si>
  <si>
    <t>Lindsay Shaw</t>
  </si>
  <si>
    <t>Julia Mcmillan</t>
  </si>
  <si>
    <t>¬£485.93</t>
  </si>
  <si>
    <t>Melvin Bowers</t>
  </si>
  <si>
    <t>Robin Diaz</t>
  </si>
  <si>
    <t>¬£164.2</t>
  </si>
  <si>
    <t>Victoria Gilbert</t>
  </si>
  <si>
    <t>April Spears</t>
  </si>
  <si>
    <t>$390.1</t>
  </si>
  <si>
    <t>John Marsh</t>
  </si>
  <si>
    <t>¬£407.7</t>
  </si>
  <si>
    <t>Eugene Underwood</t>
  </si>
  <si>
    <t>Benjamin Williams</t>
  </si>
  <si>
    <t>Rs467.55</t>
  </si>
  <si>
    <t>Michelle Payne</t>
  </si>
  <si>
    <t>Cassandra Bishop</t>
  </si>
  <si>
    <t>‚Ç¨119.41</t>
  </si>
  <si>
    <t>Melanie Lee</t>
  </si>
  <si>
    <t>Andrea Kennedy</t>
  </si>
  <si>
    <t>¬£441.89</t>
  </si>
  <si>
    <t>Jessica Murray</t>
  </si>
  <si>
    <t>James Harris</t>
  </si>
  <si>
    <t>Rs184.38</t>
  </si>
  <si>
    <t>William Villarreal</t>
  </si>
  <si>
    <t>Ronald Davis</t>
  </si>
  <si>
    <t>$269.35</t>
  </si>
  <si>
    <t>Monica Jones</t>
  </si>
  <si>
    <t>Cheryl Bailey</t>
  </si>
  <si>
    <t>Rs363.94</t>
  </si>
  <si>
    <t>Craig Parsons</t>
  </si>
  <si>
    <t>Jose Price</t>
  </si>
  <si>
    <t>¬£323.0</t>
  </si>
  <si>
    <t>Cameron Lopez</t>
  </si>
  <si>
    <t>Christopher Williams</t>
  </si>
  <si>
    <t>$163.0</t>
  </si>
  <si>
    <t>Daniel Green</t>
  </si>
  <si>
    <t>Rs254.14</t>
  </si>
  <si>
    <t>William Hatfield</t>
  </si>
  <si>
    <t>$112.79</t>
  </si>
  <si>
    <t>Dawn Bryant</t>
  </si>
  <si>
    <t>Charles Nguyen</t>
  </si>
  <si>
    <t>Rs164.15</t>
  </si>
  <si>
    <t>Joseph Rodriguez</t>
  </si>
  <si>
    <t>Douglas Foster</t>
  </si>
  <si>
    <t>‚Ç¨94.37</t>
  </si>
  <si>
    <t>Bailey Williamson</t>
  </si>
  <si>
    <t>George Singleton</t>
  </si>
  <si>
    <t>$368.53</t>
  </si>
  <si>
    <t>Jeffrey Johnston</t>
  </si>
  <si>
    <t>Cynthia Baker</t>
  </si>
  <si>
    <t>Rs240.37</t>
  </si>
  <si>
    <t>Brandy Estes MD</t>
  </si>
  <si>
    <t>Andrea Lam</t>
  </si>
  <si>
    <t>¬£238.59</t>
  </si>
  <si>
    <t>Kristin Combs</t>
  </si>
  <si>
    <t>Frank Anderson</t>
  </si>
  <si>
    <t>Rs279.32</t>
  </si>
  <si>
    <t>Alex Rowe</t>
  </si>
  <si>
    <t>Derek Doyle</t>
  </si>
  <si>
    <t>Rs114.8</t>
  </si>
  <si>
    <t>Kevin Peters</t>
  </si>
  <si>
    <t>‚Ç¨96.78</t>
  </si>
  <si>
    <t>Hunter Miller</t>
  </si>
  <si>
    <t>Kathy Lawson</t>
  </si>
  <si>
    <t>¬£384.42</t>
  </si>
  <si>
    <t>Rebecca Franklin</t>
  </si>
  <si>
    <t>Daniel Love</t>
  </si>
  <si>
    <t>Rs187.7</t>
  </si>
  <si>
    <t>David Chapman</t>
  </si>
  <si>
    <t>Rachel Wells</t>
  </si>
  <si>
    <t>¬£382.67</t>
  </si>
  <si>
    <t>Timothy Fowler</t>
  </si>
  <si>
    <t>Donna Stephens</t>
  </si>
  <si>
    <t>‚Ç¨236.27</t>
  </si>
  <si>
    <t>Megan Russell</t>
  </si>
  <si>
    <t>Autumn Hill</t>
  </si>
  <si>
    <t>$359.17</t>
  </si>
  <si>
    <t>Courtney Wright</t>
  </si>
  <si>
    <t>Daniel Morris</t>
  </si>
  <si>
    <t>Rs362.65</t>
  </si>
  <si>
    <t>Natalie Marquez</t>
  </si>
  <si>
    <t>Jennifer Paul</t>
  </si>
  <si>
    <t>¬£401.58</t>
  </si>
  <si>
    <t>Sarah Wilson</t>
  </si>
  <si>
    <t>Courtney Foley</t>
  </si>
  <si>
    <t>$120.7</t>
  </si>
  <si>
    <t>Ashley Estes</t>
  </si>
  <si>
    <t>Stephanie Mercer</t>
  </si>
  <si>
    <t>¬£405.15</t>
  </si>
  <si>
    <t>William Bentley</t>
  </si>
  <si>
    <t>Jacob Mckay</t>
  </si>
  <si>
    <t>$263.3</t>
  </si>
  <si>
    <t>James Carey</t>
  </si>
  <si>
    <t>James Berger</t>
  </si>
  <si>
    <t>¬£470.08</t>
  </si>
  <si>
    <t>Nicholas Mcdaniel</t>
  </si>
  <si>
    <t>Daniel Smith</t>
  </si>
  <si>
    <t>‚Ç¨79.73</t>
  </si>
  <si>
    <t>Cheryl Rogers</t>
  </si>
  <si>
    <t>Victoria Hansen</t>
  </si>
  <si>
    <t>¬£376.76</t>
  </si>
  <si>
    <t>Patricia Jackson</t>
  </si>
  <si>
    <t>Rs378.92</t>
  </si>
  <si>
    <t>Erin Bates</t>
  </si>
  <si>
    <t>Chelsea Harris</t>
  </si>
  <si>
    <t>$370.13</t>
  </si>
  <si>
    <t>Aaron Holder</t>
  </si>
  <si>
    <t>Lauren Ayers</t>
  </si>
  <si>
    <t>Rs377.38</t>
  </si>
  <si>
    <t>Thomas Roman</t>
  </si>
  <si>
    <t>Robert Bass</t>
  </si>
  <si>
    <t>Rs200.43</t>
  </si>
  <si>
    <t>Jack Cooper</t>
  </si>
  <si>
    <t>Rs244.49</t>
  </si>
  <si>
    <t>Kimberly Johnson</t>
  </si>
  <si>
    <t>¬£154.48</t>
  </si>
  <si>
    <t>Anthony Mccoy</t>
  </si>
  <si>
    <t>$434.95</t>
  </si>
  <si>
    <t>Perry Crawford</t>
  </si>
  <si>
    <t>Marvin Hicks</t>
  </si>
  <si>
    <t>‚Ç¨102.23</t>
  </si>
  <si>
    <t>count duplicate_ids</t>
  </si>
  <si>
    <t>count duplicate_ids and name</t>
  </si>
  <si>
    <t>patient_id fixed</t>
  </si>
  <si>
    <t>N/A</t>
  </si>
  <si>
    <t>gender fixed</t>
  </si>
  <si>
    <t>follow_up_required fix</t>
  </si>
  <si>
    <t>identify currency</t>
  </si>
  <si>
    <t>extract number</t>
  </si>
  <si>
    <t>billing_amount USD</t>
  </si>
  <si>
    <t>doctor fixed</t>
  </si>
  <si>
    <t>department fixed</t>
  </si>
  <si>
    <t>age range</t>
  </si>
  <si>
    <t>Row Labels</t>
  </si>
  <si>
    <t>Elderly</t>
  </si>
  <si>
    <t>Middle Aged</t>
  </si>
  <si>
    <t>Young Adult</t>
  </si>
  <si>
    <t>Grand Total</t>
  </si>
  <si>
    <t>Column Labels</t>
  </si>
  <si>
    <t>Count of follow_up_required fix</t>
  </si>
  <si>
    <t>Average of billing_amount USD</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</si>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</sst>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24"/>
      <color theme="0"/>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15" fontId="0" fillId="0" borderId="0" xfId="0" applyNumberFormat="1"/>
    <xf numFmtId="49"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33" borderId="0" xfId="0" applyFill="1" applyAlignment="1">
      <alignment horizontal="center" vertical="center"/>
    </xf>
    <xf numFmtId="0" fontId="18"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[messy_clinic_appointments_cleaned.xlsx]Pivot Tables!PivotTable1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dLbl>
      </c:pivotFmt>
      <c:pivotFmt>
        <c:idx val="1"/>
        <c:spPr>
          <a:solidFill>
            <a:schemeClr val="accent2"/>
          </a:solidFill>
          <a:ln w="28575" cap="rnd">
            <a:solidFill>
              <a:schemeClr val="accent2"/>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dLbl>
      </c:pivotFmt>
      <c:pivotFmt>
        <c:idx val="2"/>
        <c:spPr>
          <a:solidFill>
            <a:schemeClr val="accent2"/>
          </a:solidFill>
          <a:ln w="28575" cap="rnd">
            <a:solidFill>
              <a:schemeClr val="accent2"/>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dLbl>
      </c:pivotFmt>
      <c:pivotFmt>
        <c:idx val="3"/>
        <c:spPr>
          <a:solidFill>
            <a:schemeClr val="accent2"/>
          </a:solidFill>
          <a:ln w="28575" cap="rnd">
            <a:solidFill>
              <a:schemeClr val="accent2"/>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dLbl>
      </c:pivotFmt>
      <c:pivotFmt>
        <c:idx val="4"/>
        <c:spPr>
          <a:solidFill>
            <a:schemeClr val="accent2"/>
          </a:solidFill>
          <a:ln w="28575" cap="rnd">
            <a:solidFill>
              <a:schemeClr val="accent2"/>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dLbl>
      </c:pivotFmt>
      <c:pivotFmt>
        <c:idx val="5"/>
        <c:spPr>
          <a:solidFill>
            <a:schemeClr val="accent2"/>
          </a:solidFill>
          <a:ln w="28575" cap="rnd">
            <a:solidFill>
              <a:schemeClr val="accent2"/>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dLbl>
      </c:pivotFmt>
      <c:pivotFmt>
        <c:idx val="6"/>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Tables'!$B$1:$B$2</c:f>
              <c:strCache>
                <c:ptCount val="1"/>
                <c:pt idx="0">
                  <c:v>N/A</c:v>
                </c:pt>
              </c:strCache>
            </c:strRef>
          </c:tx>
          <c:spPr>
            <a:ln w="28575" cap="rnd">
              <a:solidFill>
                <a:schemeClr val="accent2"/>
              </a:solidFill>
              <a:round/>
            </a:ln>
            <a:effectLst/>
          </c:spPr>
          <c:marker>
            <c:symbol val="none"/>
          </c:marker>
          <c:cat>
            <c:strRef>
              <c:f>'Pivot Tables'!$A$3:$A$6</c:f>
              <c:strCache>
                <c:ptCount val="3"/>
                <c:pt idx="0">
                  <c:v>Elderly</c:v>
                </c:pt>
                <c:pt idx="1">
                  <c:v>Middle Aged</c:v>
                </c:pt>
                <c:pt idx="2">
                  <c:v>Young Adult</c:v>
                </c:pt>
              </c:strCache>
            </c:strRef>
          </c:cat>
          <c:val>
            <c:numRef>
              <c:f>'Pivot Tables'!$B$3:$B$6</c:f>
              <c:numCache>
                <c:formatCode>General</c:formatCode>
                <c:ptCount val="3"/>
                <c:pt idx="0">
                  <c:v>31</c:v>
                </c:pt>
                <c:pt idx="1">
                  <c:v>19</c:v>
                </c:pt>
                <c:pt idx="2">
                  <c:v>30</c:v>
                </c:pt>
              </c:numCache>
            </c:numRef>
          </c:val>
          <c:smooth val="0"/>
          <c:extLst>
            <c:ext xmlns:c16="http://schemas.microsoft.com/office/drawing/2014/chart" uri="{C3380CC4-5D6E-409C-BE32-E72D297353CC}">
              <c16:uniqueId val="{00000000-E3D7-8743-B171-C56E54386669}"/>
            </c:ext>
          </c:extLst>
        </c:ser>
        <c:ser>
          <c:idx val="1"/>
          <c:order val="1"/>
          <c:tx>
            <c:strRef>
              <c:f>'Pivot Tables'!$C$1:$C$2</c:f>
              <c:strCache>
                <c:ptCount val="1"/>
                <c:pt idx="0">
                  <c:v>No</c:v>
                </c:pt>
              </c:strCache>
            </c:strRef>
          </c:tx>
          <c:spPr>
            <a:ln w="28575" cap="rnd">
              <a:solidFill>
                <a:schemeClr val="accent4"/>
              </a:solidFill>
              <a:round/>
            </a:ln>
            <a:effectLst/>
          </c:spPr>
          <c:marker>
            <c:symbol val="none"/>
          </c:marker>
          <c:cat>
            <c:strRef>
              <c:f>'Pivot Tables'!$A$3:$A$6</c:f>
              <c:strCache>
                <c:ptCount val="3"/>
                <c:pt idx="0">
                  <c:v>Elderly</c:v>
                </c:pt>
                <c:pt idx="1">
                  <c:v>Middle Aged</c:v>
                </c:pt>
                <c:pt idx="2">
                  <c:v>Young Adult</c:v>
                </c:pt>
              </c:strCache>
            </c:strRef>
          </c:cat>
          <c:val>
            <c:numRef>
              <c:f>'Pivot Tables'!$C$3:$C$6</c:f>
              <c:numCache>
                <c:formatCode>General</c:formatCode>
                <c:ptCount val="3"/>
                <c:pt idx="0">
                  <c:v>22</c:v>
                </c:pt>
                <c:pt idx="1">
                  <c:v>24</c:v>
                </c:pt>
                <c:pt idx="2">
                  <c:v>17</c:v>
                </c:pt>
              </c:numCache>
            </c:numRef>
          </c:val>
          <c:smooth val="0"/>
          <c:extLst>
            <c:ext xmlns:c16="http://schemas.microsoft.com/office/drawing/2014/chart" uri="{C3380CC4-5D6E-409C-BE32-E72D297353CC}">
              <c16:uniqueId val="{0000000A-E3D7-8743-B171-C56E54386669}"/>
            </c:ext>
          </c:extLst>
        </c:ser>
        <c:ser>
          <c:idx val="2"/>
          <c:order val="2"/>
          <c:tx>
            <c:strRef>
              <c:f>'Pivot Tables'!$D$1:$D$2</c:f>
              <c:strCache>
                <c:ptCount val="1"/>
                <c:pt idx="0">
                  <c:v>Yes</c:v>
                </c:pt>
              </c:strCache>
            </c:strRef>
          </c:tx>
          <c:spPr>
            <a:ln w="28575" cap="rnd">
              <a:solidFill>
                <a:schemeClr val="accent6"/>
              </a:solidFill>
              <a:round/>
            </a:ln>
            <a:effectLst/>
          </c:spPr>
          <c:marker>
            <c:symbol val="none"/>
          </c:marker>
          <c:cat>
            <c:strRef>
              <c:f>'Pivot Tables'!$A$3:$A$6</c:f>
              <c:strCache>
                <c:ptCount val="3"/>
                <c:pt idx="0">
                  <c:v>Elderly</c:v>
                </c:pt>
                <c:pt idx="1">
                  <c:v>Middle Aged</c:v>
                </c:pt>
                <c:pt idx="2">
                  <c:v>Young Adult</c:v>
                </c:pt>
              </c:strCache>
            </c:strRef>
          </c:cat>
          <c:val>
            <c:numRef>
              <c:f>'Pivot Tables'!$D$3:$D$6</c:f>
              <c:numCache>
                <c:formatCode>General</c:formatCode>
                <c:ptCount val="3"/>
                <c:pt idx="0">
                  <c:v>35</c:v>
                </c:pt>
                <c:pt idx="1">
                  <c:v>26</c:v>
                </c:pt>
                <c:pt idx="2">
                  <c:v>27</c:v>
                </c:pt>
              </c:numCache>
            </c:numRef>
          </c:val>
          <c:smooth val="0"/>
          <c:extLst>
            <c:ext xmlns:c16="http://schemas.microsoft.com/office/drawing/2014/chart" uri="{C3380CC4-5D6E-409C-BE32-E72D297353CC}">
              <c16:uniqueId val="{0000000B-E3D7-8743-B171-C56E54386669}"/>
            </c:ext>
          </c:extLst>
        </c:ser>
        <c:dLbls>
          <c:showLegendKey val="0"/>
          <c:showVal val="0"/>
          <c:showCatName val="0"/>
          <c:showSerName val="0"/>
          <c:showPercent val="0"/>
          <c:showBubbleSize val="0"/>
        </c:dLbls>
        <c:smooth val="0"/>
        <c:axId val="631085631"/>
        <c:axId val="631087423"/>
      </c:lineChart>
      <c:catAx>
        <c:axId val="631085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631087423"/>
        <c:crosses val="autoZero"/>
        <c:auto val="1"/>
        <c:lblAlgn val="ctr"/>
        <c:lblOffset val="100"/>
        <c:noMultiLvlLbl val="0"/>
      </c:catAx>
      <c:valAx>
        <c:axId val="63108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63108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[messy_clinic_appointments_cleaned.xlsx]Pivot 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Billing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Tables'!$B$8:$B$9</c:f>
              <c:strCache>
                <c:ptCount val="1"/>
                <c:pt idx="0">
                  <c:v>N/A</c:v>
                </c:pt>
              </c:strCache>
            </c:strRef>
          </c:tx>
          <c:spPr>
            <a:solidFill>
              <a:schemeClr val="accent1"/>
            </a:solidFill>
            <a:ln>
              <a:noFill/>
            </a:ln>
            <a:effectLst/>
          </c:spPr>
          <c:invertIfNegative val="0"/>
          <c:cat>
            <c:strRef>
              <c:f>'Pivot Tables'!$A$10</c:f>
              <c:strCache>
                <c:ptCount val="1"/>
                <c:pt idx="0">
                  <c:v>Total</c:v>
                </c:pt>
              </c:strCache>
            </c:strRef>
          </c:cat>
          <c:val>
            <c:numRef>
              <c:f>'Pivot Tables'!$B$10</c:f>
              <c:numCache>
                <c:formatCode>General</c:formatCode>
                <c:ptCount val="1"/>
                <c:pt idx="0">
                  <c:v>204.20086077922082</c:v>
                </c:pt>
              </c:numCache>
            </c:numRef>
          </c:val>
          <c:extLst>
            <c:ext xmlns:c16="http://schemas.microsoft.com/office/drawing/2014/chart" uri="{C3380CC4-5D6E-409C-BE32-E72D297353CC}">
              <c16:uniqueId val="{00000000-E02B-3B46-8ECA-FC2D409D69F1}"/>
            </c:ext>
          </c:extLst>
        </c:ser>
        <c:ser>
          <c:idx val="1"/>
          <c:order val="1"/>
          <c:tx>
            <c:strRef>
              <c:f>'Pivot Tables'!$C$8:$C$9</c:f>
              <c:strCache>
                <c:ptCount val="1"/>
                <c:pt idx="0">
                  <c:v>No</c:v>
                </c:pt>
              </c:strCache>
            </c:strRef>
          </c:tx>
          <c:spPr>
            <a:solidFill>
              <a:schemeClr val="accent2"/>
            </a:solidFill>
            <a:ln>
              <a:noFill/>
            </a:ln>
            <a:effectLst/>
          </c:spPr>
          <c:invertIfNegative val="0"/>
          <c:cat>
            <c:strRef>
              <c:f>'Pivot Tables'!$A$10</c:f>
              <c:strCache>
                <c:ptCount val="1"/>
                <c:pt idx="0">
                  <c:v>Total</c:v>
                </c:pt>
              </c:strCache>
            </c:strRef>
          </c:cat>
          <c:val>
            <c:numRef>
              <c:f>'Pivot Tables'!$C$10</c:f>
              <c:numCache>
                <c:formatCode>General</c:formatCode>
                <c:ptCount val="1"/>
                <c:pt idx="0">
                  <c:v>217.5906115254237</c:v>
                </c:pt>
              </c:numCache>
            </c:numRef>
          </c:val>
          <c:extLst>
            <c:ext xmlns:c16="http://schemas.microsoft.com/office/drawing/2014/chart" uri="{C3380CC4-5D6E-409C-BE32-E72D297353CC}">
              <c16:uniqueId val="{00000001-E02B-3B46-8ECA-FC2D409D69F1}"/>
            </c:ext>
          </c:extLst>
        </c:ser>
        <c:ser>
          <c:idx val="2"/>
          <c:order val="2"/>
          <c:tx>
            <c:strRef>
              <c:f>'Pivot Tables'!$D$8:$D$9</c:f>
              <c:strCache>
                <c:ptCount val="1"/>
                <c:pt idx="0">
                  <c:v>Yes</c:v>
                </c:pt>
              </c:strCache>
            </c:strRef>
          </c:tx>
          <c:spPr>
            <a:solidFill>
              <a:schemeClr val="accent3"/>
            </a:solidFill>
            <a:ln>
              <a:noFill/>
            </a:ln>
            <a:effectLst/>
          </c:spPr>
          <c:invertIfNegative val="0"/>
          <c:cat>
            <c:strRef>
              <c:f>'Pivot Tables'!$A$10</c:f>
              <c:strCache>
                <c:ptCount val="1"/>
                <c:pt idx="0">
                  <c:v>Total</c:v>
                </c:pt>
              </c:strCache>
            </c:strRef>
          </c:cat>
          <c:val>
            <c:numRef>
              <c:f>'Pivot Tables'!$D$10</c:f>
              <c:numCache>
                <c:formatCode>General</c:formatCode>
                <c:ptCount val="1"/>
                <c:pt idx="0">
                  <c:v>260.70759421686745</c:v>
                </c:pt>
              </c:numCache>
            </c:numRef>
          </c:val>
          <c:extLst>
            <c:ext xmlns:c16="http://schemas.microsoft.com/office/drawing/2014/chart" uri="{C3380CC4-5D6E-409C-BE32-E72D297353CC}">
              <c16:uniqueId val="{00000002-E02B-3B46-8ECA-FC2D409D69F1}"/>
            </c:ext>
          </c:extLst>
        </c:ser>
        <c:dLbls>
          <c:showLegendKey val="0"/>
          <c:showVal val="0"/>
          <c:showCatName val="0"/>
          <c:showSerName val="0"/>
          <c:showPercent val="0"/>
          <c:showBubbleSize val="0"/>
        </c:dLbls>
        <c:gapWidth val="219"/>
        <c:overlap val="-27"/>
        <c:axId val="631135231"/>
        <c:axId val="595516863"/>
      </c:barChart>
      <c:catAx>
        <c:axId val="63113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595516863"/>
        <c:crosses val="autoZero"/>
        <c:auto val="1"/>
        <c:lblAlgn val="ctr"/>
        <c:lblOffset val="100"/>
        <c:noMultiLvlLbl val="0"/>
      </c:catAx>
      <c:valAx>
        <c:axId val="5955168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billing amount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631135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[messy_clinic_appointments_cleaned.xlsx]Pivot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Tables'!$B$12:$B$13</c:f>
              <c:strCache>
                <c:ptCount val="1"/>
                <c:pt idx="0">
                  <c:v>N/A</c:v>
                </c:pt>
              </c:strCache>
            </c:strRef>
          </c:tx>
          <c:spPr>
            <a:ln w="28575" cap="rnd">
              <a:solidFill>
                <a:schemeClr val="accent1"/>
              </a:solidFill>
              <a:round/>
            </a:ln>
            <a:effectLst/>
          </c:spPr>
          <c:marker>
            <c:symbol val="none"/>
          </c:marker>
          <c:cat>
            <c:strRef>
              <c:f>'Pivot Tables'!$A$14:$A$17</c:f>
              <c:strCache>
                <c:ptCount val="3"/>
                <c:pt idx="0">
                  <c:v>Female</c:v>
                </c:pt>
                <c:pt idx="1">
                  <c:v>Male</c:v>
                </c:pt>
                <c:pt idx="2">
                  <c:v>N/A</c:v>
                </c:pt>
              </c:strCache>
            </c:strRef>
          </c:cat>
          <c:val>
            <c:numRef>
              <c:f>'Pivot Tables'!$B$14:$B$17</c:f>
              <c:numCache>
                <c:formatCode>General</c:formatCode>
                <c:ptCount val="3"/>
                <c:pt idx="0">
                  <c:v>34</c:v>
                </c:pt>
                <c:pt idx="1">
                  <c:v>24</c:v>
                </c:pt>
                <c:pt idx="2">
                  <c:v>22</c:v>
                </c:pt>
              </c:numCache>
            </c:numRef>
          </c:val>
          <c:smooth val="0"/>
          <c:extLst>
            <c:ext xmlns:c16="http://schemas.microsoft.com/office/drawing/2014/chart" uri="{C3380CC4-5D6E-409C-BE32-E72D297353CC}">
              <c16:uniqueId val="{00000000-75C4-C740-B1FC-74C4F9893F33}"/>
            </c:ext>
          </c:extLst>
        </c:ser>
        <c:ser>
          <c:idx val="1"/>
          <c:order val="1"/>
          <c:tx>
            <c:strRef>
              <c:f>'Pivot Tables'!$C$12:$C$13</c:f>
              <c:strCache>
                <c:ptCount val="1"/>
                <c:pt idx="0">
                  <c:v>No</c:v>
                </c:pt>
              </c:strCache>
            </c:strRef>
          </c:tx>
          <c:spPr>
            <a:ln w="28575" cap="rnd">
              <a:solidFill>
                <a:schemeClr val="accent2"/>
              </a:solidFill>
              <a:round/>
            </a:ln>
            <a:effectLst/>
          </c:spPr>
          <c:marker>
            <c:symbol val="none"/>
          </c:marker>
          <c:cat>
            <c:strRef>
              <c:f>'Pivot Tables'!$A$14:$A$17</c:f>
              <c:strCache>
                <c:ptCount val="3"/>
                <c:pt idx="0">
                  <c:v>Female</c:v>
                </c:pt>
                <c:pt idx="1">
                  <c:v>Male</c:v>
                </c:pt>
                <c:pt idx="2">
                  <c:v>N/A</c:v>
                </c:pt>
              </c:strCache>
            </c:strRef>
          </c:cat>
          <c:val>
            <c:numRef>
              <c:f>'Pivot Tables'!$C$14:$C$17</c:f>
              <c:numCache>
                <c:formatCode>General</c:formatCode>
                <c:ptCount val="3"/>
                <c:pt idx="0">
                  <c:v>24</c:v>
                </c:pt>
                <c:pt idx="1">
                  <c:v>21</c:v>
                </c:pt>
                <c:pt idx="2">
                  <c:v>18</c:v>
                </c:pt>
              </c:numCache>
            </c:numRef>
          </c:val>
          <c:smooth val="0"/>
          <c:extLst>
            <c:ext xmlns:c16="http://schemas.microsoft.com/office/drawing/2014/chart" uri="{C3380CC4-5D6E-409C-BE32-E72D297353CC}">
              <c16:uniqueId val="{00000001-75C4-C740-B1FC-74C4F9893F33}"/>
            </c:ext>
          </c:extLst>
        </c:ser>
        <c:ser>
          <c:idx val="2"/>
          <c:order val="2"/>
          <c:tx>
            <c:strRef>
              <c:f>'Pivot Tables'!$D$12:$D$13</c:f>
              <c:strCache>
                <c:ptCount val="1"/>
                <c:pt idx="0">
                  <c:v>Yes</c:v>
                </c:pt>
              </c:strCache>
            </c:strRef>
          </c:tx>
          <c:spPr>
            <a:ln w="28575" cap="rnd">
              <a:solidFill>
                <a:schemeClr val="accent3"/>
              </a:solidFill>
              <a:round/>
            </a:ln>
            <a:effectLst/>
          </c:spPr>
          <c:marker>
            <c:symbol val="none"/>
          </c:marker>
          <c:cat>
            <c:strRef>
              <c:f>'Pivot Tables'!$A$14:$A$17</c:f>
              <c:strCache>
                <c:ptCount val="3"/>
                <c:pt idx="0">
                  <c:v>Female</c:v>
                </c:pt>
                <c:pt idx="1">
                  <c:v>Male</c:v>
                </c:pt>
                <c:pt idx="2">
                  <c:v>N/A</c:v>
                </c:pt>
              </c:strCache>
            </c:strRef>
          </c:cat>
          <c:val>
            <c:numRef>
              <c:f>'Pivot Tables'!$D$14:$D$17</c:f>
              <c:numCache>
                <c:formatCode>General</c:formatCode>
                <c:ptCount val="3"/>
                <c:pt idx="0">
                  <c:v>36</c:v>
                </c:pt>
                <c:pt idx="1">
                  <c:v>33</c:v>
                </c:pt>
                <c:pt idx="2">
                  <c:v>19</c:v>
                </c:pt>
              </c:numCache>
            </c:numRef>
          </c:val>
          <c:smooth val="0"/>
          <c:extLst>
            <c:ext xmlns:c16="http://schemas.microsoft.com/office/drawing/2014/chart" uri="{C3380CC4-5D6E-409C-BE32-E72D297353CC}">
              <c16:uniqueId val="{00000002-75C4-C740-B1FC-74C4F9893F33}"/>
            </c:ext>
          </c:extLst>
        </c:ser>
        <c:dLbls>
          <c:showLegendKey val="0"/>
          <c:showVal val="0"/>
          <c:showCatName val="0"/>
          <c:showSerName val="0"/>
          <c:showPercent val="0"/>
          <c:showBubbleSize val="0"/>
        </c:dLbls>
        <c:smooth val="0"/>
        <c:axId val="639640319"/>
        <c:axId val="639636735"/>
      </c:lineChart>
      <c:catAx>
        <c:axId val="6396403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639636735"/>
        <c:crosses val="autoZero"/>
        <c:auto val="1"/>
        <c:lblAlgn val="ctr"/>
        <c:lblOffset val="100"/>
        <c:noMultiLvlLbl val="0"/>
      </c:catAx>
      <c:valAx>
        <c:axId val="639636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crossAx val="63964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408653</xdr:colOff>
      <xdr:row>5</xdr:row>
      <xdr:rowOff>5086</xdr:rowOff>
    </xdr:from>
    <xdr:to>
      <xdr:col>9</xdr:col>
      <xdr:colOff>2018</xdr:colOff>
      <xdr:row>18</xdr:row>
      <xdr:rowOff>128564</xdr:rowOff>
    </xdr:to>
    <xdr:graphicFrame macro="">
      <xdr:nvGraphicFramePr>
        <xdr:cNvPr id="2" name="Chart 1">
          <a:extLst>
            <a:ext uri="{FF2B5EF4-FFF2-40B4-BE49-F238E27FC236}">
              <a16:creationId xmlns:a16="http://schemas.microsoft.com/office/drawing/2014/main" id="{899CA769-E621-DF40-AACE-BFFCE0DB4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417942</xdr:colOff>
      <xdr:row>19</xdr:row>
      <xdr:rowOff>220</xdr:rowOff>
    </xdr:from>
    <xdr:to>
      <xdr:col>9</xdr:col>
      <xdr:colOff>2645</xdr:colOff>
      <xdr:row>32</xdr:row>
      <xdr:rowOff>114823</xdr:rowOff>
    </xdr:to>
    <xdr:graphicFrame macro="">
      <xdr:nvGraphicFramePr>
        <xdr:cNvPr id="3" name="Chart 2">
          <a:extLst>
            <a:ext uri="{FF2B5EF4-FFF2-40B4-BE49-F238E27FC236}">
              <a16:creationId xmlns:a16="http://schemas.microsoft.com/office/drawing/2014/main" id="{4C3CD170-1CE3-5B4A-931A-24804E63CB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393020</xdr:colOff>
      <xdr:row>32</xdr:row>
      <xdr:rowOff>184615</xdr:rowOff>
    </xdr:from>
    <xdr:to>
      <xdr:col>9</xdr:col>
      <xdr:colOff>6965</xdr:colOff>
      <xdr:row>46</xdr:row>
      <xdr:rowOff>66819</xdr:rowOff>
    </xdr:to>
    <xdr:graphicFrame macro="">
      <xdr:nvGraphicFramePr>
        <xdr:cNvPr id="4" name="Chart 3">
          <a:extLst>
            <a:ext uri="{FF2B5EF4-FFF2-40B4-BE49-F238E27FC236}">
              <a16:creationId xmlns:a16="http://schemas.microsoft.com/office/drawing/2014/main" id="{7DAD2AE4-7B22-594B-A0CD-52A6D2B4C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200660</xdr:rowOff>
    </xdr:from>
    <xdr:to>
      <xdr:col>2</xdr:col>
      <xdr:colOff>182880</xdr:colOff>
      <xdr:row>17</xdr:row>
      <xdr:rowOff>178432</xdr:rowOff>
    </xdr:to>
    <mc:AlternateContent xmlns:mc="http://schemas.openxmlformats.org/markup-compatibility/2006">
      <mc:Choice xmlns:a14="http://schemas.microsoft.com/office/drawing/2010/main" Requires="a14">
        <xdr:graphicFrame macro="">
          <xdr:nvGraphicFramePr>
            <xdr:cNvPr id="6" name="department fixed">
              <a:extLst>
                <a:ext uri="{FF2B5EF4-FFF2-40B4-BE49-F238E27FC236}">
                  <a16:creationId xmlns:a16="http://schemas.microsoft.com/office/drawing/2014/main" id="{60FCE70E-9FFA-0BBE-6269-FD141D2B3118}"/>
                </a:ext>
              </a:extLst>
            </xdr:cNvPr>
            <xdr:cNvGraphicFramePr/>
          </xdr:nvGraphicFramePr>
          <xdr:xfrm>
            <a:off x="0" y="0"/>
            <a:ext cx="0" cy="0"/>
          </xdr:xfrm>
          <a:graphic>
            <a:graphicData uri="http://schemas.microsoft.com/office/drawing/2010/slicer">
              <sle:slicer xmlns:sle="http://schemas.microsoft.com/office/drawing/2010/slicer" name="department fixed"/>
            </a:graphicData>
          </a:graphic>
        </xdr:graphicFrame>
      </mc:Choice>
      <mc:Fallback>
        <xdr:sp macro="" textlink="">
          <xdr:nvSpPr>
            <xdr:cNvPr id="0" name=""/>
            <xdr:cNvSpPr>
              <a:spLocks noTextEdit="1"/>
            </xdr:cNvSpPr>
          </xdr:nvSpPr>
          <xdr:spPr>
            <a:xfrm>
              <a:off x="0" y="1222499"/>
              <a:ext cx="1847018" cy="26345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0</xdr:rowOff>
    </xdr:from>
    <xdr:to>
      <xdr:col>2</xdr:col>
      <xdr:colOff>182880</xdr:colOff>
      <xdr:row>31</xdr:row>
      <xdr:rowOff>180972</xdr:rowOff>
    </xdr:to>
    <mc:AlternateContent xmlns:mc="http://schemas.openxmlformats.org/markup-compatibility/2006">
      <mc:Choice xmlns:a14="http://schemas.microsoft.com/office/drawing/2010/main" Requires="a14">
        <xdr:graphicFrame macro="">
          <xdr:nvGraphicFramePr>
            <xdr:cNvPr id="7" name="department fixed 1">
              <a:extLst>
                <a:ext uri="{FF2B5EF4-FFF2-40B4-BE49-F238E27FC236}">
                  <a16:creationId xmlns:a16="http://schemas.microsoft.com/office/drawing/2014/main" id="{A36D1026-040D-239E-1AA1-6DE0CC6B49AA}"/>
                </a:ext>
              </a:extLst>
            </xdr:cNvPr>
            <xdr:cNvGraphicFramePr/>
          </xdr:nvGraphicFramePr>
          <xdr:xfrm>
            <a:off x="0" y="0"/>
            <a:ext cx="0" cy="0"/>
          </xdr:xfrm>
          <a:graphic>
            <a:graphicData uri="http://schemas.microsoft.com/office/drawing/2010/slicer">
              <sle:slicer xmlns:sle="http://schemas.microsoft.com/office/drawing/2010/slicer" name="department fixed 1"/>
            </a:graphicData>
          </a:graphic>
        </xdr:graphicFrame>
      </mc:Choice>
      <mc:Fallback>
        <xdr:sp macro="" textlink="">
          <xdr:nvSpPr>
            <xdr:cNvPr id="0" name=""/>
            <xdr:cNvSpPr>
              <a:spLocks noTextEdit="1"/>
            </xdr:cNvSpPr>
          </xdr:nvSpPr>
          <xdr:spPr>
            <a:xfrm>
              <a:off x="0" y="4087356"/>
              <a:ext cx="1847018" cy="26333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0</xdr:rowOff>
    </xdr:from>
    <xdr:to>
      <xdr:col>2</xdr:col>
      <xdr:colOff>182880</xdr:colOff>
      <xdr:row>45</xdr:row>
      <xdr:rowOff>180972</xdr:rowOff>
    </xdr:to>
    <mc:AlternateContent xmlns:mc="http://schemas.openxmlformats.org/markup-compatibility/2006">
      <mc:Choice xmlns:a14="http://schemas.microsoft.com/office/drawing/2010/main" Requires="a14">
        <xdr:graphicFrame macro="">
          <xdr:nvGraphicFramePr>
            <xdr:cNvPr id="8" name="department fixed 2">
              <a:extLst>
                <a:ext uri="{FF2B5EF4-FFF2-40B4-BE49-F238E27FC236}">
                  <a16:creationId xmlns:a16="http://schemas.microsoft.com/office/drawing/2014/main" id="{7AC4ABA5-5D33-E457-2B99-12FE28F4DAA3}"/>
                </a:ext>
              </a:extLst>
            </xdr:cNvPr>
            <xdr:cNvGraphicFramePr/>
          </xdr:nvGraphicFramePr>
          <xdr:xfrm>
            <a:off x="0" y="0"/>
            <a:ext cx="0" cy="0"/>
          </xdr:xfrm>
          <a:graphic>
            <a:graphicData uri="http://schemas.microsoft.com/office/drawing/2010/slicer">
              <sle:slicer xmlns:sle="http://schemas.microsoft.com/office/drawing/2010/slicer" name="department fixed 2"/>
            </a:graphicData>
          </a:graphic>
        </xdr:graphicFrame>
      </mc:Choice>
      <mc:Fallback>
        <xdr:sp macro="" textlink="">
          <xdr:nvSpPr>
            <xdr:cNvPr id="0" name=""/>
            <xdr:cNvSpPr>
              <a:spLocks noTextEdit="1"/>
            </xdr:cNvSpPr>
          </xdr:nvSpPr>
          <xdr:spPr>
            <a:xfrm>
              <a:off x="0" y="6948506"/>
              <a:ext cx="1847018" cy="26333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onica Kwon" refreshedDate="46237.625292245371" createdVersion="8" refreshedVersion="8" minRefreshableVersion="3" recordCount="1000" xr:uid="{A5719A8E-A97A-5041-B2F7-44FAEA204238}">
  <cacheSource type="worksheet">
    <worksheetSource ref="A1:U1001" sheet="Working Sheet"/>
  </cacheSource>
  <cacheFields count="21">
    <cacheField name="patient_id" numFmtId="0">
      <sharedItems containsSemiMixedTypes="0" containsString="0" containsNumber="1" containsInteger="1" minValue="1000" maxValue="1100"/>
    </cacheField>
    <cacheField name="patient_id fixe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patient_name" numFmtId="0">
      <sharedItems/>
    </cacheField>
    <cacheField name="age" numFmtId="0">
      <sharedItems containsSemiMixedTypes="0" containsString="0" containsNumber="1" containsInteger="1" minValue="18" maxValue="90"/>
    </cacheField>
    <cacheField name="gender" numFmtId="0">
      <sharedItems count="5">
        <s v="Female"/>
        <s v="F"/>
        <s v="M"/>
        <s v="N/A"/>
        <s v="male"/>
      </sharedItems>
    </cacheField>
    <cacheField name="gender fixed" numFmtId="0">
      <sharedItems count="3">
        <s v="Female"/>
        <s v="Male"/>
        <s v="N/A"/>
      </sharedItems>
    </cacheField>
    <cacheField name="appointment_date" numFmtId="14">
      <sharedItems containsSemiMixedTypes="0" containsNonDate="0" containsDate="1" containsString="0" minDate="2025-03-26T00:00:00" maxDate="2026-03-27T00:00:00"/>
    </cacheField>
    <cacheField name="booking_date" numFmtId="14">
      <sharedItems containsSemiMixedTypes="0" containsNonDate="0" containsDate="1" containsString="0" minDate="2024-03-26T00:00:00" maxDate="2026-03-08T00:00:00"/>
    </cacheField>
    <cacheField name="doctor" numFmtId="0">
      <sharedItems/>
    </cacheField>
    <cacheField name="doctor fixed" numFmtId="0">
      <sharedItems count="990">
        <s v="Christopher Graham"/>
        <s v="Brandon Lewis"/>
        <s v="Deanna Edwards"/>
        <s v="Karen Parsons"/>
        <s v="Andrea Hernandez"/>
        <s v="Kimberly Fields"/>
        <s v="Jim Jones"/>
        <s v="James Brooks"/>
        <s v="Jamie Hill"/>
        <s v="Tiffany Gates Md"/>
        <s v="Shane Brown"/>
        <s v="Natalie White"/>
        <s v="Amy Olson"/>
        <s v="John Larsen Ii"/>
        <s v="Andrea Gates"/>
        <s v="Robert Navarro"/>
        <s v="Christopher Bryant"/>
        <s v="Christina Hill"/>
        <s v="Daniel Jacobson"/>
        <s v="Kayla Savage"/>
        <s v="Richard Huang"/>
        <s v="Rebecca Harrington"/>
        <s v="Louis Turner"/>
        <s v="Brianna Garcia"/>
        <s v="Daniel Gutierrez"/>
        <s v="Darren Brooks"/>
        <s v="Janice Taylor"/>
        <s v="David Robles"/>
        <s v="Gregory Kirk"/>
        <s v="Casey Wagner"/>
        <s v="Stephanie Taylor"/>
        <s v="Andrew Thomas"/>
        <s v="Laura Klein"/>
        <s v="Mr. Brian Morton"/>
        <s v="Robert Sparks"/>
        <s v="Thomas Brandt"/>
        <s v="Robert Henry"/>
        <s v="Anthony Jensen"/>
        <s v="Kevin Benton"/>
        <s v="Thomas Hernandez"/>
        <s v="Alison Stanton"/>
        <s v="Christopher Morris"/>
        <s v="Troy Hill"/>
        <s v="Steven Bailey"/>
        <s v="Janet Ray"/>
        <s v="Shane Jackson"/>
        <s v="Diana Baker"/>
        <s v="Brian Osborne Dvm"/>
        <s v="Jeremiah Rose"/>
        <s v="Nancy Levine Md"/>
        <s v="Jenny Zuniga"/>
        <s v="Thomas Thomas"/>
        <s v="Christine Calhoun"/>
        <s v="Thomas Bennett"/>
        <s v="Christopher Lee"/>
        <s v="Courtney Knight"/>
        <s v="Charles Lopez"/>
        <s v="Ricky Velazquez"/>
        <s v="Todd Silva"/>
        <s v="Patrick Floyd"/>
        <s v="James Miller"/>
        <s v="Lorraine Figueroa"/>
        <s v="Jamie Sosa"/>
        <s v="Connie Wood"/>
        <s v="Jason Williams"/>
        <s v="Alexis Carter"/>
        <s v="Rebecca Kim"/>
        <s v="Rachel Terry"/>
        <s v="Whitney Hoffman"/>
        <s v="Jennifer Adams"/>
        <s v="Sherri Long"/>
        <s v="Glen Diaz"/>
        <s v="Miss Julie Rodriguez"/>
        <s v="Andrea Cruz"/>
        <s v="Brandi Hale"/>
        <s v="Crystal Mack"/>
        <s v="Drew Bartlett"/>
        <s v="Susan Brown"/>
        <s v="Jim Patterson"/>
        <s v="Heather Everett"/>
        <s v="Katherine Sanders"/>
        <s v="Virginia Lang"/>
        <s v="Samantha Bass Md"/>
        <s v="Melinda Duncan"/>
        <s v="William Key"/>
        <s v="Ronnie Miller"/>
        <s v="Mark Lutz"/>
        <s v="Daniel Le"/>
        <s v="Bryan Mann"/>
        <s v="Randy Garrett"/>
        <s v="Paul Tate"/>
        <s v="Michael Morales"/>
        <s v="Alexa Peterson"/>
        <s v="Brenda Castro"/>
        <s v="Tyler Carter"/>
        <s v="Wayne Graham"/>
        <s v="Kyle Russell"/>
        <s v="Kristopher Collier"/>
        <s v="Robert Mitchell"/>
        <s v="Rita Smith"/>
        <s v="Anthony Cruz"/>
        <s v="Derrick Salazar"/>
        <s v="Theresa Lee"/>
        <s v="Lynn Jones"/>
        <s v="Desiree Giles"/>
        <s v="Nicholas Mcneil"/>
        <s v="Paul Blackburn"/>
        <s v="Elizabeth Obrien"/>
        <s v="Kayla Stein"/>
        <s v="Andrew Gray"/>
        <s v="Ashley Flowers"/>
        <s v="Nicole Chandler"/>
        <s v="Morgan Green"/>
        <s v="Nancy Hernandez"/>
        <s v="William Cochran"/>
        <s v="Vanessa Pittman"/>
        <s v="Melanie Blanchard"/>
        <s v="Breanna Gray"/>
        <s v="George Flores"/>
        <s v="Jennifer Long Dds"/>
        <s v="Chase Clark"/>
        <s v="Michael Gillespie"/>
        <s v="Daniel Bradley"/>
        <s v="Theodore Bean"/>
        <s v="Michael Bond"/>
        <s v="Steve Bush"/>
        <s v="Penny Freeman"/>
        <s v="Willie Williams"/>
        <s v="Douglas Ford"/>
        <s v="Christopher Ferguson"/>
        <s v="Gabrielle Collins"/>
        <s v="Anne Watkins"/>
        <s v="Jennifer Russell"/>
        <s v="Cindy Cox"/>
        <s v="Amy Williams"/>
        <s v="Kimberly Henson"/>
        <s v="Megan Jensen"/>
        <s v="Joshua Sellers"/>
        <s v="Lindsey Fitzpatrick"/>
        <s v="Brandon Moore"/>
        <s v="Cynthia Booker"/>
        <s v="Jacob Kerr"/>
        <s v="Luke Williams"/>
        <s v="Alison Walters"/>
        <s v="Tanya Baxter"/>
        <s v="Cynthia Brown"/>
        <s v="Karen Hunt"/>
        <s v="Alec Hill"/>
        <s v="Colton Williams"/>
        <s v="Brandy Sutton"/>
        <s v="Barbara Chavez"/>
        <s v="Lisa Ho"/>
        <s v="Lance Smith"/>
        <s v="Jerry Lopez"/>
        <s v="Lori Hall"/>
        <s v="Steven Holland"/>
        <s v="Stephanie Wall"/>
        <s v="Damon Hayes"/>
        <s v="Troy Lynch"/>
        <s v="Brandy Graves"/>
        <s v="Tammy Watts"/>
        <s v="Eric Kelly"/>
        <s v="David Cole"/>
        <s v="Matthew Lopez"/>
        <s v="Jennifer Brooks"/>
        <s v="Amber Little"/>
        <s v="Robert Martinez"/>
        <s v="Derrick Cook"/>
        <s v="Dustin Jones"/>
        <s v="Timothy Morgan"/>
        <s v="Stacey Garcia"/>
        <s v="Rachel Richards"/>
        <s v="Jason Gill"/>
        <s v="Jessica Sawyer"/>
        <s v="Tonya Smith"/>
        <s v="Amber Braun"/>
        <s v="Lorraine Schroeder"/>
        <s v="Christina Price"/>
        <s v="Carrie Larsen"/>
        <s v="Ashlee Romero"/>
        <s v="Andrew Meadows"/>
        <s v="Ryan Marsh"/>
        <s v="Debra Castillo"/>
        <s v="Karen White"/>
        <s v="John Yang"/>
        <s v="Christopher Hayes"/>
        <s v="Kyle Dawson"/>
        <s v="Molly Warner"/>
        <s v="Michelle Ortega"/>
        <s v="Shelby Brown"/>
        <s v="Allison Smith"/>
        <s v="Matthew Garrett"/>
        <s v="Jason Gallagher"/>
        <s v="Alice Lucas"/>
        <s v="Kristin Reeves"/>
        <s v="John Lyons"/>
        <s v="Philip Davis"/>
        <s v="Charles Mcmillan"/>
        <s v="Wesley Johnson"/>
        <s v="Shannon Mejia"/>
        <s v="Jeffrey Ashley Jr."/>
        <s v="Kathy Thompson"/>
        <s v="John Miller"/>
        <s v="Gary Bowman"/>
        <s v="Katherine Espinoza"/>
        <s v="Jacob Bender"/>
        <s v="Daniel Evans"/>
        <s v="Dale Herrera"/>
        <s v="Michael Arroyo Jr."/>
        <s v="Gregory West Dds"/>
        <s v="Morgan Ramos"/>
        <s v="Allison Parker"/>
        <s v="William Nichols"/>
        <s v="Marie Clark"/>
        <s v="Grant Parker"/>
        <s v="Jennifer Hernandez"/>
        <s v="Joshua Burnett"/>
        <s v="Amanda Mendoza"/>
        <s v="Christopher Sherman"/>
        <s v="Jeffrey Burns"/>
        <s v="Brandon Morris"/>
        <s v="Sara Booth"/>
        <s v="Amanda Mclaughlin"/>
        <s v="Tony Randall"/>
        <s v="Crystal Medina"/>
        <s v="Patricia Carpenter"/>
        <s v="John Gonzalez"/>
        <s v="Michelle Austin"/>
        <s v="Paul Weaver"/>
        <s v="Amy Chavez"/>
        <s v="Leonard Macias"/>
        <s v="Jenny Wright"/>
        <s v="Todd Oconnor"/>
        <s v="Rachel Howell"/>
        <s v="Dr. Heidi Johnson"/>
        <s v="Robert Stanley"/>
        <s v="Amber Sullivan"/>
        <s v="Joseph Meyers"/>
        <s v="Christine Arnold"/>
        <s v="Michelle Smith"/>
        <s v="Cesar Sanchez"/>
        <s v="Jordan Cole"/>
        <s v="Alexander Lee"/>
        <s v="Christopher Underwood"/>
        <s v="Christopher Wolfe"/>
        <s v="Jennifer Jones"/>
        <s v="Melissa Daniels"/>
        <s v="Ryan White"/>
        <s v="Katrina Johnston"/>
        <s v="Linda Martin"/>
        <s v="Susan Kelley"/>
        <s v="Samuel Stone"/>
        <s v="Mallory Torres"/>
        <s v="Wendy Herrera"/>
        <s v="Kevin Coleman"/>
        <s v="Julie Phillips"/>
        <s v="Tara Montoya"/>
        <s v="Antonio Bryant"/>
        <s v="Marissa Jacobs"/>
        <s v="John Shannon"/>
        <s v="Gregg Bennett"/>
        <s v="Kyle Phillips"/>
        <s v="James Cobb"/>
        <s v="Jacob Townsend"/>
        <s v="Miguel Hayes"/>
        <s v="Peter Wells"/>
        <s v="Karen Martin"/>
        <s v="Rachel Allen"/>
        <s v="Alexander Horton"/>
        <s v="Kathryn Hooper"/>
        <s v="Tamara Thompson"/>
        <s v="Ryan Lopez"/>
        <s v="Kenneth Turner"/>
        <s v="Stacey Miller"/>
        <s v="Isabel Harris"/>
        <s v="Mary Thompson"/>
        <s v="Sarah Holder"/>
        <s v="Michael Duke"/>
        <s v="Daniel Ryan"/>
        <s v="Brenda Booth"/>
        <s v="Joanne Adams"/>
        <s v="Seth Ramirez"/>
        <s v="Kevin Weaver"/>
        <s v="Dr. William Terry"/>
        <s v="Brett Arnold"/>
        <s v="Amanda Flores"/>
        <s v="Shannon Martinez"/>
        <s v="Jeffery Smith"/>
        <s v="Michelle Johnson"/>
        <s v="Michael Schmidt"/>
        <s v="Michelle Jones"/>
        <s v="Regina Cox"/>
        <s v="Gregory Neal"/>
        <s v="Darryl Garcia"/>
        <s v="Steven Mercer"/>
        <s v="John Wolf"/>
        <s v="David Robertson"/>
        <s v="Joseph Park"/>
        <s v="Megan Lopez"/>
        <s v="Robert Davies"/>
        <s v="Christopher Garrett"/>
        <s v="Charles Hess"/>
        <s v="Theresa Osborne"/>
        <s v="Lisa Garcia"/>
        <s v="Denise Hall"/>
        <s v="Morgan Mccoy"/>
        <s v="Timothy Beasley"/>
        <s v="Michelle Carter"/>
        <s v="Christopher Sexton"/>
        <s v="Adam Moore"/>
        <s v="Melissa Schmidt"/>
        <s v="Christine Wilson"/>
        <s v="Barry Bennett"/>
        <s v="Kimberly Douglas"/>
        <s v="Michael Wright"/>
        <s v="Stephanie Douglas"/>
        <s v="Diana Neal"/>
        <s v="Christopher Perez"/>
        <s v="Matthew Mccann"/>
        <s v="Lynn Cruz"/>
        <s v="Jacob Mendoza"/>
        <s v="Brian Bowman"/>
        <s v="Dylan Gibson"/>
        <s v="Lori Reid"/>
        <s v="Dr. Deborah Fitzgerald"/>
        <s v="Alex Richards"/>
        <s v="Jennifer Tanner"/>
        <s v="Alison Castro"/>
        <s v="Megan Austin"/>
        <s v="Rebecca Ward"/>
        <s v="Pamela Wiley"/>
        <s v="Tracey Johnson"/>
        <s v="Ashley Cuevas"/>
        <s v="Amy Dunlap"/>
        <s v="Charles Jackson"/>
        <s v="Jason Morales"/>
        <s v="Logan Cooper"/>
        <s v="Nathaniel Thompson"/>
        <s v="Natalie Turner"/>
        <s v="Kurt Cain"/>
        <s v="Laura Edwards"/>
        <s v="Paula Freeman"/>
        <s v="Linda French"/>
        <s v="Joshua Reed"/>
        <s v="Mrs. Michelle Ramsey"/>
        <s v="Toni Rodriguez"/>
        <s v="Alexa Martin"/>
        <s v="Cynthia Green"/>
        <s v="Tonya Kennedy"/>
        <s v="Cheryl Mullins"/>
        <s v="Carla King"/>
        <s v="Michael Adams"/>
        <s v="Laura Newman"/>
        <s v="Gregory Griffin"/>
        <s v="Ryan Steele"/>
        <s v="Ashley Shaw"/>
        <s v="Catherine Gamble"/>
        <s v="Jean Lawson Dds"/>
        <s v="Victoria Osborne"/>
        <s v="Brooke Ramos"/>
        <s v="Leslie Smith"/>
        <s v="Julie Jacobs"/>
        <s v="John Anderson"/>
        <s v="Kimberly Caldwell"/>
        <s v="Michael Jackson"/>
        <s v="Karen Schmidt"/>
        <s v="Tiffany Melendez"/>
        <s v="Emily Mcintosh"/>
        <s v="Barbara Alvarado"/>
        <s v="James Huber"/>
        <s v="Lisa Fry"/>
        <s v="Amber Avila"/>
        <s v="Nancy Luna"/>
        <s v="Michelle Thomas"/>
        <s v="Derrick Glass"/>
        <s v="Ivan Russo"/>
        <s v="David Love"/>
        <s v="Bonnie Walker"/>
        <s v="Christopher Smith"/>
        <s v="Nicole Bates"/>
        <s v="Kimberly Long"/>
        <s v="Melissa Brown"/>
        <s v="Larry Delgado"/>
        <s v="Jill Kelley"/>
        <s v="Dylan George"/>
        <s v="Michael Alexander"/>
        <s v="Kevin Wilkinson"/>
        <s v="Robert Sanchez"/>
        <s v="Craig Kelly"/>
        <s v="Yvette Johnson"/>
        <s v="Spencer Torres"/>
        <s v="Eric Arellano"/>
        <s v="Tricia Hunt"/>
        <s v="Alexandra Lee"/>
        <s v="Justin Chen"/>
        <s v="Tamara Williams"/>
        <s v="Timothy Barker"/>
        <s v="Natalie Patrick"/>
        <s v="Victor Hernandez"/>
        <s v="Charles Harvey"/>
        <s v="Paul Giles"/>
        <s v="Ralph Fernandez"/>
        <s v="Paul Martinez"/>
        <s v="Rachel Wilson"/>
        <s v="Kevin Vaughan"/>
        <s v="William Schneider"/>
        <s v="Matthew Carlson"/>
        <s v="Bryan Parker"/>
        <s v="James Aguilar"/>
        <s v="Karen Brewer"/>
        <s v="Mary Ward"/>
        <s v="Luis Smith"/>
        <s v="Janet Coffey"/>
        <s v="Ryan Mitchell"/>
        <s v="Scott Allen"/>
        <s v="Henry Hall"/>
        <s v="Danielle Meyer"/>
        <s v="Raymond Bond"/>
        <s v="George Stevens"/>
        <s v="Ryan Chavez"/>
        <s v="Christy Fisher"/>
        <s v="Cody Ortega"/>
        <s v="Sarah Scott"/>
        <s v="Arthur Harris"/>
        <s v="Lauren Clark"/>
        <s v="Matthew Nichols"/>
        <s v="Tracy Johnson"/>
        <s v="Justin Flores"/>
        <s v="Keith Lee"/>
        <s v="Christopher Nelson"/>
        <s v="Joe Rodriguez"/>
        <s v="Terry Welch"/>
        <s v="Angela Thomas"/>
        <s v="Brandon Garcia"/>
        <s v="Amber Clayton"/>
        <s v="Maria Gentry"/>
        <s v="Heather Ortiz"/>
        <s v="Mrs. Amy Miller"/>
        <s v="Michael Bryant"/>
        <s v="Vanessa Ramirez"/>
        <s v="Nancy Young"/>
        <s v="Melinda Smith"/>
        <s v="Bradley Gibson"/>
        <s v="Theresa Simon"/>
        <s v="Randy Vargas"/>
        <s v="Larry Cohen"/>
        <s v="Donald Garcia"/>
        <s v="Carlos Morton"/>
        <s v="Adrienne Roberts"/>
        <s v="Robert Burton"/>
        <s v="Mark Hill"/>
        <s v="Karla Baker"/>
        <s v="Jasmin Holmes"/>
        <s v="Margaret Montoya"/>
        <s v="Richard Torres"/>
        <s v="Jacob Hobbs"/>
        <s v="Marc Copeland"/>
        <s v="Tamara Smith"/>
        <s v="Thomas Wallace"/>
        <s v="Justin Taylor"/>
        <s v="Leonard Campbell"/>
        <s v="Darren Williams"/>
        <s v="Kimberly Pierce"/>
        <s v="Selena Brown"/>
        <s v="Scott Tran"/>
        <s v="Daniel Carlson"/>
        <s v="Jennifer Banks"/>
        <s v="Richard Arias"/>
        <s v="Scott Shannon"/>
        <s v="Joseph King"/>
        <s v="Frank Harrell"/>
        <s v="Sharon Nash"/>
        <s v="Willie Dean"/>
        <s v="Andrew Carroll"/>
        <s v="Sheila Williams"/>
        <s v="Yolanda Richardson"/>
        <s v="Tiffany Shepherd"/>
        <s v="Lisa Taylor"/>
        <s v="Donna Sandoval"/>
        <s v="Brianna Ortega"/>
        <s v="Randall Watts"/>
        <s v="Martha Byrd"/>
        <s v="Thomas Baker"/>
        <s v="Judith Preston"/>
        <s v="Amber King"/>
        <s v="Sandra Sloan"/>
        <s v="Russell Myers"/>
        <s v="Megan Garcia"/>
        <s v="Gloria Perez"/>
        <s v="Eugene Little"/>
        <s v="Audrey Hansen"/>
        <s v="Nathan Quinn"/>
        <s v="Brian Young"/>
        <s v="Tanya Barker"/>
        <s v="Scott King"/>
        <s v="Derek Velazquez"/>
        <s v="Ernest Rodriguez"/>
        <s v="Kara Austin"/>
        <s v="Richard Johnson"/>
        <s v="Jacob Mays"/>
        <s v="Morgan Edwards"/>
        <s v="Helen Davis"/>
        <s v="Rebecca Gross"/>
        <s v="Andrea Walsh"/>
        <s v="Richard Wagner"/>
        <s v="Spencer Booth"/>
        <s v="Benjamin Robinson"/>
        <s v="Heidi Baker"/>
        <s v="Kristen Lopez"/>
        <s v="Reginald Barrett"/>
        <s v="David Espinoza"/>
        <s v="Michael Ross"/>
        <s v="William Moore"/>
        <s v="Jeff Lane"/>
        <s v="Christopher Jones"/>
        <s v="Jordan Shelton"/>
        <s v="April Castillo"/>
        <s v="Natalie Smith"/>
        <s v="Reginald Miller"/>
        <s v="Brian Deleon"/>
        <s v="Francisco Steele"/>
        <s v="Crystal Mueller"/>
        <s v="Lisa Hoffman"/>
        <s v="Chase Ford"/>
        <s v="Henry Moore"/>
        <s v="Chelsea Aguirre"/>
        <s v="Cody Murray"/>
        <s v="Felicia Warner"/>
        <s v="Melissa Bradley"/>
        <s v="Jessica Williams"/>
        <s v="Christopher Schneider"/>
        <s v="Kenneth Long"/>
        <s v="Jennifer Carroll"/>
        <s v="Carl Gomez"/>
        <s v="David Carter"/>
        <s v="Angel Aguilar"/>
        <s v="Jeremy Wilson"/>
        <s v="Ashley Gonzalez"/>
        <s v="Kelsey Hernandez"/>
        <s v="Danny Webster"/>
        <s v="Daniel Dickerson"/>
        <s v="Andrew Johnson"/>
        <s v="Brian Armstrong"/>
        <s v="Jennifer Reyes"/>
        <s v="Joshua Gomez"/>
        <s v="Tamara Rivera"/>
        <s v="Margaret Robinson"/>
        <s v="Wendy Cochran"/>
        <s v="Kelsey Scott"/>
        <s v="Ronald Santos"/>
        <s v="Michael Brown"/>
        <s v="Charles Owens"/>
        <s v="Paul Allen"/>
        <s v="Brian Brown"/>
        <s v="Michael Trevino"/>
        <s v="Austin Stout"/>
        <s v="Patricia White"/>
        <s v="Andre Carter"/>
        <s v="Alexander Jackson"/>
        <s v="Nicole Martinez"/>
        <s v="Mr. Curtis Ortiz"/>
        <s v="Wendy Davis"/>
        <s v="Lauren Rosario"/>
        <s v="April Lyons"/>
        <s v="Justin Rice"/>
        <s v="Aaron Cooper"/>
        <s v="Lauren Whitaker"/>
        <s v="Victoria Lopez"/>
        <s v="Samantha Cameron"/>
        <s v="Michael Black"/>
        <s v="Amanda Boyd"/>
        <s v="Rachel Bright"/>
        <s v="Rachel Wood"/>
        <s v="Jamie Nunez"/>
        <s v="Rebecca Thompson"/>
        <s v="Nancy Wilson"/>
        <s v="Erica Sanchez"/>
        <s v="Steven Walker"/>
        <s v="Janet Schultz"/>
        <s v="Matthew Clark"/>
        <s v="Tara Moore"/>
        <s v="Richard Vega"/>
        <s v="Adam Jensen"/>
        <s v="Terry Jones"/>
        <s v="Mary Jacobson"/>
        <s v="Dakota Fleming"/>
        <s v="Gary Washington"/>
        <s v="Mary Burgess"/>
        <s v="Kim Daniels"/>
        <s v="David Guzman"/>
        <s v="Larry Roberts"/>
        <s v="Andrew Clark"/>
        <s v="Eric Lewis"/>
        <s v="Richard Medina"/>
        <s v="Deborah Snyder"/>
        <s v="Connie Martinez"/>
        <s v="Paul Parker"/>
        <s v="Larry Smith"/>
        <s v="Donna Johnson"/>
        <s v="Jessica Chandler"/>
        <s v="Pamela Cunningham"/>
        <s v="Susan Griffin"/>
        <s v="Thomas Williams"/>
        <s v="Corey King"/>
        <s v="Amy Baxter"/>
        <s v="Deborah Vasquez"/>
        <s v="Jessica Garcia"/>
        <s v="Christian Chapman"/>
        <s v="Mike Miller"/>
        <s v="Felicia Smith"/>
        <s v="Amber Baxter"/>
        <s v="Heather Garcia"/>
        <s v="Antonio Galloway"/>
        <s v="David Colon"/>
        <s v="Michael Jones"/>
        <s v="Yvonne Richardson"/>
        <s v="Robert Foster"/>
        <s v="Leslie Gomez"/>
        <s v="Barbara Owens"/>
        <s v="Darren Jensen"/>
        <s v="Alexander Brown"/>
        <s v="Frederick Nielsen"/>
        <s v="Cynthia Turner"/>
        <s v="Theresa Parker"/>
        <s v="Joseph Gibbs"/>
        <s v="Jackie Brooks"/>
        <s v="Seth Benson"/>
        <s v="Cheryl Adams"/>
        <s v="Emily Barnes"/>
        <s v="Robert Moreno"/>
        <s v="Christina Mitchell"/>
        <s v="Donald Jacobson"/>
        <s v="Kimberly Wilcox"/>
        <s v="Monica Torres"/>
        <s v="Debra Fields"/>
        <s v="Adam Carlson"/>
        <s v="Bryan Newton"/>
        <s v="Kelly Hardin"/>
        <s v="Harold Gray"/>
        <s v="Jose Thomas"/>
        <s v="Jose Jackson"/>
        <s v="Sandra Johns"/>
        <s v="Courtney Yang"/>
        <s v="Henry Kelley"/>
        <s v="Adam Anderson"/>
        <s v="Justin Thomas"/>
        <s v="Guy Vaughn"/>
        <s v="Andrew Terry"/>
        <s v="Michael Murphy"/>
        <s v="Robert Escobar"/>
        <s v="Mia Boyd"/>
        <s v="Paula Mann"/>
        <s v="Mark Barrett"/>
        <s v="Jeremy Burton"/>
        <s v="Christy Lewis"/>
        <s v="Robin Hebert"/>
        <s v="Eric Kennedy"/>
        <s v="David Riley"/>
        <s v="Erin Chandler"/>
        <s v="Zachary Hamilton"/>
        <s v="Robin Medina"/>
        <s v="Justin Smith"/>
        <s v="Misty Higgins"/>
        <s v="Mr. Ricky Le"/>
        <s v="Kenneth Johnson"/>
        <s v="Phillip Shelton"/>
        <s v="John Stewart"/>
        <s v="Mr. James Brown"/>
        <s v="Debra Booker"/>
        <s v="David Schmidt"/>
        <s v="Donald Ferguson"/>
        <s v="Chad Johnson"/>
        <s v="Jonathan Daniels"/>
        <s v="Hunter Powell"/>
        <s v="Kayla Woods"/>
        <s v="Paul Johnson"/>
        <s v="Keith Smith"/>
        <s v="Ruth Shaw"/>
        <s v="Douglas Patton"/>
        <s v="David Bradford"/>
        <s v="Barbara Mack"/>
        <s v="Amanda Cruz"/>
        <s v="Elizabeth Foster"/>
        <s v="Brittany Watson"/>
        <s v="Lindsey Mendoza"/>
        <s v="Karen Hancock"/>
        <s v="Kyle Mcintyre"/>
        <s v="Katherine Martin"/>
        <s v="David Barnett"/>
        <s v="Jacob Bernard"/>
        <s v="Brian Walker"/>
        <s v="Christopher Simpson"/>
        <s v="Kent Cannon"/>
        <s v="Brian Rodriguez"/>
        <s v="Robert Fowler"/>
        <s v="Bill Brown"/>
        <s v="Brian Caldwell"/>
        <s v="Michael Stanley"/>
        <s v="Veronica Chen"/>
        <s v="Krystal Krueger"/>
        <s v="Gregory Riley"/>
        <s v="Michael Franco"/>
        <s v="Daniel Beck"/>
        <s v="Andrew Webb"/>
        <s v="Virginia Sharp"/>
        <s v="Teresa Medina"/>
        <s v="Mary Sanchez"/>
        <s v="Charles Wells"/>
        <s v="Erin Walton"/>
        <s v="Julie May"/>
        <s v="Michael Mason"/>
        <s v="Alicia Hall"/>
        <s v="Cynthia Cruz"/>
        <s v="Karen Gomez"/>
        <s v="Jerry Tucker"/>
        <s v="Jackie Harper"/>
        <s v="Wendy Mcguire"/>
        <s v="Samuel Ramirez"/>
        <s v="Katherine Small"/>
        <s v="Kristin Hartman"/>
        <s v="Theresa Williams"/>
        <s v="Joseph Bell"/>
        <s v="Kimberly Young"/>
        <s v="Jessica Miller"/>
        <s v="Donna Peters"/>
        <s v="Donna Orr"/>
        <s v="Mrs. Michelle Reed"/>
        <s v="Douglas Smith"/>
        <s v="Kelly Thomas"/>
        <s v="Steven Welch"/>
        <s v="Kimberly Beck"/>
        <s v="Katherine Long"/>
        <s v="Nathan Summers"/>
        <s v="Maureen Jacobson"/>
        <s v="James Fleming"/>
        <s v="Jeremy Mclaughlin"/>
        <s v="Stephanie Kelley Dvm"/>
        <s v="Dr. Brian Smith"/>
        <s v="Brian Chambers"/>
        <s v="Amanda Hoffman"/>
        <s v="Donna Adkins"/>
        <s v="Sara Morse"/>
        <s v="Katrina Williams Md"/>
        <s v="Matthew Carney"/>
        <s v="Jason Bray"/>
        <s v="Amber Waters"/>
        <s v="Crystal Garza"/>
        <s v="Sarah Peterson"/>
        <s v="Jerry Torres"/>
        <s v="Danielle Pacheco"/>
        <s v="James Love"/>
        <s v="Kimberly Foster"/>
        <s v="John Hancock"/>
        <s v="Victoria Garcia"/>
        <s v="Carlos Spence"/>
        <s v="Victor Warner"/>
        <s v="Luis Nolan"/>
        <s v="Xavier Richardson"/>
        <s v="Brianna Shea"/>
        <s v="Mark Moore"/>
        <s v="Michael Rogers"/>
        <s v="Tina Gonzalez"/>
        <s v="Bethany Mcpherson"/>
        <s v="Rodney Lopez"/>
        <s v="Jacob Patel"/>
        <s v="Jamie Andrews"/>
        <s v="Scott Washington"/>
        <s v="Stacy Hartman"/>
        <s v="Kevin Fields"/>
        <s v="Debra Buchanan"/>
        <s v="Bob Shaw"/>
        <s v="Erin Carr"/>
        <s v="Jon Duarte"/>
        <s v="Willie Rose"/>
        <s v="Ashley Edwards"/>
        <s v="Emily Joseph"/>
        <s v="Kerry Rowe"/>
        <s v="Darrell Mendez"/>
        <s v="Benjamin Brown"/>
        <s v="Manuel Vargas"/>
        <s v="Heidi Hamilton"/>
        <s v="Matthew Pratt"/>
        <s v="Jennifer Anderson"/>
        <s v="Sarah Harper Dds"/>
        <s v="Erica Riley"/>
        <s v="Mitchell Sims"/>
        <s v="Dawn Collins"/>
        <s v="Jennifer Johnston"/>
        <s v="Jacob Andrade"/>
        <s v="Mrs. Kayla Peterson"/>
        <s v="Hannah Herrera"/>
        <s v="Judith Watson"/>
        <s v="Angela Burton"/>
        <s v="Stephen Cooper"/>
        <s v="Ryan Hughes"/>
        <s v="Anna Yoder"/>
        <s v="Adam Davis"/>
        <s v="April Hood"/>
        <s v="Jesse Edwards"/>
        <s v="Joy Armstrong"/>
        <s v="Mark Norton"/>
        <s v="Veronica Fry"/>
        <s v="Diana Jones"/>
        <s v="Christopher Chen"/>
        <s v="Ryan Collins"/>
        <s v="Luis Kim"/>
        <s v="Daisy Rodriguez"/>
        <s v="Caleb Kennedy"/>
        <s v="Jason Houston"/>
        <s v="Lauren Medina"/>
        <s v="Allison Ramos"/>
        <s v="Karen Duke"/>
        <s v="Stephanie Bryant"/>
        <s v="Daniel Bender"/>
        <s v="Amanda White"/>
        <s v="Tracy Harris"/>
        <s v="Brian Vincent"/>
        <s v="Kathryn Young"/>
        <s v="Connor Brown"/>
        <s v="Kimberly Mcdonald"/>
        <s v="James Nguyen"/>
        <s v="Matthew Wilson"/>
        <s v="Kimberly Rangel"/>
        <s v="Brian Mitchell"/>
        <s v="Karen Grimes"/>
        <s v="Richard Walker"/>
        <s v="Jamie Ford"/>
        <s v="Sarah Montgomery"/>
        <s v="Allison Salazar"/>
        <s v="Glenn Bond"/>
        <s v="Savannah Beltran"/>
        <s v="Erika Turner"/>
        <s v="William Coleman Md"/>
        <s v="Wanda Cox"/>
        <s v="Susan Stanton"/>
        <s v="Paula Stone"/>
        <s v="Angie Smith"/>
        <s v="Kayla Norris"/>
        <s v="Matthew Morse"/>
        <s v="Heather Diaz"/>
        <s v="Andrew Gordon"/>
        <s v="Ashley Gomez"/>
        <s v="John Wallace"/>
        <s v="Michael Morris"/>
        <s v="Scott Vega"/>
        <s v="Lynn Dorsey"/>
        <s v="Vanessa Jackson"/>
        <s v="Nicholas Jones"/>
        <s v="Tiffany Sullivan"/>
        <s v="William Harris"/>
        <s v="Julie Smith"/>
        <s v="Patrick Morrison"/>
        <s v="Traci Hopkins"/>
        <s v="Adam Hall"/>
        <s v="Jennifer Perez"/>
        <s v="Natalie Rodriguez"/>
        <s v="Jacob Diaz"/>
        <s v="Tyler Cunningham"/>
        <s v="Megan Smith"/>
        <s v="Karen Griffin"/>
        <s v="Ian Castillo"/>
        <s v="Andre Jones"/>
        <s v="Sean Hernandez"/>
        <s v="Katrina Jones"/>
        <s v="Steven Scott"/>
        <s v="Lydia Baker"/>
        <s v="Donald Clark"/>
        <s v="Dana Ewing"/>
        <s v="Kevin Pearson"/>
        <s v="Lisa Norris"/>
        <s v="Terri Stewart"/>
        <s v="Taylor Hicks"/>
        <s v="John Moran"/>
        <s v="David Wright"/>
        <s v="Megan Morales"/>
        <s v="Brandi Thomas"/>
        <s v="Vanessa Brown"/>
        <s v="Lisa Smith"/>
        <s v="April Randall Dds"/>
        <s v="Russell Zimmerman"/>
        <s v="Kyle Evans"/>
        <s v="Andrea Myers"/>
        <s v="Melinda Cannon"/>
        <s v="Gregory Tapia"/>
        <s v="Michael Campbell"/>
        <s v="Ellen Miller"/>
        <s v="Tammy Thomas"/>
        <s v="John Oliver"/>
        <s v="Jeffrey Martin"/>
        <s v="Ana Hunt"/>
        <s v="Rachel Moore"/>
        <s v="Brian Olson"/>
        <s v="Mark Morrison"/>
        <s v="Madeline Sharp"/>
        <s v="Patrick Russell"/>
        <s v="Melissa Khan"/>
        <s v="Rachel Sanchez"/>
        <s v="Clifford Ramirez"/>
        <s v="Mary Chandler"/>
        <s v="Maria Thomas"/>
        <s v="Dawn Browning"/>
        <s v="Mark Kelley"/>
        <s v="Megan Mccann"/>
        <s v="David Whitney"/>
        <s v="Dr. Mary Day"/>
        <s v="Tammie Melendez"/>
        <s v="Tanya Eaton"/>
        <s v="Helen Jackson"/>
        <s v="Evan Marquez"/>
        <s v="Audrey Torres"/>
        <s v="Justin Hall"/>
        <s v="Charles Kemp"/>
        <s v="Melissa Price"/>
        <s v="Tony Burke"/>
        <s v="Gary Murray"/>
        <s v="Donald Mitchell"/>
        <s v="Kevin Mendoza Dvm"/>
        <s v="Carla Cole"/>
        <s v="Gary Wood"/>
        <s v="Rachel Holloway"/>
        <s v="Bradley Jones"/>
        <s v="Christina Simmons"/>
        <s v="Becky Sanchez"/>
        <s v="Kimberly Sullivan"/>
        <s v="Robert Williams"/>
        <s v="Nathan Mathews"/>
        <s v="Tiffany Lowery"/>
        <s v="Rebecca Goodwin"/>
        <s v="Gregory Gonzalez"/>
        <s v="Brianna Hernandez"/>
        <s v="Gregory Brown"/>
        <s v="Anna Jennings"/>
        <s v="Dennis Murphy"/>
        <s v="Melissa Williams"/>
        <s v="Cynthia Dunn"/>
        <s v="Christopher Guzman"/>
        <s v="Scott Nguyen"/>
        <s v="Rhonda Oconnor"/>
        <s v="Joshua Martin"/>
        <s v="Aaron Perkins"/>
        <s v="Erika Richards"/>
        <s v="Heather Foster"/>
        <s v="Sherri Buckley"/>
        <s v="Darryl Case"/>
        <s v="Anthony Hughes"/>
        <s v="Thomas Clark Md"/>
        <s v="Martin Herring"/>
        <s v="William Bryan"/>
        <s v="Heather Stokes"/>
        <s v="Vickie Johnson"/>
        <s v="Vincent Kemp"/>
        <s v="Julia Mcmillan"/>
        <s v="Robin Diaz"/>
        <s v="April Spears"/>
        <s v="Benjamin Williams"/>
        <s v="Cassandra Bishop"/>
        <s v="Andrea Kennedy"/>
        <s v="James Harris"/>
        <s v="Ronald Davis"/>
        <s v="Cheryl Bailey"/>
        <s v="Jose Price"/>
        <s v="Christopher Williams"/>
        <s v="James Fox"/>
        <s v="Charles Nguyen"/>
        <s v="Douglas Foster"/>
        <s v="George Singleton"/>
        <s v="Cynthia Baker"/>
        <s v="Andrea Lam"/>
        <s v="Frank Anderson"/>
        <s v="Derek Doyle"/>
        <s v="Kathy Lawson"/>
        <s v="Daniel Love"/>
        <s v="Rachel Wells"/>
        <s v="Donna Stephens"/>
        <s v="Autumn Hill"/>
        <s v="Daniel Morris"/>
        <s v="Jennifer Paul"/>
        <s v="Courtney Foley"/>
        <s v="Stephanie Mercer"/>
        <s v="Jacob Mckay"/>
        <s v="James Berger"/>
        <s v="Daniel Smith"/>
        <s v="Victoria Hansen"/>
        <s v="Jennifer Martin"/>
        <s v="Chelsea Harris"/>
        <s v="Lauren Ayers"/>
        <s v="Robert Bass"/>
        <s v="Kimberly Johnson"/>
        <s v="Anthony Mccoy"/>
        <s v="Marvin Hicks"/>
      </sharedItems>
    </cacheField>
    <cacheField name="department" numFmtId="0">
      <sharedItems/>
    </cacheField>
    <cacheField name="department fixed" numFmtId="0">
      <sharedItems count="4">
        <s v="Cardiology"/>
        <s v="Orthopedics"/>
        <s v="Neurology"/>
        <s v="General"/>
      </sharedItems>
    </cacheField>
    <cacheField name="billing_amount" numFmtId="0">
      <sharedItems containsBlank="1"/>
    </cacheField>
    <cacheField name="identify currency" numFmtId="0">
      <sharedItems/>
    </cacheField>
    <cacheField name="extract number" numFmtId="0">
      <sharedItems containsMixedTypes="1" containsNumber="1" minValue="51.38" maxValue="499.75"/>
    </cacheField>
    <cacheField name="billing_amount USD" numFmtId="0">
      <sharedItems containsMixedTypes="1" containsNumber="1" minValue="0.66659999999999997" maxValue="634.58090000000004"/>
    </cacheField>
    <cacheField name="follow_up_required" numFmtId="0">
      <sharedItems containsMixedTypes="1" containsNumber="1" containsInteger="1" minValue="0" maxValue="1"/>
    </cacheField>
    <cacheField name="follow_up_required fix" numFmtId="0">
      <sharedItems count="3">
        <s v="N/A"/>
        <s v="Yes"/>
        <s v="No"/>
      </sharedItems>
    </cacheField>
    <cacheField name="count duplicate_ids" numFmtId="0">
      <sharedItems containsSemiMixedTypes="0" containsString="0" containsNumber="1" containsInteger="1" minValue="3" maxValue="17"/>
    </cacheField>
    <cacheField name="count duplicate_ids and name" numFmtId="0">
      <sharedItems containsSemiMixedTypes="0" containsString="0" containsNumber="1" containsInteger="1" minValue="1" maxValue="1"/>
    </cacheField>
    <cacheField name="age range" numFmtId="0">
      <sharedItems count="3">
        <s v="Elderly"/>
        <s v="Middle Aged"/>
        <s v="Young Adult"/>
      </sharedItems>
    </cacheField>
  </cacheFields>
  <extLst>
    <ext xmlns:x14="http://schemas.microsoft.com/office/spreadsheetml/2009/9/main" uri="{725AE2AE-9491-48be-B2B4-4EB974FC3084}">
      <x14:pivotCacheDefinition pivotCacheId="18424280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80"/>
    <x v="0"/>
    <s v="Tammy Williams"/>
    <n v="76"/>
    <x v="0"/>
    <x v="0"/>
    <d v="2026-02-26T00:00:00"/>
    <d v="2024-12-03T00:00:00"/>
    <s v="Christopher Graham"/>
    <x v="0"/>
    <s v="Cardiology"/>
    <x v="0"/>
    <s v="¬£425.8"/>
    <s v="GBP"/>
    <n v="425.8"/>
    <n v="540.76600000000008"/>
    <n v="1"/>
    <x v="0"/>
    <n v="11"/>
    <n v="1"/>
    <x v="0"/>
  </r>
  <r>
    <n v="1074"/>
    <x v="1"/>
    <s v="Megan Strickland"/>
    <n v="69"/>
    <x v="1"/>
    <x v="0"/>
    <d v="2025-05-23T00:00:00"/>
    <d v="2024-06-12T00:00:00"/>
    <s v="Brandon Lewis"/>
    <x v="1"/>
    <s v="Orthopedics"/>
    <x v="1"/>
    <s v="‚Ç¨344.26"/>
    <s v="EUR"/>
    <n v="344.26"/>
    <n v="375.24340000000001"/>
    <s v="Y"/>
    <x v="1"/>
    <n v="17"/>
    <n v="1"/>
    <x v="0"/>
  </r>
  <r>
    <n v="1067"/>
    <x v="2"/>
    <s v="Amanda Schroeder"/>
    <n v="79"/>
    <x v="2"/>
    <x v="1"/>
    <d v="2025-11-30T00:00:00"/>
    <d v="2024-08-05T00:00:00"/>
    <s v="Deanna Edwards"/>
    <x v="2"/>
    <s v="Neurology"/>
    <x v="2"/>
    <s v="‚Ç¨203.34"/>
    <s v="EUR"/>
    <n v="203.34"/>
    <n v="221.64060000000001"/>
    <s v="Y"/>
    <x v="1"/>
    <n v="9"/>
    <n v="1"/>
    <x v="0"/>
  </r>
  <r>
    <n v="1072"/>
    <x v="3"/>
    <s v="Anthony Mcpherson"/>
    <n v="47"/>
    <x v="1"/>
    <x v="0"/>
    <d v="2025-05-18T00:00:00"/>
    <d v="2024-09-09T00:00:00"/>
    <s v="Karen Parsons"/>
    <x v="3"/>
    <s v="General"/>
    <x v="3"/>
    <s v="Rs85.76"/>
    <s v="INR"/>
    <n v="85.76"/>
    <n v="1.02912"/>
    <s v="No"/>
    <x v="2"/>
    <n v="9"/>
    <n v="1"/>
    <x v="1"/>
  </r>
  <r>
    <n v="1092"/>
    <x v="4"/>
    <s v="Benjamin Brown"/>
    <n v="45"/>
    <x v="3"/>
    <x v="2"/>
    <d v="2026-03-07T00:00:00"/>
    <d v="2024-08-17T00:00:00"/>
    <s v="Andrea Hernandez"/>
    <x v="4"/>
    <s v="General"/>
    <x v="3"/>
    <s v="$84.44"/>
    <s v="USD"/>
    <n v="84.44"/>
    <n v="84.44"/>
    <n v="1"/>
    <x v="0"/>
    <n v="11"/>
    <n v="1"/>
    <x v="1"/>
  </r>
  <r>
    <n v="1057"/>
    <x v="5"/>
    <s v="Joe Sharp"/>
    <n v="78"/>
    <x v="3"/>
    <x v="2"/>
    <d v="2025-09-26T00:00:00"/>
    <d v="2025-08-31T00:00:00"/>
    <s v="Kimberly Fields"/>
    <x v="5"/>
    <s v="General"/>
    <x v="3"/>
    <m/>
    <s v="N/A"/>
    <s v=""/>
    <s v="N/A"/>
    <s v="Yes"/>
    <x v="1"/>
    <n v="7"/>
    <n v="1"/>
    <x v="0"/>
  </r>
  <r>
    <n v="1018"/>
    <x v="6"/>
    <s v="Alexander Harris"/>
    <n v="22"/>
    <x v="0"/>
    <x v="0"/>
    <d v="2025-10-30T00:00:00"/>
    <d v="2024-12-29T00:00:00"/>
    <s v="Jim Jones"/>
    <x v="6"/>
    <s v="Cardiology"/>
    <x v="0"/>
    <s v="‚Ç¨99.0"/>
    <s v="EUR"/>
    <n v="99"/>
    <n v="107.91000000000001"/>
    <s v="No"/>
    <x v="2"/>
    <n v="14"/>
    <n v="1"/>
    <x v="2"/>
  </r>
  <r>
    <n v="1074"/>
    <x v="7"/>
    <s v="Raymond Williams"/>
    <n v="57"/>
    <x v="2"/>
    <x v="1"/>
    <d v="2025-04-23T00:00:00"/>
    <d v="2025-03-28T00:00:00"/>
    <s v="James Brooks"/>
    <x v="7"/>
    <s v="Neurology"/>
    <x v="2"/>
    <s v="Rs374.63"/>
    <s v="INR"/>
    <n v="374.63"/>
    <n v="4.4955600000000002"/>
    <s v="No"/>
    <x v="2"/>
    <n v="17"/>
    <n v="1"/>
    <x v="1"/>
  </r>
  <r>
    <n v="1041"/>
    <x v="8"/>
    <s v="Dustin Willis"/>
    <n v="54"/>
    <x v="0"/>
    <x v="0"/>
    <d v="2025-08-22T00:00:00"/>
    <d v="2024-11-07T00:00:00"/>
    <s v="Jamie Hill"/>
    <x v="8"/>
    <s v="General"/>
    <x v="3"/>
    <s v="$452.37"/>
    <s v="USD"/>
    <n v="452.37"/>
    <n v="452.37"/>
    <s v="Yes"/>
    <x v="1"/>
    <n v="8"/>
    <n v="1"/>
    <x v="1"/>
  </r>
  <r>
    <n v="1011"/>
    <x v="9"/>
    <s v="Tina Gallagher"/>
    <n v="45"/>
    <x v="2"/>
    <x v="1"/>
    <d v="2026-03-16T00:00:00"/>
    <d v="2025-12-12T00:00:00"/>
    <s v="Tiffany Gates MD"/>
    <x v="9"/>
    <s v="Neurology"/>
    <x v="2"/>
    <s v="‚Ç¨494.97"/>
    <s v="EUR"/>
    <n v="494.97"/>
    <n v="539.51730000000009"/>
    <s v="Yes"/>
    <x v="1"/>
    <n v="7"/>
    <n v="1"/>
    <x v="1"/>
  </r>
  <r>
    <n v="1086"/>
    <x v="10"/>
    <s v="Robert Guerrero"/>
    <n v="54"/>
    <x v="4"/>
    <x v="1"/>
    <d v="2025-04-24T00:00:00"/>
    <d v="2024-10-07T00:00:00"/>
    <s v="Shane Brown"/>
    <x v="10"/>
    <s v="Cardiology"/>
    <x v="0"/>
    <s v="¬£91.91"/>
    <s v="GBP"/>
    <n v="91.91"/>
    <n v="116.7257"/>
    <s v="Y"/>
    <x v="1"/>
    <n v="9"/>
    <n v="1"/>
    <x v="1"/>
  </r>
  <r>
    <n v="1041"/>
    <x v="11"/>
    <s v="Karen Walker"/>
    <n v="68"/>
    <x v="1"/>
    <x v="0"/>
    <d v="2026-03-07T00:00:00"/>
    <d v="2024-04-24T00:00:00"/>
    <s v="Natalie White"/>
    <x v="11"/>
    <s v="General"/>
    <x v="3"/>
    <s v="$82.88"/>
    <s v="USD"/>
    <n v="82.88"/>
    <n v="82.88"/>
    <s v="Yes"/>
    <x v="1"/>
    <n v="8"/>
    <n v="1"/>
    <x v="0"/>
  </r>
  <r>
    <n v="1057"/>
    <x v="12"/>
    <s v="Chris Rice"/>
    <n v="61"/>
    <x v="3"/>
    <x v="2"/>
    <d v="2025-07-31T00:00:00"/>
    <d v="2024-05-05T00:00:00"/>
    <s v="Amy Olson"/>
    <x v="12"/>
    <s v="Neurology"/>
    <x v="2"/>
    <s v="Rs277.14"/>
    <s v="INR"/>
    <n v="277.14"/>
    <n v="3.3256799999999997"/>
    <s v="N"/>
    <x v="2"/>
    <n v="7"/>
    <n v="1"/>
    <x v="1"/>
  </r>
  <r>
    <n v="1022"/>
    <x v="13"/>
    <s v="Michael Mack"/>
    <n v="70"/>
    <x v="2"/>
    <x v="1"/>
    <d v="2025-09-21T00:00:00"/>
    <d v="2024-11-06T00:00:00"/>
    <s v="John Larsen II"/>
    <x v="13"/>
    <s v="Orthopedics"/>
    <x v="1"/>
    <s v="‚Ç¨411.01"/>
    <s v="EUR"/>
    <n v="411.01"/>
    <n v="448.0009"/>
    <s v="Y"/>
    <x v="1"/>
    <n v="9"/>
    <n v="1"/>
    <x v="0"/>
  </r>
  <r>
    <n v="1046"/>
    <x v="14"/>
    <s v="Andrea Hubbard"/>
    <n v="36"/>
    <x v="1"/>
    <x v="0"/>
    <d v="2026-03-12T00:00:00"/>
    <d v="2025-11-08T00:00:00"/>
    <s v="Andrea Gates"/>
    <x v="14"/>
    <s v="Cardiology"/>
    <x v="0"/>
    <s v="¬£67.51"/>
    <s v="GBP"/>
    <n v="67.510000000000005"/>
    <n v="85.737700000000004"/>
    <s v="N"/>
    <x v="2"/>
    <n v="8"/>
    <n v="1"/>
    <x v="2"/>
  </r>
  <r>
    <n v="1025"/>
    <x v="15"/>
    <s v="Brian Jones"/>
    <n v="23"/>
    <x v="0"/>
    <x v="0"/>
    <d v="2026-02-06T00:00:00"/>
    <d v="2025-03-09T00:00:00"/>
    <s v="Robert Navarro"/>
    <x v="15"/>
    <s v="Orthopedics"/>
    <x v="1"/>
    <s v="‚Ç¨163.99"/>
    <s v="EUR"/>
    <n v="163.99"/>
    <n v="178.74910000000003"/>
    <s v="Y"/>
    <x v="1"/>
    <n v="9"/>
    <n v="1"/>
    <x v="2"/>
  </r>
  <r>
    <n v="1027"/>
    <x v="16"/>
    <s v="Kelly Olsen"/>
    <n v="72"/>
    <x v="4"/>
    <x v="1"/>
    <d v="2025-08-27T00:00:00"/>
    <d v="2025-02-13T00:00:00"/>
    <s v="Christopher Bryant"/>
    <x v="16"/>
    <s v="Cardiology"/>
    <x v="0"/>
    <s v="¬£252.38"/>
    <s v="GBP"/>
    <n v="252.38"/>
    <n v="320.52260000000001"/>
    <s v="Yes"/>
    <x v="1"/>
    <n v="12"/>
    <n v="1"/>
    <x v="0"/>
  </r>
  <r>
    <n v="1059"/>
    <x v="17"/>
    <s v="Andrew Oconnor"/>
    <n v="66"/>
    <x v="0"/>
    <x v="0"/>
    <d v="2025-11-11T00:00:00"/>
    <d v="2024-12-01T00:00:00"/>
    <s v="Christina Hill"/>
    <x v="17"/>
    <s v="Cardiology"/>
    <x v="0"/>
    <s v="$153.07"/>
    <s v="USD"/>
    <n v="153.07"/>
    <n v="153.07"/>
    <s v="Y"/>
    <x v="1"/>
    <n v="13"/>
    <n v="1"/>
    <x v="0"/>
  </r>
  <r>
    <n v="1086"/>
    <x v="18"/>
    <s v="Dennis Hurley"/>
    <n v="81"/>
    <x v="2"/>
    <x v="1"/>
    <d v="2025-04-10T00:00:00"/>
    <d v="2024-12-16T00:00:00"/>
    <s v="Daniel Jacobson"/>
    <x v="18"/>
    <s v="General"/>
    <x v="3"/>
    <s v="Rs329.3"/>
    <s v="INR"/>
    <n v="329.3"/>
    <n v="3.9516"/>
    <n v="1"/>
    <x v="0"/>
    <n v="9"/>
    <n v="1"/>
    <x v="0"/>
  </r>
  <r>
    <n v="1033"/>
    <x v="19"/>
    <s v="Paul Brock"/>
    <n v="76"/>
    <x v="0"/>
    <x v="0"/>
    <d v="2025-11-05T00:00:00"/>
    <d v="2025-05-23T00:00:00"/>
    <s v="Kayla Savage"/>
    <x v="19"/>
    <s v="Neurology"/>
    <x v="2"/>
    <s v="‚Ç¨135.45"/>
    <s v="EUR"/>
    <n v="135.44999999999999"/>
    <n v="147.6405"/>
    <s v="Yes"/>
    <x v="1"/>
    <n v="11"/>
    <n v="1"/>
    <x v="0"/>
  </r>
  <r>
    <n v="1069"/>
    <x v="20"/>
    <s v="Jennifer Aguirre"/>
    <n v="90"/>
    <x v="4"/>
    <x v="1"/>
    <d v="2025-10-14T00:00:00"/>
    <d v="2024-05-28T00:00:00"/>
    <s v="Richard Huang"/>
    <x v="20"/>
    <s v="Neurology"/>
    <x v="2"/>
    <s v="Rs72.73"/>
    <s v="INR"/>
    <n v="72.73"/>
    <n v="0.87276000000000009"/>
    <s v="N"/>
    <x v="2"/>
    <n v="10"/>
    <n v="1"/>
    <x v="0"/>
  </r>
  <r>
    <n v="1097"/>
    <x v="21"/>
    <s v="Todd Wilson"/>
    <n v="56"/>
    <x v="4"/>
    <x v="1"/>
    <d v="2025-05-15T00:00:00"/>
    <d v="2024-05-05T00:00:00"/>
    <s v="Rebecca Harrington"/>
    <x v="21"/>
    <s v="Orthopedics"/>
    <x v="1"/>
    <s v="Rs258.64"/>
    <s v="INR"/>
    <n v="258.64"/>
    <n v="3.1036799999999998"/>
    <s v="Y"/>
    <x v="1"/>
    <n v="10"/>
    <n v="1"/>
    <x v="1"/>
  </r>
  <r>
    <n v="1064"/>
    <x v="22"/>
    <s v="Jeremiah Cole"/>
    <n v="88"/>
    <x v="0"/>
    <x v="0"/>
    <d v="2026-01-30T00:00:00"/>
    <d v="2024-08-12T00:00:00"/>
    <s v="Louis Turner"/>
    <x v="22"/>
    <s v="General"/>
    <x v="3"/>
    <s v="$203.61"/>
    <s v="USD"/>
    <n v="203.61"/>
    <n v="203.61"/>
    <s v="No"/>
    <x v="2"/>
    <n v="5"/>
    <n v="1"/>
    <x v="0"/>
  </r>
  <r>
    <n v="1089"/>
    <x v="23"/>
    <s v="Vincent Brown"/>
    <n v="32"/>
    <x v="1"/>
    <x v="0"/>
    <d v="2025-05-11T00:00:00"/>
    <d v="2024-07-06T00:00:00"/>
    <s v="Brianna Garcia"/>
    <x v="23"/>
    <s v="Neurology"/>
    <x v="2"/>
    <s v="Rs236.22"/>
    <s v="INR"/>
    <n v="236.22"/>
    <n v="2.8346399999999998"/>
    <s v="N"/>
    <x v="2"/>
    <n v="16"/>
    <n v="1"/>
    <x v="2"/>
  </r>
  <r>
    <n v="1086"/>
    <x v="24"/>
    <s v="Tracy Mcdonald"/>
    <n v="34"/>
    <x v="1"/>
    <x v="0"/>
    <d v="2025-07-31T00:00:00"/>
    <d v="2024-04-09T00:00:00"/>
    <s v="Daniel Gutierrez"/>
    <x v="24"/>
    <s v="Cardiology"/>
    <x v="0"/>
    <s v="Rs292.23"/>
    <s v="INR"/>
    <n v="292.23"/>
    <n v="3.5067600000000003"/>
    <s v="Y"/>
    <x v="1"/>
    <n v="9"/>
    <n v="1"/>
    <x v="2"/>
  </r>
  <r>
    <n v="1073"/>
    <x v="25"/>
    <s v="Phillip Simpson"/>
    <n v="88"/>
    <x v="3"/>
    <x v="2"/>
    <d v="2025-06-27T00:00:00"/>
    <d v="2025-05-06T00:00:00"/>
    <s v="Darren Brooks"/>
    <x v="25"/>
    <s v="General"/>
    <x v="3"/>
    <s v="$51.72"/>
    <s v="USD"/>
    <n v="51.72"/>
    <n v="51.72"/>
    <s v="Y"/>
    <x v="1"/>
    <n v="11"/>
    <n v="1"/>
    <x v="0"/>
  </r>
  <r>
    <n v="1093"/>
    <x v="26"/>
    <s v="Penny Friedman"/>
    <n v="20"/>
    <x v="4"/>
    <x v="1"/>
    <d v="2026-03-23T00:00:00"/>
    <d v="2025-06-13T00:00:00"/>
    <s v="Janice Taylor"/>
    <x v="26"/>
    <s v="Cardiology"/>
    <x v="0"/>
    <s v="¬£218.84"/>
    <s v="GBP"/>
    <n v="218.84"/>
    <n v="277.92680000000001"/>
    <n v="1"/>
    <x v="0"/>
    <n v="11"/>
    <n v="1"/>
    <x v="2"/>
  </r>
  <r>
    <n v="1084"/>
    <x v="27"/>
    <s v="Cynthia Hensley"/>
    <n v="86"/>
    <x v="4"/>
    <x v="1"/>
    <d v="2026-03-08T00:00:00"/>
    <d v="2024-07-09T00:00:00"/>
    <s v="David Robles"/>
    <x v="27"/>
    <s v="Neurology"/>
    <x v="2"/>
    <s v="Rs160.38"/>
    <s v="INR"/>
    <n v="160.38"/>
    <n v="1.92456"/>
    <s v="Yes"/>
    <x v="1"/>
    <n v="15"/>
    <n v="1"/>
    <x v="0"/>
  </r>
  <r>
    <n v="1002"/>
    <x v="28"/>
    <s v="Cassandra Gardner"/>
    <n v="42"/>
    <x v="2"/>
    <x v="1"/>
    <d v="2025-10-14T00:00:00"/>
    <d v="2024-11-04T00:00:00"/>
    <s v="Gregory Kirk"/>
    <x v="28"/>
    <s v="Neurology"/>
    <x v="2"/>
    <s v="Rs342.38"/>
    <s v="INR"/>
    <n v="342.38"/>
    <n v="4.1085599999999998"/>
    <n v="0"/>
    <x v="0"/>
    <n v="7"/>
    <n v="1"/>
    <x v="1"/>
  </r>
  <r>
    <n v="1030"/>
    <x v="29"/>
    <s v="Patrick Saunders"/>
    <n v="18"/>
    <x v="4"/>
    <x v="1"/>
    <d v="2025-09-11T00:00:00"/>
    <d v="2024-10-05T00:00:00"/>
    <s v="Casey Wagner"/>
    <x v="29"/>
    <s v="Orthopedics"/>
    <x v="1"/>
    <s v="Rs208.91"/>
    <s v="INR"/>
    <n v="208.91"/>
    <n v="2.50692"/>
    <s v="N"/>
    <x v="2"/>
    <n v="11"/>
    <n v="1"/>
    <x v="2"/>
  </r>
  <r>
    <n v="1043"/>
    <x v="30"/>
    <s v="Angel Kelly"/>
    <n v="82"/>
    <x v="0"/>
    <x v="0"/>
    <d v="2025-12-15T00:00:00"/>
    <d v="2025-07-21T00:00:00"/>
    <s v="Stephanie Taylor"/>
    <x v="30"/>
    <s v="General"/>
    <x v="3"/>
    <s v="Rs426.86"/>
    <s v="INR"/>
    <n v="426.86"/>
    <n v="5.1223200000000002"/>
    <s v="No"/>
    <x v="2"/>
    <n v="12"/>
    <n v="1"/>
    <x v="0"/>
  </r>
  <r>
    <n v="1056"/>
    <x v="31"/>
    <s v="Heather Baker"/>
    <n v="67"/>
    <x v="0"/>
    <x v="0"/>
    <d v="2025-09-13T00:00:00"/>
    <d v="2025-01-07T00:00:00"/>
    <s v="Andrew Thomas"/>
    <x v="31"/>
    <s v="Orthopedics"/>
    <x v="1"/>
    <s v="¬£215.31"/>
    <s v="GBP"/>
    <n v="215.31"/>
    <n v="273.44369999999998"/>
    <s v="Yes"/>
    <x v="1"/>
    <n v="13"/>
    <n v="1"/>
    <x v="0"/>
  </r>
  <r>
    <n v="1094"/>
    <x v="32"/>
    <s v="Stacy Cunningham"/>
    <n v="32"/>
    <x v="4"/>
    <x v="1"/>
    <d v="2026-03-09T00:00:00"/>
    <d v="2024-11-14T00:00:00"/>
    <s v="Laura Klein"/>
    <x v="32"/>
    <s v="General"/>
    <x v="3"/>
    <s v="¬£413.53"/>
    <s v="GBP"/>
    <n v="413.53"/>
    <n v="525.18309999999997"/>
    <n v="0"/>
    <x v="0"/>
    <n v="8"/>
    <n v="1"/>
    <x v="2"/>
  </r>
  <r>
    <n v="1041"/>
    <x v="33"/>
    <s v="Nicole Shaw"/>
    <n v="20"/>
    <x v="4"/>
    <x v="1"/>
    <d v="2025-05-07T00:00:00"/>
    <d v="2025-01-19T00:00:00"/>
    <s v="Mr. Brian Morton"/>
    <x v="33"/>
    <s v="Neurology"/>
    <x v="2"/>
    <m/>
    <s v="N/A"/>
    <s v=""/>
    <s v="N/A"/>
    <s v="Y"/>
    <x v="1"/>
    <n v="8"/>
    <n v="1"/>
    <x v="2"/>
  </r>
  <r>
    <n v="1071"/>
    <x v="34"/>
    <s v="Michele Park"/>
    <n v="46"/>
    <x v="3"/>
    <x v="2"/>
    <d v="2026-01-10T00:00:00"/>
    <d v="2024-11-01T00:00:00"/>
    <s v="Robert Sparks"/>
    <x v="34"/>
    <s v="General"/>
    <x v="3"/>
    <s v="¬£396.22"/>
    <s v="GBP"/>
    <n v="396.22"/>
    <n v="503.19940000000003"/>
    <s v="No"/>
    <x v="2"/>
    <n v="10"/>
    <n v="1"/>
    <x v="1"/>
  </r>
  <r>
    <n v="1051"/>
    <x v="35"/>
    <s v="Leslie Silva"/>
    <n v="26"/>
    <x v="4"/>
    <x v="1"/>
    <d v="2025-06-07T00:00:00"/>
    <d v="2024-12-09T00:00:00"/>
    <s v="Thomas Brandt"/>
    <x v="35"/>
    <s v="Orthopedics"/>
    <x v="1"/>
    <s v="$340.25"/>
    <s v="USD"/>
    <n v="340.25"/>
    <n v="340.25"/>
    <s v="Yes"/>
    <x v="1"/>
    <n v="9"/>
    <n v="1"/>
    <x v="2"/>
  </r>
  <r>
    <n v="1003"/>
    <x v="36"/>
    <s v="Katelyn Smith"/>
    <n v="19"/>
    <x v="3"/>
    <x v="2"/>
    <d v="2025-10-16T00:00:00"/>
    <d v="2025-09-21T00:00:00"/>
    <s v="Robert Henry"/>
    <x v="36"/>
    <s v="Neurology"/>
    <x v="2"/>
    <s v="$481.44"/>
    <s v="USD"/>
    <n v="481.44"/>
    <n v="481.44"/>
    <n v="0"/>
    <x v="0"/>
    <n v="12"/>
    <n v="1"/>
    <x v="2"/>
  </r>
  <r>
    <n v="1053"/>
    <x v="37"/>
    <s v="John Yang"/>
    <n v="37"/>
    <x v="3"/>
    <x v="2"/>
    <d v="2025-09-15T00:00:00"/>
    <d v="2024-05-09T00:00:00"/>
    <s v="Anthony Jensen"/>
    <x v="37"/>
    <s v="Orthopedics"/>
    <x v="1"/>
    <s v="$442.77"/>
    <s v="USD"/>
    <n v="442.77"/>
    <n v="442.77"/>
    <n v="0"/>
    <x v="0"/>
    <n v="14"/>
    <n v="1"/>
    <x v="2"/>
  </r>
  <r>
    <n v="1052"/>
    <x v="38"/>
    <s v="Judy Blair"/>
    <n v="84"/>
    <x v="3"/>
    <x v="2"/>
    <d v="2025-09-08T00:00:00"/>
    <d v="2025-05-16T00:00:00"/>
    <s v="Kevin Benton"/>
    <x v="38"/>
    <s v="Orthopedics"/>
    <x v="1"/>
    <s v="Rs175.63"/>
    <s v="INR"/>
    <n v="175.63"/>
    <n v="2.1075599999999999"/>
    <n v="0"/>
    <x v="0"/>
    <n v="8"/>
    <n v="1"/>
    <x v="0"/>
  </r>
  <r>
    <n v="1018"/>
    <x v="39"/>
    <s v="Jennifer Long"/>
    <n v="55"/>
    <x v="1"/>
    <x v="0"/>
    <d v="2026-03-01T00:00:00"/>
    <d v="2024-06-03T00:00:00"/>
    <s v="Thomas Hernandez"/>
    <x v="39"/>
    <s v="Neurology"/>
    <x v="2"/>
    <s v="‚Ç¨320.66"/>
    <s v="EUR"/>
    <n v="320.66000000000003"/>
    <n v="349.51940000000008"/>
    <n v="0"/>
    <x v="0"/>
    <n v="14"/>
    <n v="1"/>
    <x v="1"/>
  </r>
  <r>
    <n v="1001"/>
    <x v="40"/>
    <s v="Melanie Gibson"/>
    <n v="50"/>
    <x v="4"/>
    <x v="1"/>
    <d v="2025-08-17T00:00:00"/>
    <d v="2024-09-23T00:00:00"/>
    <s v="Alison Stanton"/>
    <x v="40"/>
    <s v="Orthopedics"/>
    <x v="1"/>
    <s v="$268.14"/>
    <s v="USD"/>
    <n v="268.14"/>
    <n v="268.14"/>
    <s v="Yes"/>
    <x v="1"/>
    <n v="12"/>
    <n v="1"/>
    <x v="1"/>
  </r>
  <r>
    <n v="1060"/>
    <x v="41"/>
    <s v="Amanda Jones"/>
    <n v="61"/>
    <x v="3"/>
    <x v="2"/>
    <d v="2025-11-19T00:00:00"/>
    <d v="2024-04-28T00:00:00"/>
    <s v="Christopher Morris"/>
    <x v="41"/>
    <s v="General"/>
    <x v="3"/>
    <s v="‚Ç¨499.75"/>
    <s v="EUR"/>
    <n v="499.75"/>
    <n v="544.72750000000008"/>
    <s v="Y"/>
    <x v="1"/>
    <n v="6"/>
    <n v="1"/>
    <x v="1"/>
  </r>
  <r>
    <n v="1055"/>
    <x v="42"/>
    <s v="Donna West"/>
    <n v="35"/>
    <x v="4"/>
    <x v="1"/>
    <d v="2025-05-24T00:00:00"/>
    <d v="2024-07-18T00:00:00"/>
    <s v="Troy Hill"/>
    <x v="42"/>
    <s v="Orthopedics"/>
    <x v="1"/>
    <s v="Rs452.11"/>
    <s v="INR"/>
    <n v="452.11"/>
    <n v="5.4253200000000001"/>
    <n v="1"/>
    <x v="0"/>
    <n v="5"/>
    <n v="1"/>
    <x v="2"/>
  </r>
  <r>
    <n v="1063"/>
    <x v="43"/>
    <s v="Edward Sanders"/>
    <n v="29"/>
    <x v="3"/>
    <x v="2"/>
    <d v="2025-09-16T00:00:00"/>
    <d v="2025-04-29T00:00:00"/>
    <s v="Steven Bailey"/>
    <x v="43"/>
    <s v="Orthopedics"/>
    <x v="1"/>
    <s v="Rs479.77"/>
    <s v="INR"/>
    <n v="479.77"/>
    <n v="5.7572399999999995"/>
    <n v="0"/>
    <x v="0"/>
    <n v="11"/>
    <n v="1"/>
    <x v="2"/>
  </r>
  <r>
    <n v="1069"/>
    <x v="44"/>
    <s v="Michael Levine"/>
    <n v="72"/>
    <x v="3"/>
    <x v="2"/>
    <d v="2025-08-11T00:00:00"/>
    <d v="2024-04-01T00:00:00"/>
    <s v="Janet Ray"/>
    <x v="44"/>
    <s v="Neurology"/>
    <x v="2"/>
    <s v="¬£213.35"/>
    <s v="GBP"/>
    <n v="213.35"/>
    <n v="270.9545"/>
    <s v="Y"/>
    <x v="1"/>
    <n v="10"/>
    <n v="1"/>
    <x v="0"/>
  </r>
  <r>
    <n v="1095"/>
    <x v="45"/>
    <s v="Loretta Richardson"/>
    <n v="29"/>
    <x v="3"/>
    <x v="2"/>
    <d v="2025-08-22T00:00:00"/>
    <d v="2025-04-25T00:00:00"/>
    <s v="Shane Jackson"/>
    <x v="45"/>
    <s v="Neurology"/>
    <x v="2"/>
    <s v="Rs120.34"/>
    <s v="INR"/>
    <n v="120.34"/>
    <n v="1.44408"/>
    <s v="Yes"/>
    <x v="1"/>
    <n v="12"/>
    <n v="1"/>
    <x v="2"/>
  </r>
  <r>
    <n v="1005"/>
    <x v="46"/>
    <s v="Kathleen Jones"/>
    <n v="49"/>
    <x v="3"/>
    <x v="2"/>
    <d v="2025-06-12T00:00:00"/>
    <d v="2024-08-11T00:00:00"/>
    <s v="Diana Baker"/>
    <x v="46"/>
    <s v="Cardiology"/>
    <x v="0"/>
    <s v="Rs135.43"/>
    <s v="INR"/>
    <n v="135.43"/>
    <n v="1.6251600000000002"/>
    <s v="N"/>
    <x v="2"/>
    <n v="13"/>
    <n v="1"/>
    <x v="1"/>
  </r>
  <r>
    <n v="1001"/>
    <x v="47"/>
    <s v="Michael Allen"/>
    <n v="64"/>
    <x v="0"/>
    <x v="0"/>
    <d v="2025-07-29T00:00:00"/>
    <d v="2024-06-08T00:00:00"/>
    <s v="Brian Osborne DVM"/>
    <x v="47"/>
    <s v="Orthopedics"/>
    <x v="1"/>
    <s v="‚Ç¨214.44"/>
    <s v="EUR"/>
    <n v="214.44"/>
    <n v="233.73960000000002"/>
    <s v="N"/>
    <x v="2"/>
    <n v="12"/>
    <n v="1"/>
    <x v="1"/>
  </r>
  <r>
    <n v="1024"/>
    <x v="48"/>
    <s v="Kari Jackson"/>
    <n v="34"/>
    <x v="0"/>
    <x v="0"/>
    <d v="2025-10-01T00:00:00"/>
    <d v="2024-10-13T00:00:00"/>
    <s v="Jeremiah Rose"/>
    <x v="48"/>
    <s v="Orthopedics"/>
    <x v="1"/>
    <s v="Rs376.08"/>
    <s v="INR"/>
    <n v="376.08"/>
    <n v="4.5129599999999996"/>
    <s v="No"/>
    <x v="2"/>
    <n v="12"/>
    <n v="1"/>
    <x v="2"/>
  </r>
  <r>
    <n v="1016"/>
    <x v="49"/>
    <s v="Kim Allen"/>
    <n v="35"/>
    <x v="3"/>
    <x v="2"/>
    <d v="2025-12-30T00:00:00"/>
    <d v="2025-03-31T00:00:00"/>
    <s v="Nancy Levine MD"/>
    <x v="49"/>
    <s v="Orthopedics"/>
    <x v="1"/>
    <s v="‚Ç¨343.51"/>
    <s v="EUR"/>
    <n v="343.51"/>
    <n v="374.42590000000001"/>
    <n v="1"/>
    <x v="0"/>
    <n v="15"/>
    <n v="1"/>
    <x v="2"/>
  </r>
  <r>
    <n v="1040"/>
    <x v="50"/>
    <s v="Regina Wilson"/>
    <n v="26"/>
    <x v="4"/>
    <x v="1"/>
    <d v="2025-08-14T00:00:00"/>
    <d v="2024-06-03T00:00:00"/>
    <s v="Jenny Zuniga"/>
    <x v="50"/>
    <s v="Cardiology"/>
    <x v="0"/>
    <s v="Rs185.66"/>
    <s v="INR"/>
    <n v="185.66"/>
    <n v="2.2279200000000001"/>
    <s v="Yes"/>
    <x v="1"/>
    <n v="13"/>
    <n v="1"/>
    <x v="2"/>
  </r>
  <r>
    <n v="1042"/>
    <x v="51"/>
    <s v="Samantha Mosley"/>
    <n v="30"/>
    <x v="3"/>
    <x v="2"/>
    <d v="2025-12-05T00:00:00"/>
    <d v="2024-09-03T00:00:00"/>
    <s v="Thomas Thomas"/>
    <x v="51"/>
    <s v="Neurology"/>
    <x v="2"/>
    <s v="‚Ç¨200.01"/>
    <s v="EUR"/>
    <n v="200.01"/>
    <n v="218.01089999999999"/>
    <s v="Y"/>
    <x v="1"/>
    <n v="4"/>
    <n v="1"/>
    <x v="2"/>
  </r>
  <r>
    <n v="1015"/>
    <x v="52"/>
    <s v="Kathleen Porter"/>
    <n v="66"/>
    <x v="4"/>
    <x v="1"/>
    <d v="2026-01-28T00:00:00"/>
    <d v="2025-05-06T00:00:00"/>
    <s v="Christine Calhoun"/>
    <x v="52"/>
    <s v="Neurology"/>
    <x v="2"/>
    <s v="$367.06"/>
    <s v="USD"/>
    <n v="367.06"/>
    <n v="367.06"/>
    <n v="0"/>
    <x v="0"/>
    <n v="17"/>
    <n v="1"/>
    <x v="0"/>
  </r>
  <r>
    <n v="1053"/>
    <x v="53"/>
    <s v="Cheryl Michael"/>
    <n v="49"/>
    <x v="4"/>
    <x v="1"/>
    <d v="2025-08-06T00:00:00"/>
    <d v="2025-03-23T00:00:00"/>
    <s v="Thomas Bennett"/>
    <x v="53"/>
    <s v="Neurology"/>
    <x v="2"/>
    <s v="Rs393.4"/>
    <s v="INR"/>
    <n v="393.4"/>
    <n v="4.7207999999999997"/>
    <n v="1"/>
    <x v="0"/>
    <n v="14"/>
    <n v="1"/>
    <x v="1"/>
  </r>
  <r>
    <n v="1063"/>
    <x v="54"/>
    <s v="Lawrence Rios"/>
    <n v="62"/>
    <x v="0"/>
    <x v="0"/>
    <d v="2026-01-10T00:00:00"/>
    <d v="2024-12-11T00:00:00"/>
    <s v="Christopher Lee"/>
    <x v="54"/>
    <s v="Neurology"/>
    <x v="2"/>
    <s v="¬£387.4"/>
    <s v="GBP"/>
    <n v="387.4"/>
    <n v="491.99799999999999"/>
    <n v="0"/>
    <x v="0"/>
    <n v="11"/>
    <n v="1"/>
    <x v="1"/>
  </r>
  <r>
    <n v="1068"/>
    <x v="55"/>
    <s v="Vanessa Jones"/>
    <n v="63"/>
    <x v="1"/>
    <x v="0"/>
    <d v="2025-11-09T00:00:00"/>
    <d v="2025-09-10T00:00:00"/>
    <s v="Courtney Knight"/>
    <x v="55"/>
    <s v="Orthopedics"/>
    <x v="1"/>
    <s v="$169.25"/>
    <s v="USD"/>
    <n v="169.25"/>
    <n v="169.25"/>
    <s v="Yes"/>
    <x v="1"/>
    <n v="14"/>
    <n v="1"/>
    <x v="1"/>
  </r>
  <r>
    <n v="1006"/>
    <x v="56"/>
    <s v="Tiffany Burke"/>
    <n v="48"/>
    <x v="3"/>
    <x v="2"/>
    <d v="2025-07-09T00:00:00"/>
    <d v="2025-04-03T00:00:00"/>
    <s v="Charles Lopez"/>
    <x v="56"/>
    <s v="Neurology"/>
    <x v="2"/>
    <s v="$274.81"/>
    <s v="USD"/>
    <n v="274.81"/>
    <n v="274.81"/>
    <n v="1"/>
    <x v="0"/>
    <n v="8"/>
    <n v="1"/>
    <x v="1"/>
  </r>
  <r>
    <n v="1047"/>
    <x v="57"/>
    <s v="Joseph Church"/>
    <n v="87"/>
    <x v="4"/>
    <x v="1"/>
    <d v="2025-08-05T00:00:00"/>
    <d v="2025-02-03T00:00:00"/>
    <s v="Ricky Velazquez"/>
    <x v="57"/>
    <s v="Orthopedics"/>
    <x v="1"/>
    <s v="Rs68.81"/>
    <s v="INR"/>
    <n v="68.81"/>
    <n v="0.82572000000000001"/>
    <n v="1"/>
    <x v="0"/>
    <n v="17"/>
    <n v="1"/>
    <x v="0"/>
  </r>
  <r>
    <n v="1095"/>
    <x v="58"/>
    <s v="Heather Jackson"/>
    <n v="58"/>
    <x v="0"/>
    <x v="0"/>
    <d v="2025-06-04T00:00:00"/>
    <d v="2025-01-26T00:00:00"/>
    <s v="Todd Silva"/>
    <x v="58"/>
    <s v="Neurology"/>
    <x v="2"/>
    <s v="Rs365.13"/>
    <s v="INR"/>
    <n v="365.13"/>
    <n v="4.3815600000000003"/>
    <n v="0"/>
    <x v="0"/>
    <n v="12"/>
    <n v="1"/>
    <x v="1"/>
  </r>
  <r>
    <n v="1009"/>
    <x v="59"/>
    <s v="Adam Sanders"/>
    <n v="63"/>
    <x v="4"/>
    <x v="1"/>
    <d v="2025-08-08T00:00:00"/>
    <d v="2025-05-24T00:00:00"/>
    <s v="Patrick Floyd"/>
    <x v="59"/>
    <s v="General"/>
    <x v="3"/>
    <s v="$466.97"/>
    <s v="USD"/>
    <n v="466.97"/>
    <n v="466.97"/>
    <s v="Yes"/>
    <x v="1"/>
    <n v="9"/>
    <n v="1"/>
    <x v="1"/>
  </r>
  <r>
    <n v="1078"/>
    <x v="60"/>
    <s v="Edward Perry"/>
    <n v="54"/>
    <x v="3"/>
    <x v="2"/>
    <d v="2025-12-09T00:00:00"/>
    <d v="2025-07-12T00:00:00"/>
    <s v="James Miller"/>
    <x v="60"/>
    <s v="General"/>
    <x v="3"/>
    <s v="Rs484.52"/>
    <s v="INR"/>
    <n v="484.52"/>
    <n v="5.8142399999999999"/>
    <s v="No"/>
    <x v="2"/>
    <n v="8"/>
    <n v="1"/>
    <x v="1"/>
  </r>
  <r>
    <n v="1019"/>
    <x v="61"/>
    <s v="Bonnie Boone"/>
    <n v="35"/>
    <x v="1"/>
    <x v="0"/>
    <d v="2025-11-24T00:00:00"/>
    <d v="2024-11-05T00:00:00"/>
    <s v="Lorraine Figueroa"/>
    <x v="61"/>
    <s v="Orthopedics"/>
    <x v="1"/>
    <s v="‚Ç¨114.45"/>
    <s v="EUR"/>
    <n v="114.45"/>
    <n v="124.75050000000002"/>
    <s v="Yes"/>
    <x v="1"/>
    <n v="6"/>
    <n v="1"/>
    <x v="2"/>
  </r>
  <r>
    <n v="1021"/>
    <x v="62"/>
    <s v="Robert Brown"/>
    <n v="39"/>
    <x v="2"/>
    <x v="1"/>
    <d v="2025-06-28T00:00:00"/>
    <d v="2024-03-27T00:00:00"/>
    <s v="Jamie Sosa"/>
    <x v="62"/>
    <s v="General"/>
    <x v="3"/>
    <s v="‚Ç¨195.21"/>
    <s v="EUR"/>
    <n v="195.21"/>
    <n v="212.77890000000002"/>
    <n v="1"/>
    <x v="0"/>
    <n v="16"/>
    <n v="1"/>
    <x v="2"/>
  </r>
  <r>
    <n v="1018"/>
    <x v="63"/>
    <s v="Matthew Cross"/>
    <n v="78"/>
    <x v="3"/>
    <x v="2"/>
    <d v="2025-07-31T00:00:00"/>
    <d v="2025-06-24T00:00:00"/>
    <s v="Connie Wood"/>
    <x v="63"/>
    <s v="General"/>
    <x v="3"/>
    <s v="$149.8"/>
    <s v="USD"/>
    <n v="149.80000000000001"/>
    <n v="149.80000000000001"/>
    <n v="1"/>
    <x v="0"/>
    <n v="14"/>
    <n v="1"/>
    <x v="0"/>
  </r>
  <r>
    <n v="1077"/>
    <x v="64"/>
    <s v="Jennifer Stark"/>
    <n v="34"/>
    <x v="3"/>
    <x v="2"/>
    <d v="2025-06-29T00:00:00"/>
    <d v="2024-12-04T00:00:00"/>
    <s v="Jason Williams"/>
    <x v="64"/>
    <s v="Neurology"/>
    <x v="2"/>
    <s v="Rs270.33"/>
    <s v="INR"/>
    <n v="270.33"/>
    <n v="3.24396"/>
    <s v="N"/>
    <x v="2"/>
    <n v="10"/>
    <n v="1"/>
    <x v="2"/>
  </r>
  <r>
    <n v="1063"/>
    <x v="65"/>
    <s v="Jordan Camacho Jr."/>
    <n v="21"/>
    <x v="4"/>
    <x v="1"/>
    <d v="2025-11-12T00:00:00"/>
    <d v="2025-06-30T00:00:00"/>
    <s v="Alexis Carter"/>
    <x v="65"/>
    <s v="Neurology"/>
    <x v="2"/>
    <s v="$186.24"/>
    <s v="USD"/>
    <n v="186.24"/>
    <n v="186.24"/>
    <s v="Yes"/>
    <x v="1"/>
    <n v="11"/>
    <n v="1"/>
    <x v="2"/>
  </r>
  <r>
    <n v="1015"/>
    <x v="66"/>
    <s v="Elizabeth Bryant"/>
    <n v="37"/>
    <x v="3"/>
    <x v="2"/>
    <d v="2025-07-19T00:00:00"/>
    <d v="2024-06-10T00:00:00"/>
    <s v="Rebecca Kim"/>
    <x v="66"/>
    <s v="Orthopedics"/>
    <x v="1"/>
    <s v="Rs425.63"/>
    <s v="INR"/>
    <n v="425.63"/>
    <n v="5.1075600000000003"/>
    <s v="No"/>
    <x v="2"/>
    <n v="17"/>
    <n v="1"/>
    <x v="2"/>
  </r>
  <r>
    <n v="1068"/>
    <x v="67"/>
    <s v="Matthew Valdez"/>
    <n v="60"/>
    <x v="3"/>
    <x v="2"/>
    <d v="2026-02-19T00:00:00"/>
    <d v="2024-11-13T00:00:00"/>
    <s v="Rachel Terry"/>
    <x v="67"/>
    <s v="Neurology"/>
    <x v="2"/>
    <s v="¬£91.77"/>
    <s v="GBP"/>
    <n v="91.77"/>
    <n v="116.5479"/>
    <n v="1"/>
    <x v="0"/>
    <n v="14"/>
    <n v="1"/>
    <x v="1"/>
  </r>
  <r>
    <n v="1010"/>
    <x v="68"/>
    <s v="Richard Woodard"/>
    <n v="38"/>
    <x v="0"/>
    <x v="0"/>
    <d v="2026-02-11T00:00:00"/>
    <d v="2025-09-28T00:00:00"/>
    <s v="Whitney Hoffman"/>
    <x v="68"/>
    <s v="Orthopedics"/>
    <x v="1"/>
    <s v="‚Ç¨91.27"/>
    <s v="EUR"/>
    <n v="91.27"/>
    <n v="99.484300000000005"/>
    <s v="N"/>
    <x v="2"/>
    <n v="10"/>
    <n v="1"/>
    <x v="2"/>
  </r>
  <r>
    <n v="1034"/>
    <x v="69"/>
    <s v="Chad Reed"/>
    <n v="68"/>
    <x v="4"/>
    <x v="1"/>
    <d v="2025-07-05T00:00:00"/>
    <d v="2025-01-23T00:00:00"/>
    <s v="Jennifer Adams"/>
    <x v="69"/>
    <s v="Neurology"/>
    <x v="2"/>
    <s v="¬£453.06"/>
    <s v="GBP"/>
    <n v="453.06"/>
    <n v="575.38620000000003"/>
    <s v="N"/>
    <x v="2"/>
    <n v="8"/>
    <n v="1"/>
    <x v="0"/>
  </r>
  <r>
    <n v="1095"/>
    <x v="70"/>
    <s v="Jessica Heath"/>
    <n v="86"/>
    <x v="3"/>
    <x v="2"/>
    <d v="2025-06-25T00:00:00"/>
    <d v="2024-04-24T00:00:00"/>
    <s v="Sherri Long"/>
    <x v="70"/>
    <s v="Cardiology"/>
    <x v="0"/>
    <s v="‚Ç¨61.37"/>
    <s v="EUR"/>
    <n v="61.37"/>
    <n v="66.893299999999996"/>
    <s v="Yes"/>
    <x v="1"/>
    <n v="12"/>
    <n v="1"/>
    <x v="0"/>
  </r>
  <r>
    <n v="1070"/>
    <x v="71"/>
    <s v="Clayton Williamson"/>
    <n v="85"/>
    <x v="3"/>
    <x v="2"/>
    <d v="2025-09-10T00:00:00"/>
    <d v="2024-08-20T00:00:00"/>
    <s v="Glen Diaz"/>
    <x v="71"/>
    <s v="Neurology"/>
    <x v="2"/>
    <s v="$185.52"/>
    <s v="USD"/>
    <n v="185.52"/>
    <n v="185.52"/>
    <s v="No"/>
    <x v="2"/>
    <n v="13"/>
    <n v="1"/>
    <x v="0"/>
  </r>
  <r>
    <n v="1099"/>
    <x v="72"/>
    <s v="Timothy Walter"/>
    <n v="28"/>
    <x v="1"/>
    <x v="0"/>
    <d v="2025-07-21T00:00:00"/>
    <d v="2025-07-14T00:00:00"/>
    <s v="Miss Julie Rodriguez"/>
    <x v="72"/>
    <s v="Neurology"/>
    <x v="2"/>
    <s v="¬£112.48"/>
    <s v="GBP"/>
    <n v="112.48"/>
    <n v="142.84960000000001"/>
    <s v="Y"/>
    <x v="1"/>
    <n v="7"/>
    <n v="1"/>
    <x v="2"/>
  </r>
  <r>
    <n v="1022"/>
    <x v="73"/>
    <s v="Katelyn Miller"/>
    <n v="23"/>
    <x v="0"/>
    <x v="0"/>
    <d v="2026-02-19T00:00:00"/>
    <d v="2024-09-16T00:00:00"/>
    <s v="Andrea Cruz"/>
    <x v="73"/>
    <s v="Orthopedics"/>
    <x v="1"/>
    <s v="$382.34"/>
    <s v="USD"/>
    <n v="382.34"/>
    <n v="382.34"/>
    <s v="Yes"/>
    <x v="1"/>
    <n v="9"/>
    <n v="1"/>
    <x v="2"/>
  </r>
  <r>
    <n v="1095"/>
    <x v="74"/>
    <s v="Elizabeth Decker"/>
    <n v="86"/>
    <x v="1"/>
    <x v="0"/>
    <d v="2025-10-22T00:00:00"/>
    <d v="2025-07-19T00:00:00"/>
    <s v="Brandi Hale"/>
    <x v="74"/>
    <s v="Orthopedics"/>
    <x v="1"/>
    <s v="Rs168.18"/>
    <s v="INR"/>
    <n v="168.18"/>
    <n v="2.01816"/>
    <s v="Yes"/>
    <x v="1"/>
    <n v="12"/>
    <n v="1"/>
    <x v="0"/>
  </r>
  <r>
    <n v="1061"/>
    <x v="75"/>
    <s v="Jessica Smith"/>
    <n v="66"/>
    <x v="0"/>
    <x v="0"/>
    <d v="2025-08-20T00:00:00"/>
    <d v="2025-03-08T00:00:00"/>
    <s v="Crystal Mack"/>
    <x v="75"/>
    <s v="Neurology"/>
    <x v="2"/>
    <m/>
    <s v="N/A"/>
    <s v=""/>
    <s v="N/A"/>
    <s v="Yes"/>
    <x v="1"/>
    <n v="8"/>
    <n v="1"/>
    <x v="0"/>
  </r>
  <r>
    <n v="1088"/>
    <x v="76"/>
    <s v="James Johnston"/>
    <n v="22"/>
    <x v="4"/>
    <x v="1"/>
    <d v="2025-11-02T00:00:00"/>
    <d v="2025-04-24T00:00:00"/>
    <s v="Drew Bartlett"/>
    <x v="76"/>
    <s v="General"/>
    <x v="3"/>
    <s v="$206.53"/>
    <s v="USD"/>
    <n v="206.53"/>
    <n v="206.53"/>
    <n v="1"/>
    <x v="0"/>
    <n v="16"/>
    <n v="1"/>
    <x v="2"/>
  </r>
  <r>
    <n v="1008"/>
    <x v="77"/>
    <s v="Christine Price"/>
    <n v="69"/>
    <x v="1"/>
    <x v="0"/>
    <d v="2025-10-01T00:00:00"/>
    <d v="2024-05-23T00:00:00"/>
    <s v="Susan Brown"/>
    <x v="77"/>
    <s v="Orthopedics"/>
    <x v="1"/>
    <s v="$258.21"/>
    <s v="USD"/>
    <n v="258.20999999999998"/>
    <n v="258.20999999999998"/>
    <n v="0"/>
    <x v="0"/>
    <n v="11"/>
    <n v="1"/>
    <x v="0"/>
  </r>
  <r>
    <n v="1014"/>
    <x v="78"/>
    <s v="Amy Mayer"/>
    <n v="26"/>
    <x v="3"/>
    <x v="2"/>
    <d v="2025-09-28T00:00:00"/>
    <d v="2024-07-08T00:00:00"/>
    <s v="Jim Patterson"/>
    <x v="78"/>
    <s v="Cardiology"/>
    <x v="0"/>
    <s v="‚Ç¨253.4"/>
    <s v="EUR"/>
    <n v="253.4"/>
    <n v="276.20600000000002"/>
    <n v="1"/>
    <x v="0"/>
    <n v="10"/>
    <n v="1"/>
    <x v="2"/>
  </r>
  <r>
    <n v="1005"/>
    <x v="79"/>
    <s v="Samuel Moore"/>
    <n v="69"/>
    <x v="2"/>
    <x v="1"/>
    <d v="2026-03-02T00:00:00"/>
    <d v="2024-11-21T00:00:00"/>
    <s v="Heather Everett"/>
    <x v="79"/>
    <s v="General"/>
    <x v="3"/>
    <s v="Rs83.09"/>
    <s v="INR"/>
    <n v="83.09"/>
    <n v="0.99708000000000008"/>
    <n v="1"/>
    <x v="0"/>
    <n v="13"/>
    <n v="1"/>
    <x v="0"/>
  </r>
  <r>
    <n v="1098"/>
    <x v="80"/>
    <s v="Jamie Mcclure"/>
    <n v="35"/>
    <x v="0"/>
    <x v="0"/>
    <d v="2026-03-13T00:00:00"/>
    <d v="2025-07-27T00:00:00"/>
    <s v="Katherine Sanders"/>
    <x v="80"/>
    <s v="Orthopedics"/>
    <x v="1"/>
    <s v="$80.38"/>
    <s v="USD"/>
    <n v="80.38"/>
    <n v="80.38"/>
    <n v="1"/>
    <x v="0"/>
    <n v="12"/>
    <n v="1"/>
    <x v="2"/>
  </r>
  <r>
    <n v="1074"/>
    <x v="81"/>
    <s v="Luke Price"/>
    <n v="23"/>
    <x v="3"/>
    <x v="2"/>
    <d v="2025-12-13T00:00:00"/>
    <d v="2025-06-18T00:00:00"/>
    <s v="Virginia Lang"/>
    <x v="81"/>
    <s v="Orthopedics"/>
    <x v="1"/>
    <s v="Rs260.4"/>
    <s v="INR"/>
    <n v="260.39999999999998"/>
    <n v="3.1247999999999996"/>
    <s v="Y"/>
    <x v="1"/>
    <n v="17"/>
    <n v="1"/>
    <x v="2"/>
  </r>
  <r>
    <n v="1097"/>
    <x v="82"/>
    <s v="Luis Rodriguez"/>
    <n v="50"/>
    <x v="2"/>
    <x v="1"/>
    <d v="2025-11-23T00:00:00"/>
    <d v="2025-09-24T00:00:00"/>
    <s v="Samantha Bass MD"/>
    <x v="82"/>
    <s v="Orthopedics"/>
    <x v="1"/>
    <s v="$294.58"/>
    <s v="USD"/>
    <n v="294.58"/>
    <n v="294.58"/>
    <n v="1"/>
    <x v="0"/>
    <n v="10"/>
    <n v="1"/>
    <x v="1"/>
  </r>
  <r>
    <n v="1047"/>
    <x v="83"/>
    <s v="Pamela Brown"/>
    <n v="40"/>
    <x v="2"/>
    <x v="1"/>
    <d v="2026-02-25T00:00:00"/>
    <d v="2025-06-01T00:00:00"/>
    <s v="Melinda Duncan"/>
    <x v="83"/>
    <s v="Orthopedics"/>
    <x v="1"/>
    <s v="$247.13"/>
    <s v="USD"/>
    <n v="247.13"/>
    <n v="247.13"/>
    <s v="Yes"/>
    <x v="1"/>
    <n v="17"/>
    <n v="1"/>
    <x v="1"/>
  </r>
  <r>
    <n v="1093"/>
    <x v="84"/>
    <s v="Craig Nixon"/>
    <n v="55"/>
    <x v="3"/>
    <x v="2"/>
    <d v="2025-10-12T00:00:00"/>
    <d v="2025-08-20T00:00:00"/>
    <s v="William Key"/>
    <x v="84"/>
    <s v="Neurology"/>
    <x v="2"/>
    <s v="¬£341.19"/>
    <s v="GBP"/>
    <n v="341.19"/>
    <n v="433.31130000000002"/>
    <s v="No"/>
    <x v="2"/>
    <n v="11"/>
    <n v="1"/>
    <x v="1"/>
  </r>
  <r>
    <n v="1044"/>
    <x v="85"/>
    <s v="Justin Caldwell"/>
    <n v="57"/>
    <x v="3"/>
    <x v="2"/>
    <d v="2025-05-09T00:00:00"/>
    <d v="2024-12-18T00:00:00"/>
    <s v="Ronnie Miller"/>
    <x v="85"/>
    <s v="Orthopedics"/>
    <x v="1"/>
    <s v="Rs383.69"/>
    <s v="INR"/>
    <n v="383.69"/>
    <n v="4.6042800000000002"/>
    <s v="N"/>
    <x v="2"/>
    <n v="12"/>
    <n v="1"/>
    <x v="1"/>
  </r>
  <r>
    <n v="1050"/>
    <x v="86"/>
    <s v="Cassandra Collins"/>
    <n v="60"/>
    <x v="3"/>
    <x v="2"/>
    <d v="2025-10-03T00:00:00"/>
    <d v="2025-08-26T00:00:00"/>
    <s v="Mark Lutz"/>
    <x v="86"/>
    <s v="General"/>
    <x v="3"/>
    <s v="‚Ç¨243.78"/>
    <s v="EUR"/>
    <n v="243.78"/>
    <n v="265.72020000000003"/>
    <s v="Y"/>
    <x v="1"/>
    <n v="12"/>
    <n v="1"/>
    <x v="1"/>
  </r>
  <r>
    <n v="1100"/>
    <x v="87"/>
    <s v="Adam Torres"/>
    <n v="58"/>
    <x v="2"/>
    <x v="1"/>
    <d v="2025-07-03T00:00:00"/>
    <d v="2024-08-25T00:00:00"/>
    <s v="Daniel Le"/>
    <x v="87"/>
    <s v="Neurology"/>
    <x v="2"/>
    <s v="Rs329.25"/>
    <s v="INR"/>
    <n v="329.25"/>
    <n v="3.9510000000000001"/>
    <s v="No"/>
    <x v="2"/>
    <n v="8"/>
    <n v="1"/>
    <x v="1"/>
  </r>
  <r>
    <n v="1095"/>
    <x v="88"/>
    <s v="Carol Foster"/>
    <n v="61"/>
    <x v="4"/>
    <x v="1"/>
    <d v="2025-10-19T00:00:00"/>
    <d v="2025-08-22T00:00:00"/>
    <s v="Bryan Mann"/>
    <x v="88"/>
    <s v="Neurology"/>
    <x v="2"/>
    <s v="‚Ç¨389.37"/>
    <s v="EUR"/>
    <n v="389.37"/>
    <n v="424.41330000000005"/>
    <n v="0"/>
    <x v="0"/>
    <n v="12"/>
    <n v="1"/>
    <x v="1"/>
  </r>
  <r>
    <n v="1088"/>
    <x v="89"/>
    <s v="Chelsey Moore"/>
    <n v="34"/>
    <x v="0"/>
    <x v="0"/>
    <d v="2025-10-12T00:00:00"/>
    <d v="2025-01-15T00:00:00"/>
    <s v="Randy Garrett"/>
    <x v="89"/>
    <s v="Cardiology"/>
    <x v="0"/>
    <s v="¬£344.56"/>
    <s v="GBP"/>
    <n v="344.56"/>
    <n v="437.59120000000001"/>
    <s v="Yes"/>
    <x v="1"/>
    <n v="16"/>
    <n v="1"/>
    <x v="2"/>
  </r>
  <r>
    <n v="1027"/>
    <x v="90"/>
    <s v="John Hensley"/>
    <n v="35"/>
    <x v="2"/>
    <x v="1"/>
    <d v="2025-09-23T00:00:00"/>
    <d v="2024-07-15T00:00:00"/>
    <s v="Paul Tate"/>
    <x v="90"/>
    <s v="Orthopedics"/>
    <x v="1"/>
    <s v="Rs289.07"/>
    <s v="INR"/>
    <n v="289.07"/>
    <n v="3.4688400000000001"/>
    <n v="1"/>
    <x v="0"/>
    <n v="12"/>
    <n v="1"/>
    <x v="2"/>
  </r>
  <r>
    <n v="1040"/>
    <x v="91"/>
    <s v="Chelsea Burns"/>
    <n v="62"/>
    <x v="3"/>
    <x v="2"/>
    <d v="2025-12-29T00:00:00"/>
    <d v="2024-05-13T00:00:00"/>
    <s v="Michael Morales"/>
    <x v="91"/>
    <s v="Cardiology"/>
    <x v="0"/>
    <s v="Rs193.6"/>
    <s v="INR"/>
    <n v="193.6"/>
    <n v="2.3231999999999999"/>
    <s v="Yes"/>
    <x v="1"/>
    <n v="13"/>
    <n v="1"/>
    <x v="1"/>
  </r>
  <r>
    <n v="1099"/>
    <x v="92"/>
    <s v="Ryan Miller"/>
    <n v="31"/>
    <x v="4"/>
    <x v="1"/>
    <d v="2025-07-11T00:00:00"/>
    <d v="2025-03-19T00:00:00"/>
    <s v="Alexa Peterson"/>
    <x v="92"/>
    <s v="Orthopedics"/>
    <x v="1"/>
    <s v="Rs259.72"/>
    <s v="INR"/>
    <n v="259.72000000000003"/>
    <n v="3.1166400000000003"/>
    <s v="Yes"/>
    <x v="1"/>
    <n v="7"/>
    <n v="1"/>
    <x v="2"/>
  </r>
  <r>
    <n v="1070"/>
    <x v="93"/>
    <s v="Jared Green"/>
    <n v="28"/>
    <x v="0"/>
    <x v="0"/>
    <d v="2025-10-08T00:00:00"/>
    <d v="2025-05-10T00:00:00"/>
    <s v="Brenda Castro"/>
    <x v="93"/>
    <s v="Neurology"/>
    <x v="2"/>
    <s v="‚Ç¨235.69"/>
    <s v="EUR"/>
    <n v="235.69"/>
    <n v="256.90210000000002"/>
    <s v="No"/>
    <x v="2"/>
    <n v="13"/>
    <n v="1"/>
    <x v="2"/>
  </r>
  <r>
    <n v="1058"/>
    <x v="94"/>
    <s v="Traci Chandler"/>
    <n v="18"/>
    <x v="0"/>
    <x v="0"/>
    <d v="2026-02-04T00:00:00"/>
    <d v="2024-12-10T00:00:00"/>
    <s v="Tyler Carter"/>
    <x v="94"/>
    <s v="General"/>
    <x v="3"/>
    <s v="‚Ç¨428.75"/>
    <s v="EUR"/>
    <n v="428.75"/>
    <n v="467.33750000000003"/>
    <s v="No"/>
    <x v="2"/>
    <n v="17"/>
    <n v="1"/>
    <x v="2"/>
  </r>
  <r>
    <n v="1040"/>
    <x v="95"/>
    <s v="Kenneth Graham"/>
    <n v="34"/>
    <x v="3"/>
    <x v="2"/>
    <d v="2025-10-31T00:00:00"/>
    <d v="2025-03-19T00:00:00"/>
    <s v="Wayne Graham"/>
    <x v="95"/>
    <s v="Neurology"/>
    <x v="2"/>
    <s v="$142.32"/>
    <s v="USD"/>
    <n v="142.32"/>
    <n v="142.32"/>
    <n v="0"/>
    <x v="0"/>
    <n v="13"/>
    <n v="1"/>
    <x v="2"/>
  </r>
  <r>
    <n v="1018"/>
    <x v="96"/>
    <s v="Angela Watkins"/>
    <n v="34"/>
    <x v="0"/>
    <x v="0"/>
    <d v="2025-12-25T00:00:00"/>
    <d v="2024-09-12T00:00:00"/>
    <s v="Kyle Russell"/>
    <x v="96"/>
    <s v="Cardiology"/>
    <x v="0"/>
    <s v="¬£109.31"/>
    <s v="GBP"/>
    <n v="109.31"/>
    <n v="138.8237"/>
    <s v="No"/>
    <x v="2"/>
    <n v="14"/>
    <n v="1"/>
    <x v="2"/>
  </r>
  <r>
    <n v="1052"/>
    <x v="97"/>
    <s v="Keith Becker"/>
    <n v="60"/>
    <x v="0"/>
    <x v="0"/>
    <d v="2025-11-07T00:00:00"/>
    <d v="2024-08-28T00:00:00"/>
    <s v="Kristopher Collier"/>
    <x v="97"/>
    <s v="General"/>
    <x v="3"/>
    <m/>
    <s v="N/A"/>
    <s v=""/>
    <s v="N/A"/>
    <s v="Y"/>
    <x v="1"/>
    <n v="8"/>
    <n v="1"/>
    <x v="1"/>
  </r>
  <r>
    <n v="1031"/>
    <x v="98"/>
    <s v="Nicole Hoffman"/>
    <n v="65"/>
    <x v="0"/>
    <x v="0"/>
    <d v="2025-06-08T00:00:00"/>
    <d v="2025-01-14T00:00:00"/>
    <s v="Robert Mitchell"/>
    <x v="98"/>
    <s v="General"/>
    <x v="3"/>
    <s v="$325.25"/>
    <s v="USD"/>
    <n v="325.25"/>
    <n v="325.25"/>
    <n v="0"/>
    <x v="0"/>
    <n v="13"/>
    <n v="1"/>
    <x v="0"/>
  </r>
  <r>
    <n v="1028"/>
    <x v="99"/>
    <s v="Hannah Perez"/>
    <n v="21"/>
    <x v="0"/>
    <x v="0"/>
    <d v="2025-11-07T00:00:00"/>
    <d v="2025-07-27T00:00:00"/>
    <s v="Rita Smith"/>
    <x v="99"/>
    <s v="Neurology"/>
    <x v="2"/>
    <s v="¬£111.92"/>
    <s v="GBP"/>
    <n v="111.92"/>
    <n v="142.13839999999999"/>
    <s v="N"/>
    <x v="2"/>
    <n v="8"/>
    <n v="1"/>
    <x v="2"/>
  </r>
  <r>
    <n v="1089"/>
    <x v="100"/>
    <s v="Amanda Fuller"/>
    <n v="56"/>
    <x v="4"/>
    <x v="1"/>
    <d v="2026-02-18T00:00:00"/>
    <d v="2024-12-08T00:00:00"/>
    <s v="Anthony Cruz"/>
    <x v="100"/>
    <s v="Orthopedics"/>
    <x v="1"/>
    <s v="$347.68"/>
    <s v="USD"/>
    <n v="347.68"/>
    <n v="347.68"/>
    <n v="1"/>
    <x v="0"/>
    <n v="16"/>
    <n v="1"/>
    <x v="1"/>
  </r>
  <r>
    <n v="1092"/>
    <x v="101"/>
    <s v="Tina Lewis"/>
    <n v="40"/>
    <x v="0"/>
    <x v="0"/>
    <d v="2026-02-10T00:00:00"/>
    <d v="2025-12-18T00:00:00"/>
    <s v="Derrick Salazar"/>
    <x v="101"/>
    <s v="Neurology"/>
    <x v="2"/>
    <s v="¬£59.67"/>
    <s v="GBP"/>
    <n v="59.67"/>
    <n v="75.780900000000003"/>
    <s v="Yes"/>
    <x v="1"/>
    <n v="11"/>
    <n v="1"/>
    <x v="1"/>
  </r>
  <r>
    <n v="1088"/>
    <x v="102"/>
    <s v="Sarah Hahn"/>
    <n v="60"/>
    <x v="3"/>
    <x v="2"/>
    <d v="2026-03-19T00:00:00"/>
    <d v="2024-10-18T00:00:00"/>
    <s v="Theresa Lee"/>
    <x v="102"/>
    <s v="General"/>
    <x v="3"/>
    <s v="Rs123.03"/>
    <s v="INR"/>
    <n v="123.03"/>
    <n v="1.4763600000000001"/>
    <s v="Yes"/>
    <x v="1"/>
    <n v="16"/>
    <n v="1"/>
    <x v="1"/>
  </r>
  <r>
    <n v="1058"/>
    <x v="103"/>
    <s v="Destiny Martin"/>
    <n v="24"/>
    <x v="0"/>
    <x v="0"/>
    <d v="2026-02-16T00:00:00"/>
    <d v="2025-08-26T00:00:00"/>
    <s v="Lynn Jones"/>
    <x v="103"/>
    <s v="General"/>
    <x v="3"/>
    <s v="Rs420.58"/>
    <s v="INR"/>
    <n v="420.58"/>
    <n v="5.0469600000000003"/>
    <n v="0"/>
    <x v="0"/>
    <n v="17"/>
    <n v="1"/>
    <x v="2"/>
  </r>
  <r>
    <n v="1078"/>
    <x v="104"/>
    <s v="Megan Mitchell"/>
    <n v="69"/>
    <x v="3"/>
    <x v="2"/>
    <d v="2025-11-27T00:00:00"/>
    <d v="2024-05-18T00:00:00"/>
    <s v="Desiree Giles"/>
    <x v="104"/>
    <s v="Orthopedics"/>
    <x v="1"/>
    <s v="‚Ç¨351.17"/>
    <s v="EUR"/>
    <n v="351.17"/>
    <n v="382.77530000000007"/>
    <s v="No"/>
    <x v="2"/>
    <n v="8"/>
    <n v="1"/>
    <x v="0"/>
  </r>
  <r>
    <n v="1027"/>
    <x v="105"/>
    <s v="Benjamin Hughes"/>
    <n v="32"/>
    <x v="1"/>
    <x v="0"/>
    <d v="2026-03-02T00:00:00"/>
    <d v="2025-12-17T00:00:00"/>
    <s v="Nicholas Mcneil"/>
    <x v="105"/>
    <s v="Cardiology"/>
    <x v="0"/>
    <s v="¬£125.31"/>
    <s v="GBP"/>
    <n v="125.31"/>
    <n v="159.1437"/>
    <n v="1"/>
    <x v="0"/>
    <n v="12"/>
    <n v="1"/>
    <x v="2"/>
  </r>
  <r>
    <n v="1062"/>
    <x v="106"/>
    <s v="John Anderson"/>
    <n v="60"/>
    <x v="4"/>
    <x v="1"/>
    <d v="2026-01-27T00:00:00"/>
    <d v="2026-01-18T00:00:00"/>
    <s v="Paul Blackburn"/>
    <x v="106"/>
    <s v="Cardiology"/>
    <x v="0"/>
    <s v="‚Ç¨253.42"/>
    <s v="EUR"/>
    <n v="253.42"/>
    <n v="276.2278"/>
    <s v="No"/>
    <x v="2"/>
    <n v="6"/>
    <n v="1"/>
    <x v="1"/>
  </r>
  <r>
    <n v="1015"/>
    <x v="107"/>
    <s v="Chelsea Matthews"/>
    <n v="68"/>
    <x v="1"/>
    <x v="0"/>
    <d v="2025-12-07T00:00:00"/>
    <d v="2025-03-24T00:00:00"/>
    <s v="Elizabeth Obrien"/>
    <x v="107"/>
    <s v="Orthopedics"/>
    <x v="1"/>
    <s v="‚Ç¨359.78"/>
    <s v="EUR"/>
    <n v="359.78"/>
    <n v="392.16019999999997"/>
    <s v="Y"/>
    <x v="1"/>
    <n v="17"/>
    <n v="1"/>
    <x v="0"/>
  </r>
  <r>
    <n v="1018"/>
    <x v="108"/>
    <s v="Monica Horton"/>
    <n v="53"/>
    <x v="3"/>
    <x v="2"/>
    <d v="2025-10-11T00:00:00"/>
    <d v="2024-03-30T00:00:00"/>
    <s v="Kayla Stein"/>
    <x v="108"/>
    <s v="Neurology"/>
    <x v="2"/>
    <s v="$277.21"/>
    <s v="USD"/>
    <n v="277.20999999999998"/>
    <n v="277.20999999999998"/>
    <s v="Yes"/>
    <x v="1"/>
    <n v="14"/>
    <n v="1"/>
    <x v="1"/>
  </r>
  <r>
    <n v="1061"/>
    <x v="109"/>
    <s v="Joanna Tucker"/>
    <n v="18"/>
    <x v="4"/>
    <x v="1"/>
    <d v="2026-03-22T00:00:00"/>
    <d v="2024-10-05T00:00:00"/>
    <s v="Andrew Gray"/>
    <x v="109"/>
    <s v="Neurology"/>
    <x v="2"/>
    <s v="¬£84.69"/>
    <s v="GBP"/>
    <n v="84.69"/>
    <n v="107.55629999999999"/>
    <s v="No"/>
    <x v="2"/>
    <n v="8"/>
    <n v="1"/>
    <x v="2"/>
  </r>
  <r>
    <n v="1013"/>
    <x v="110"/>
    <s v="Dr. Peggy Mendoza"/>
    <n v="60"/>
    <x v="3"/>
    <x v="2"/>
    <d v="2025-04-12T00:00:00"/>
    <d v="2025-01-23T00:00:00"/>
    <s v="Ashley Flowers"/>
    <x v="110"/>
    <s v="Neurology"/>
    <x v="2"/>
    <s v="‚Ç¨96.94"/>
    <s v="EUR"/>
    <n v="96.94"/>
    <n v="105.66460000000001"/>
    <s v="Yes"/>
    <x v="1"/>
    <n v="10"/>
    <n v="1"/>
    <x v="1"/>
  </r>
  <r>
    <n v="1087"/>
    <x v="111"/>
    <s v="Victoria Gomez"/>
    <n v="72"/>
    <x v="0"/>
    <x v="0"/>
    <d v="2025-06-26T00:00:00"/>
    <d v="2025-05-19T00:00:00"/>
    <s v="Nicole Chandler"/>
    <x v="111"/>
    <s v="General"/>
    <x v="3"/>
    <s v="Rs205.35"/>
    <s v="INR"/>
    <n v="205.35"/>
    <n v="2.4641999999999999"/>
    <n v="1"/>
    <x v="0"/>
    <n v="8"/>
    <n v="1"/>
    <x v="0"/>
  </r>
  <r>
    <n v="1090"/>
    <x v="112"/>
    <s v="Daniel Rivera"/>
    <n v="63"/>
    <x v="1"/>
    <x v="0"/>
    <d v="2025-12-28T00:00:00"/>
    <d v="2025-12-22T00:00:00"/>
    <s v="Morgan Green"/>
    <x v="112"/>
    <s v="Neurology"/>
    <x v="2"/>
    <s v="Rs155.42"/>
    <s v="INR"/>
    <n v="155.41999999999999"/>
    <n v="1.8650399999999998"/>
    <s v="Y"/>
    <x v="1"/>
    <n v="8"/>
    <n v="1"/>
    <x v="1"/>
  </r>
  <r>
    <n v="1086"/>
    <x v="113"/>
    <s v="Harry Wallace"/>
    <n v="80"/>
    <x v="0"/>
    <x v="0"/>
    <d v="2025-12-01T00:00:00"/>
    <d v="2024-10-28T00:00:00"/>
    <s v="Nancy Hernandez"/>
    <x v="113"/>
    <s v="Orthopedics"/>
    <x v="1"/>
    <s v="$493.0"/>
    <s v="USD"/>
    <n v="493"/>
    <n v="493"/>
    <s v="Yes"/>
    <x v="1"/>
    <n v="9"/>
    <n v="1"/>
    <x v="0"/>
  </r>
  <r>
    <n v="1047"/>
    <x v="114"/>
    <s v="Alicia Scott"/>
    <n v="39"/>
    <x v="2"/>
    <x v="1"/>
    <d v="2025-11-22T00:00:00"/>
    <d v="2024-11-14T00:00:00"/>
    <s v="William Cochran"/>
    <x v="114"/>
    <s v="Neurology"/>
    <x v="2"/>
    <s v="$243.15"/>
    <s v="USD"/>
    <n v="243.15"/>
    <n v="243.15"/>
    <n v="0"/>
    <x v="0"/>
    <n v="17"/>
    <n v="1"/>
    <x v="2"/>
  </r>
  <r>
    <n v="1014"/>
    <x v="115"/>
    <s v="Melissa Lane"/>
    <n v="81"/>
    <x v="0"/>
    <x v="0"/>
    <d v="2025-06-01T00:00:00"/>
    <d v="2024-08-19T00:00:00"/>
    <s v="Vanessa Pittman"/>
    <x v="115"/>
    <s v="Cardiology"/>
    <x v="0"/>
    <s v="‚Ç¨122.6"/>
    <s v="EUR"/>
    <n v="122.6"/>
    <n v="133.63400000000001"/>
    <s v="N"/>
    <x v="2"/>
    <n v="10"/>
    <n v="1"/>
    <x v="0"/>
  </r>
  <r>
    <n v="1047"/>
    <x v="116"/>
    <s v="Olivia Lambert"/>
    <n v="38"/>
    <x v="2"/>
    <x v="1"/>
    <d v="2025-12-15T00:00:00"/>
    <d v="2024-12-25T00:00:00"/>
    <s v="Melanie Blanchard"/>
    <x v="116"/>
    <s v="Cardiology"/>
    <x v="0"/>
    <s v="¬£100.34"/>
    <s v="GBP"/>
    <n v="100.34"/>
    <n v="127.43180000000001"/>
    <s v="Y"/>
    <x v="1"/>
    <n v="17"/>
    <n v="1"/>
    <x v="2"/>
  </r>
  <r>
    <n v="1073"/>
    <x v="117"/>
    <s v="Russell Taylor"/>
    <n v="38"/>
    <x v="3"/>
    <x v="2"/>
    <d v="2025-11-29T00:00:00"/>
    <d v="2025-07-11T00:00:00"/>
    <s v="Breanna Gray"/>
    <x v="117"/>
    <s v="Orthopedics"/>
    <x v="1"/>
    <s v="Rs335.07"/>
    <s v="INR"/>
    <n v="335.07"/>
    <n v="4.0208399999999997"/>
    <s v="N"/>
    <x v="2"/>
    <n v="11"/>
    <n v="1"/>
    <x v="2"/>
  </r>
  <r>
    <n v="1093"/>
    <x v="118"/>
    <s v="Joshua Sanchez DDS"/>
    <n v="79"/>
    <x v="0"/>
    <x v="0"/>
    <d v="2025-03-29T00:00:00"/>
    <d v="2024-06-27T00:00:00"/>
    <s v="George Flores"/>
    <x v="118"/>
    <s v="Orthopedics"/>
    <x v="1"/>
    <s v="¬£154.29"/>
    <s v="GBP"/>
    <n v="154.29"/>
    <n v="195.94829999999999"/>
    <s v="Y"/>
    <x v="1"/>
    <n v="11"/>
    <n v="1"/>
    <x v="0"/>
  </r>
  <r>
    <n v="1027"/>
    <x v="119"/>
    <s v="Kayla Drake"/>
    <n v="54"/>
    <x v="0"/>
    <x v="0"/>
    <d v="2025-12-27T00:00:00"/>
    <d v="2025-05-27T00:00:00"/>
    <s v="Jennifer Long DDS"/>
    <x v="119"/>
    <s v="Orthopedics"/>
    <x v="1"/>
    <s v="$412.07"/>
    <s v="USD"/>
    <n v="412.07"/>
    <n v="412.07"/>
    <n v="0"/>
    <x v="0"/>
    <n v="12"/>
    <n v="1"/>
    <x v="1"/>
  </r>
  <r>
    <n v="1037"/>
    <x v="120"/>
    <s v="Karen Carter"/>
    <n v="22"/>
    <x v="0"/>
    <x v="0"/>
    <d v="2026-02-28T00:00:00"/>
    <d v="2025-03-22T00:00:00"/>
    <s v="Chase Clark"/>
    <x v="120"/>
    <s v="Neurology"/>
    <x v="2"/>
    <s v="Rs401.33"/>
    <s v="INR"/>
    <n v="401.33"/>
    <n v="4.8159599999999996"/>
    <n v="1"/>
    <x v="0"/>
    <n v="5"/>
    <n v="1"/>
    <x v="2"/>
  </r>
  <r>
    <n v="1021"/>
    <x v="121"/>
    <s v="Andrew Baker"/>
    <n v="27"/>
    <x v="3"/>
    <x v="2"/>
    <d v="2025-05-04T00:00:00"/>
    <d v="2024-07-11T00:00:00"/>
    <s v="Michael Gillespie"/>
    <x v="121"/>
    <s v="General"/>
    <x v="3"/>
    <s v="$486.57"/>
    <s v="USD"/>
    <n v="486.57"/>
    <n v="486.57"/>
    <n v="1"/>
    <x v="0"/>
    <n v="16"/>
    <n v="1"/>
    <x v="2"/>
  </r>
  <r>
    <n v="1007"/>
    <x v="122"/>
    <s v="Richard Hernandez"/>
    <n v="20"/>
    <x v="4"/>
    <x v="1"/>
    <d v="2025-11-16T00:00:00"/>
    <d v="2025-09-18T00:00:00"/>
    <s v="Daniel Bradley"/>
    <x v="122"/>
    <s v="General"/>
    <x v="3"/>
    <s v="¬£482.25"/>
    <s v="GBP"/>
    <n v="482.25"/>
    <n v="612.45749999999998"/>
    <n v="0"/>
    <x v="0"/>
    <n v="3"/>
    <n v="1"/>
    <x v="2"/>
  </r>
  <r>
    <n v="1043"/>
    <x v="123"/>
    <s v="Matthew Rivera"/>
    <n v="31"/>
    <x v="3"/>
    <x v="2"/>
    <d v="2025-07-03T00:00:00"/>
    <d v="2025-04-26T00:00:00"/>
    <s v="Theodore Bean"/>
    <x v="123"/>
    <s v="Orthopedics"/>
    <x v="1"/>
    <s v="‚Ç¨255.82"/>
    <s v="EUR"/>
    <n v="255.82"/>
    <n v="278.84379999999999"/>
    <s v="N"/>
    <x v="2"/>
    <n v="12"/>
    <n v="1"/>
    <x v="2"/>
  </r>
  <r>
    <n v="1081"/>
    <x v="124"/>
    <s v="Benjamin Jenkins"/>
    <n v="86"/>
    <x v="3"/>
    <x v="2"/>
    <d v="2025-07-23T00:00:00"/>
    <d v="2025-04-22T00:00:00"/>
    <s v="Michael Bond"/>
    <x v="124"/>
    <s v="General"/>
    <x v="3"/>
    <s v="‚Ç¨258.12"/>
    <s v="EUR"/>
    <n v="258.12"/>
    <n v="281.35080000000005"/>
    <s v="No"/>
    <x v="2"/>
    <n v="9"/>
    <n v="1"/>
    <x v="0"/>
  </r>
  <r>
    <n v="1053"/>
    <x v="125"/>
    <s v="John Johnson"/>
    <n v="81"/>
    <x v="3"/>
    <x v="2"/>
    <d v="2025-04-23T00:00:00"/>
    <d v="2024-12-30T00:00:00"/>
    <s v="Steve Bush"/>
    <x v="125"/>
    <s v="General"/>
    <x v="3"/>
    <s v="$162.94"/>
    <s v="USD"/>
    <n v="162.94"/>
    <n v="162.94"/>
    <s v="N"/>
    <x v="2"/>
    <n v="14"/>
    <n v="1"/>
    <x v="0"/>
  </r>
  <r>
    <n v="1035"/>
    <x v="126"/>
    <s v="Martha Zavala"/>
    <n v="58"/>
    <x v="2"/>
    <x v="1"/>
    <d v="2026-01-23T00:00:00"/>
    <d v="2024-04-14T00:00:00"/>
    <s v="Penny Freeman"/>
    <x v="126"/>
    <s v="Cardiology"/>
    <x v="0"/>
    <s v="¬£153.05"/>
    <s v="GBP"/>
    <n v="153.05000000000001"/>
    <n v="194.37350000000001"/>
    <s v="Y"/>
    <x v="1"/>
    <n v="9"/>
    <n v="1"/>
    <x v="1"/>
  </r>
  <r>
    <n v="1036"/>
    <x v="127"/>
    <s v="Daniel Ballard"/>
    <n v="38"/>
    <x v="3"/>
    <x v="2"/>
    <d v="2025-03-26T00:00:00"/>
    <d v="2025-03-02T00:00:00"/>
    <s v="Willie Williams"/>
    <x v="127"/>
    <s v="Cardiology"/>
    <x v="0"/>
    <s v="¬£114.64"/>
    <s v="GBP"/>
    <n v="114.64"/>
    <n v="145.59280000000001"/>
    <s v="N"/>
    <x v="2"/>
    <n v="14"/>
    <n v="1"/>
    <x v="2"/>
  </r>
  <r>
    <n v="1052"/>
    <x v="128"/>
    <s v="Mariah Davis"/>
    <n v="22"/>
    <x v="0"/>
    <x v="0"/>
    <d v="2025-10-24T00:00:00"/>
    <d v="2025-01-06T00:00:00"/>
    <s v="Douglas Ford"/>
    <x v="128"/>
    <s v="Orthopedics"/>
    <x v="1"/>
    <s v="¬£381.62"/>
    <s v="GBP"/>
    <n v="381.62"/>
    <n v="484.6574"/>
    <n v="0"/>
    <x v="0"/>
    <n v="8"/>
    <n v="1"/>
    <x v="2"/>
  </r>
  <r>
    <n v="1058"/>
    <x v="129"/>
    <s v="Timothy Osborne"/>
    <n v="83"/>
    <x v="0"/>
    <x v="0"/>
    <d v="2025-12-18T00:00:00"/>
    <d v="2025-04-21T00:00:00"/>
    <s v="Christopher Ferguson"/>
    <x v="129"/>
    <s v="Neurology"/>
    <x v="2"/>
    <s v="¬£215.46"/>
    <s v="GBP"/>
    <n v="215.46"/>
    <n v="273.63420000000002"/>
    <s v="Yes"/>
    <x v="1"/>
    <n v="17"/>
    <n v="1"/>
    <x v="0"/>
  </r>
  <r>
    <n v="1074"/>
    <x v="130"/>
    <s v="Kelsey Collins"/>
    <n v="19"/>
    <x v="1"/>
    <x v="0"/>
    <d v="2025-04-24T00:00:00"/>
    <d v="2024-10-08T00:00:00"/>
    <s v="Gabrielle Collins"/>
    <x v="130"/>
    <s v="Neurology"/>
    <x v="2"/>
    <s v="$455.75"/>
    <s v="USD"/>
    <n v="455.75"/>
    <n v="455.75"/>
    <n v="0"/>
    <x v="0"/>
    <n v="17"/>
    <n v="1"/>
    <x v="2"/>
  </r>
  <r>
    <n v="1018"/>
    <x v="131"/>
    <s v="David Kramer"/>
    <n v="54"/>
    <x v="1"/>
    <x v="0"/>
    <d v="2026-03-25T00:00:00"/>
    <d v="2024-09-05T00:00:00"/>
    <s v="Anne Watkins"/>
    <x v="131"/>
    <s v="General"/>
    <x v="3"/>
    <s v="¬£325.97"/>
    <s v="GBP"/>
    <n v="325.97000000000003"/>
    <n v="413.98190000000005"/>
    <n v="1"/>
    <x v="0"/>
    <n v="14"/>
    <n v="1"/>
    <x v="1"/>
  </r>
  <r>
    <n v="1033"/>
    <x v="132"/>
    <s v="Patricia King"/>
    <n v="68"/>
    <x v="4"/>
    <x v="1"/>
    <d v="2025-10-28T00:00:00"/>
    <d v="2024-10-16T00:00:00"/>
    <s v="Jennifer Adams"/>
    <x v="69"/>
    <s v="General"/>
    <x v="3"/>
    <s v="$468.06"/>
    <s v="USD"/>
    <n v="468.06"/>
    <n v="468.06"/>
    <s v="Yes"/>
    <x v="1"/>
    <n v="11"/>
    <n v="1"/>
    <x v="0"/>
  </r>
  <r>
    <n v="1045"/>
    <x v="133"/>
    <s v="Sheri Kline"/>
    <n v="55"/>
    <x v="0"/>
    <x v="0"/>
    <d v="2026-01-02T00:00:00"/>
    <d v="2024-04-11T00:00:00"/>
    <s v="Jennifer Russell"/>
    <x v="132"/>
    <s v="General"/>
    <x v="3"/>
    <s v="¬£377.14"/>
    <s v="GBP"/>
    <n v="377.14"/>
    <n v="478.96780000000001"/>
    <s v="Yes"/>
    <x v="1"/>
    <n v="8"/>
    <n v="1"/>
    <x v="1"/>
  </r>
  <r>
    <n v="1087"/>
    <x v="134"/>
    <s v="Troy White"/>
    <n v="80"/>
    <x v="3"/>
    <x v="2"/>
    <d v="2026-01-07T00:00:00"/>
    <d v="2024-05-26T00:00:00"/>
    <s v="Cindy Cox"/>
    <x v="133"/>
    <s v="Neurology"/>
    <x v="2"/>
    <s v="$87.2"/>
    <s v="USD"/>
    <n v="87.2"/>
    <n v="87.2"/>
    <s v="No"/>
    <x v="2"/>
    <n v="8"/>
    <n v="1"/>
    <x v="0"/>
  </r>
  <r>
    <n v="1043"/>
    <x v="135"/>
    <s v="David Young"/>
    <n v="58"/>
    <x v="3"/>
    <x v="2"/>
    <d v="2025-11-06T00:00:00"/>
    <d v="2025-05-15T00:00:00"/>
    <s v="Amy Williams"/>
    <x v="134"/>
    <s v="Cardiology"/>
    <x v="0"/>
    <s v="$226.97"/>
    <s v="USD"/>
    <n v="226.97"/>
    <n v="226.97"/>
    <n v="0"/>
    <x v="0"/>
    <n v="12"/>
    <n v="1"/>
    <x v="1"/>
  </r>
  <r>
    <n v="1020"/>
    <x v="136"/>
    <s v="Tim Flowers"/>
    <n v="31"/>
    <x v="3"/>
    <x v="2"/>
    <d v="2025-09-29T00:00:00"/>
    <d v="2024-11-04T00:00:00"/>
    <s v="Kimberly Henson"/>
    <x v="135"/>
    <s v="Neurology"/>
    <x v="2"/>
    <s v="Rs139.81"/>
    <s v="INR"/>
    <n v="139.81"/>
    <n v="1.6777200000000001"/>
    <s v="Y"/>
    <x v="1"/>
    <n v="10"/>
    <n v="1"/>
    <x v="2"/>
  </r>
  <r>
    <n v="1089"/>
    <x v="137"/>
    <s v="Gregory Garcia"/>
    <n v="73"/>
    <x v="1"/>
    <x v="0"/>
    <d v="2025-05-01T00:00:00"/>
    <d v="2024-07-25T00:00:00"/>
    <s v="Megan Jensen"/>
    <x v="136"/>
    <s v="Cardiology"/>
    <x v="0"/>
    <s v="$466.08"/>
    <s v="USD"/>
    <n v="466.08"/>
    <n v="466.08"/>
    <s v="N"/>
    <x v="2"/>
    <n v="16"/>
    <n v="1"/>
    <x v="0"/>
  </r>
  <r>
    <n v="1005"/>
    <x v="138"/>
    <s v="Max Martinez"/>
    <n v="63"/>
    <x v="3"/>
    <x v="2"/>
    <d v="2025-09-21T00:00:00"/>
    <d v="2024-11-05T00:00:00"/>
    <s v="Joshua Sellers"/>
    <x v="137"/>
    <s v="Cardiology"/>
    <x v="0"/>
    <s v="Rs352.03"/>
    <s v="INR"/>
    <n v="352.03"/>
    <n v="4.2243599999999999"/>
    <s v="Y"/>
    <x v="1"/>
    <n v="13"/>
    <n v="1"/>
    <x v="1"/>
  </r>
  <r>
    <n v="1031"/>
    <x v="139"/>
    <s v="Paul Hinton"/>
    <n v="49"/>
    <x v="0"/>
    <x v="0"/>
    <d v="2026-01-02T00:00:00"/>
    <d v="2025-11-29T00:00:00"/>
    <s v="Lindsey Fitzpatrick"/>
    <x v="138"/>
    <s v="Neurology"/>
    <x v="2"/>
    <s v="$461.19"/>
    <s v="USD"/>
    <n v="461.19"/>
    <n v="461.19"/>
    <s v="N"/>
    <x v="2"/>
    <n v="13"/>
    <n v="1"/>
    <x v="1"/>
  </r>
  <r>
    <n v="1069"/>
    <x v="140"/>
    <s v="Thomas Landry"/>
    <n v="60"/>
    <x v="3"/>
    <x v="2"/>
    <d v="2025-09-03T00:00:00"/>
    <d v="2025-08-01T00:00:00"/>
    <s v="Brandon Moore"/>
    <x v="139"/>
    <s v="General"/>
    <x v="3"/>
    <m/>
    <s v="N/A"/>
    <s v=""/>
    <s v="N/A"/>
    <s v="No"/>
    <x v="2"/>
    <n v="10"/>
    <n v="1"/>
    <x v="1"/>
  </r>
  <r>
    <n v="1093"/>
    <x v="141"/>
    <s v="Alexander Le"/>
    <n v="77"/>
    <x v="0"/>
    <x v="0"/>
    <d v="2026-01-20T00:00:00"/>
    <d v="2024-04-04T00:00:00"/>
    <s v="Cynthia Booker"/>
    <x v="140"/>
    <s v="Neurology"/>
    <x v="2"/>
    <s v="¬£252.22"/>
    <s v="GBP"/>
    <n v="252.22"/>
    <n v="320.31940000000003"/>
    <n v="1"/>
    <x v="0"/>
    <n v="11"/>
    <n v="1"/>
    <x v="0"/>
  </r>
  <r>
    <n v="1073"/>
    <x v="142"/>
    <s v="Joseph Irwin"/>
    <n v="29"/>
    <x v="4"/>
    <x v="1"/>
    <d v="2025-07-27T00:00:00"/>
    <d v="2025-06-08T00:00:00"/>
    <s v="Jacob Kerr"/>
    <x v="141"/>
    <s v="General"/>
    <x v="3"/>
    <s v="¬£206.74"/>
    <s v="GBP"/>
    <n v="206.74"/>
    <n v="262.5598"/>
    <s v="Y"/>
    <x v="1"/>
    <n v="11"/>
    <n v="1"/>
    <x v="2"/>
  </r>
  <r>
    <n v="1040"/>
    <x v="143"/>
    <s v="Corey Smith"/>
    <n v="52"/>
    <x v="4"/>
    <x v="1"/>
    <d v="2025-05-18T00:00:00"/>
    <d v="2025-02-15T00:00:00"/>
    <s v="Luke Williams"/>
    <x v="142"/>
    <s v="Cardiology"/>
    <x v="0"/>
    <s v="$130.7"/>
    <s v="USD"/>
    <n v="130.69999999999999"/>
    <n v="130.69999999999999"/>
    <s v="N"/>
    <x v="2"/>
    <n v="13"/>
    <n v="1"/>
    <x v="1"/>
  </r>
  <r>
    <n v="1066"/>
    <x v="144"/>
    <s v="Brandon Baker"/>
    <n v="54"/>
    <x v="4"/>
    <x v="1"/>
    <d v="2025-08-12T00:00:00"/>
    <d v="2025-07-25T00:00:00"/>
    <s v="Alison Walters"/>
    <x v="143"/>
    <s v="General"/>
    <x v="3"/>
    <s v="¬£106.33"/>
    <s v="GBP"/>
    <n v="106.33"/>
    <n v="135.03909999999999"/>
    <n v="1"/>
    <x v="0"/>
    <n v="11"/>
    <n v="1"/>
    <x v="1"/>
  </r>
  <r>
    <n v="1047"/>
    <x v="145"/>
    <s v="John Campbell"/>
    <n v="67"/>
    <x v="3"/>
    <x v="2"/>
    <d v="2026-02-10T00:00:00"/>
    <d v="2024-06-21T00:00:00"/>
    <s v="Tanya Baxter"/>
    <x v="144"/>
    <s v="Orthopedics"/>
    <x v="1"/>
    <m/>
    <s v="N/A"/>
    <s v=""/>
    <s v="N/A"/>
    <s v="N"/>
    <x v="2"/>
    <n v="17"/>
    <n v="1"/>
    <x v="0"/>
  </r>
  <r>
    <n v="1021"/>
    <x v="146"/>
    <s v="Craig Hunt"/>
    <n v="38"/>
    <x v="0"/>
    <x v="0"/>
    <d v="2025-11-01T00:00:00"/>
    <d v="2024-05-25T00:00:00"/>
    <s v="Cynthia Brown"/>
    <x v="145"/>
    <s v="Neurology"/>
    <x v="2"/>
    <s v="$122.56"/>
    <s v="USD"/>
    <n v="122.56"/>
    <n v="122.56"/>
    <s v="Yes"/>
    <x v="1"/>
    <n v="16"/>
    <n v="1"/>
    <x v="2"/>
  </r>
  <r>
    <n v="1072"/>
    <x v="147"/>
    <s v="Lisa Cameron"/>
    <n v="37"/>
    <x v="4"/>
    <x v="1"/>
    <d v="2025-08-14T00:00:00"/>
    <d v="2025-08-11T00:00:00"/>
    <s v="Karen Hunt"/>
    <x v="146"/>
    <s v="Cardiology"/>
    <x v="0"/>
    <s v="¬£238.81"/>
    <s v="GBP"/>
    <n v="238.81"/>
    <n v="303.28870000000001"/>
    <n v="0"/>
    <x v="0"/>
    <n v="9"/>
    <n v="1"/>
    <x v="2"/>
  </r>
  <r>
    <n v="1011"/>
    <x v="148"/>
    <s v="Nathaniel Wood"/>
    <n v="66"/>
    <x v="4"/>
    <x v="1"/>
    <d v="2025-04-29T00:00:00"/>
    <d v="2025-04-07T00:00:00"/>
    <s v="Alec Hill"/>
    <x v="147"/>
    <s v="General"/>
    <x v="3"/>
    <s v="Rs413.21"/>
    <s v="INR"/>
    <n v="413.21"/>
    <n v="4.95852"/>
    <n v="1"/>
    <x v="0"/>
    <n v="7"/>
    <n v="1"/>
    <x v="0"/>
  </r>
  <r>
    <n v="1097"/>
    <x v="149"/>
    <s v="Dr. Lindsey Arias DDS"/>
    <n v="48"/>
    <x v="3"/>
    <x v="2"/>
    <d v="2025-09-14T00:00:00"/>
    <d v="2024-11-28T00:00:00"/>
    <s v="Colton Williams"/>
    <x v="148"/>
    <s v="Cardiology"/>
    <x v="0"/>
    <s v="‚Ç¨91.87"/>
    <s v="EUR"/>
    <n v="91.87"/>
    <n v="100.13830000000002"/>
    <s v="N"/>
    <x v="2"/>
    <n v="10"/>
    <n v="1"/>
    <x v="1"/>
  </r>
  <r>
    <n v="1028"/>
    <x v="150"/>
    <s v="Timothy Matthews"/>
    <n v="56"/>
    <x v="4"/>
    <x v="1"/>
    <d v="2025-10-30T00:00:00"/>
    <d v="2024-05-18T00:00:00"/>
    <s v="Brandy Sutton"/>
    <x v="149"/>
    <s v="Orthopedics"/>
    <x v="1"/>
    <s v="‚Ç¨485.5"/>
    <s v="EUR"/>
    <n v="485.5"/>
    <n v="529.19500000000005"/>
    <s v="N"/>
    <x v="2"/>
    <n v="8"/>
    <n v="1"/>
    <x v="1"/>
  </r>
  <r>
    <n v="1057"/>
    <x v="151"/>
    <s v="Katelyn Byrd"/>
    <n v="32"/>
    <x v="4"/>
    <x v="1"/>
    <d v="2025-03-30T00:00:00"/>
    <d v="2024-05-03T00:00:00"/>
    <s v="Barbara Chavez"/>
    <x v="150"/>
    <s v="General"/>
    <x v="3"/>
    <s v="¬£209.81"/>
    <s v="GBP"/>
    <n v="209.81"/>
    <n v="266.45870000000002"/>
    <n v="1"/>
    <x v="0"/>
    <n v="7"/>
    <n v="1"/>
    <x v="2"/>
  </r>
  <r>
    <n v="1002"/>
    <x v="152"/>
    <s v="Jeffrey Bates"/>
    <n v="87"/>
    <x v="2"/>
    <x v="1"/>
    <d v="2025-04-08T00:00:00"/>
    <d v="2024-12-04T00:00:00"/>
    <s v="Lisa Ho"/>
    <x v="151"/>
    <s v="Cardiology"/>
    <x v="0"/>
    <s v="$401.55"/>
    <s v="USD"/>
    <n v="401.55"/>
    <n v="401.55"/>
    <s v="Yes"/>
    <x v="1"/>
    <n v="7"/>
    <n v="1"/>
    <x v="0"/>
  </r>
  <r>
    <n v="1065"/>
    <x v="153"/>
    <s v="Kevin Johnson"/>
    <n v="18"/>
    <x v="3"/>
    <x v="2"/>
    <d v="2025-10-25T00:00:00"/>
    <d v="2024-09-03T00:00:00"/>
    <s v="Lance Smith"/>
    <x v="152"/>
    <s v="Neurology"/>
    <x v="2"/>
    <s v="Rs283.3"/>
    <s v="INR"/>
    <n v="283.3"/>
    <n v="3.3996000000000004"/>
    <n v="0"/>
    <x v="0"/>
    <n v="9"/>
    <n v="1"/>
    <x v="2"/>
  </r>
  <r>
    <n v="1026"/>
    <x v="154"/>
    <s v="Kelly Mcknight"/>
    <n v="87"/>
    <x v="3"/>
    <x v="2"/>
    <d v="2026-02-03T00:00:00"/>
    <d v="2025-07-12T00:00:00"/>
    <s v="Jerry Lopez"/>
    <x v="153"/>
    <s v="Neurology"/>
    <x v="2"/>
    <s v="¬£146.2"/>
    <s v="GBP"/>
    <n v="146.19999999999999"/>
    <n v="185.67399999999998"/>
    <s v="Y"/>
    <x v="1"/>
    <n v="10"/>
    <n v="1"/>
    <x v="0"/>
  </r>
  <r>
    <n v="1100"/>
    <x v="155"/>
    <s v="Jamie Wright"/>
    <n v="62"/>
    <x v="3"/>
    <x v="2"/>
    <d v="2025-04-03T00:00:00"/>
    <d v="2025-03-18T00:00:00"/>
    <s v="Lori Hall"/>
    <x v="154"/>
    <s v="Orthopedics"/>
    <x v="1"/>
    <s v="‚Ç¨211.18"/>
    <s v="EUR"/>
    <n v="211.18"/>
    <n v="230.18620000000001"/>
    <s v="Y"/>
    <x v="1"/>
    <n v="8"/>
    <n v="1"/>
    <x v="1"/>
  </r>
  <r>
    <n v="1066"/>
    <x v="156"/>
    <s v="Kimberly Conner"/>
    <n v="86"/>
    <x v="1"/>
    <x v="0"/>
    <d v="2026-02-18T00:00:00"/>
    <d v="2024-10-12T00:00:00"/>
    <s v="Steven Holland"/>
    <x v="155"/>
    <s v="Cardiology"/>
    <x v="0"/>
    <s v="¬£476.99"/>
    <s v="GBP"/>
    <n v="476.99"/>
    <n v="605.77729999999997"/>
    <n v="1"/>
    <x v="0"/>
    <n v="11"/>
    <n v="1"/>
    <x v="0"/>
  </r>
  <r>
    <n v="1025"/>
    <x v="157"/>
    <s v="Kelli Page"/>
    <n v="25"/>
    <x v="4"/>
    <x v="1"/>
    <d v="2025-10-08T00:00:00"/>
    <d v="2025-03-24T00:00:00"/>
    <s v="Stephanie Wall"/>
    <x v="156"/>
    <s v="Orthopedics"/>
    <x v="1"/>
    <s v="$248.33"/>
    <s v="USD"/>
    <n v="248.33"/>
    <n v="248.33"/>
    <n v="0"/>
    <x v="0"/>
    <n v="9"/>
    <n v="1"/>
    <x v="2"/>
  </r>
  <r>
    <n v="1038"/>
    <x v="158"/>
    <s v="Deanna Abbott"/>
    <n v="46"/>
    <x v="0"/>
    <x v="0"/>
    <d v="2025-09-04T00:00:00"/>
    <d v="2025-05-08T00:00:00"/>
    <s v="Damon Hayes"/>
    <x v="157"/>
    <s v="Orthopedics"/>
    <x v="1"/>
    <s v="¬£192.67"/>
    <s v="GBP"/>
    <n v="192.67"/>
    <n v="244.6909"/>
    <n v="1"/>
    <x v="0"/>
    <n v="10"/>
    <n v="1"/>
    <x v="1"/>
  </r>
  <r>
    <n v="1038"/>
    <x v="159"/>
    <s v="Lindsay Rodriguez"/>
    <n v="39"/>
    <x v="4"/>
    <x v="1"/>
    <d v="2025-10-23T00:00:00"/>
    <d v="2025-07-18T00:00:00"/>
    <s v="Troy Lynch"/>
    <x v="158"/>
    <s v="Orthopedics"/>
    <x v="1"/>
    <m/>
    <s v="N/A"/>
    <s v=""/>
    <s v="N/A"/>
    <n v="0"/>
    <x v="0"/>
    <n v="10"/>
    <n v="1"/>
    <x v="2"/>
  </r>
  <r>
    <n v="1000"/>
    <x v="160"/>
    <s v="Christopher Singleton"/>
    <n v="81"/>
    <x v="1"/>
    <x v="0"/>
    <d v="2025-10-26T00:00:00"/>
    <d v="2025-02-19T00:00:00"/>
    <s v="Brandy Graves"/>
    <x v="159"/>
    <s v="General"/>
    <x v="3"/>
    <s v="$65.06"/>
    <s v="USD"/>
    <n v="65.06"/>
    <n v="65.06"/>
    <n v="1"/>
    <x v="0"/>
    <n v="3"/>
    <n v="1"/>
    <x v="0"/>
  </r>
  <r>
    <n v="1008"/>
    <x v="161"/>
    <s v="Michael Walsh"/>
    <n v="69"/>
    <x v="3"/>
    <x v="2"/>
    <d v="2025-05-08T00:00:00"/>
    <d v="2025-01-24T00:00:00"/>
    <s v="Tammy Watts"/>
    <x v="160"/>
    <s v="Neurology"/>
    <x v="2"/>
    <s v="¬£117.14"/>
    <s v="GBP"/>
    <n v="117.14"/>
    <n v="148.76779999999999"/>
    <s v="Yes"/>
    <x v="1"/>
    <n v="11"/>
    <n v="1"/>
    <x v="0"/>
  </r>
  <r>
    <n v="1078"/>
    <x v="162"/>
    <s v="Caroline Reed"/>
    <n v="54"/>
    <x v="3"/>
    <x v="2"/>
    <d v="2025-07-29T00:00:00"/>
    <d v="2024-06-06T00:00:00"/>
    <s v="Eric Kelly"/>
    <x v="161"/>
    <s v="Neurology"/>
    <x v="2"/>
    <s v="Rs433.77"/>
    <s v="INR"/>
    <n v="433.77"/>
    <n v="5.2052399999999999"/>
    <s v="No"/>
    <x v="2"/>
    <n v="8"/>
    <n v="1"/>
    <x v="1"/>
  </r>
  <r>
    <n v="1038"/>
    <x v="163"/>
    <s v="Jennifer Wells"/>
    <n v="79"/>
    <x v="1"/>
    <x v="0"/>
    <d v="2025-05-13T00:00:00"/>
    <d v="2024-09-02T00:00:00"/>
    <s v="David Cole"/>
    <x v="162"/>
    <s v="Orthopedics"/>
    <x v="1"/>
    <s v="$82.84"/>
    <s v="USD"/>
    <n v="82.84"/>
    <n v="82.84"/>
    <s v="No"/>
    <x v="2"/>
    <n v="10"/>
    <n v="1"/>
    <x v="0"/>
  </r>
  <r>
    <n v="1082"/>
    <x v="164"/>
    <s v="Gary Walker"/>
    <n v="87"/>
    <x v="3"/>
    <x v="2"/>
    <d v="2025-03-26T00:00:00"/>
    <d v="2024-03-26T00:00:00"/>
    <s v="Matthew Lopez"/>
    <x v="163"/>
    <s v="Orthopedics"/>
    <x v="1"/>
    <s v="Rs216.23"/>
    <s v="INR"/>
    <n v="216.23"/>
    <n v="2.59476"/>
    <s v="Yes"/>
    <x v="1"/>
    <n v="14"/>
    <n v="1"/>
    <x v="0"/>
  </r>
  <r>
    <n v="1028"/>
    <x v="165"/>
    <s v="Michelle Johnson"/>
    <n v="24"/>
    <x v="4"/>
    <x v="1"/>
    <d v="2025-12-19T00:00:00"/>
    <d v="2025-07-01T00:00:00"/>
    <s v="Jennifer Brooks"/>
    <x v="164"/>
    <s v="General"/>
    <x v="3"/>
    <s v="‚Ç¨492.98"/>
    <s v="EUR"/>
    <n v="492.98"/>
    <n v="537.34820000000002"/>
    <s v="Yes"/>
    <x v="1"/>
    <n v="8"/>
    <n v="1"/>
    <x v="2"/>
  </r>
  <r>
    <n v="1048"/>
    <x v="166"/>
    <s v="Malik Robinson"/>
    <n v="77"/>
    <x v="0"/>
    <x v="0"/>
    <d v="2025-10-21T00:00:00"/>
    <d v="2024-07-18T00:00:00"/>
    <s v="Amber Little"/>
    <x v="165"/>
    <s v="General"/>
    <x v="3"/>
    <s v="Rs280.77"/>
    <s v="INR"/>
    <n v="280.77"/>
    <n v="3.36924"/>
    <s v="N"/>
    <x v="2"/>
    <n v="8"/>
    <n v="1"/>
    <x v="0"/>
  </r>
  <r>
    <n v="1035"/>
    <x v="167"/>
    <s v="Michael Glenn"/>
    <n v="60"/>
    <x v="3"/>
    <x v="2"/>
    <d v="2025-11-13T00:00:00"/>
    <d v="2025-06-23T00:00:00"/>
    <s v="Robert Martinez"/>
    <x v="166"/>
    <s v="Cardiology"/>
    <x v="0"/>
    <s v="$99.19"/>
    <s v="USD"/>
    <n v="99.19"/>
    <n v="99.19"/>
    <s v="N"/>
    <x v="2"/>
    <n v="9"/>
    <n v="1"/>
    <x v="1"/>
  </r>
  <r>
    <n v="1010"/>
    <x v="168"/>
    <s v="Anthony Cortez"/>
    <n v="57"/>
    <x v="4"/>
    <x v="1"/>
    <d v="2025-05-25T00:00:00"/>
    <d v="2025-03-28T00:00:00"/>
    <s v="Derrick Cook"/>
    <x v="167"/>
    <s v="General"/>
    <x v="3"/>
    <s v="$225.83"/>
    <s v="USD"/>
    <n v="225.83"/>
    <n v="225.83"/>
    <s v="Y"/>
    <x v="1"/>
    <n v="10"/>
    <n v="1"/>
    <x v="1"/>
  </r>
  <r>
    <n v="1043"/>
    <x v="169"/>
    <s v="Daniel Cole"/>
    <n v="69"/>
    <x v="4"/>
    <x v="1"/>
    <d v="2025-05-06T00:00:00"/>
    <d v="2024-09-28T00:00:00"/>
    <s v="Dustin Jones"/>
    <x v="168"/>
    <s v="Cardiology"/>
    <x v="0"/>
    <s v="$458.12"/>
    <s v="USD"/>
    <n v="458.12"/>
    <n v="458.12"/>
    <s v="Yes"/>
    <x v="1"/>
    <n v="12"/>
    <n v="1"/>
    <x v="0"/>
  </r>
  <r>
    <n v="1083"/>
    <x v="170"/>
    <s v="Matthew Lloyd"/>
    <n v="58"/>
    <x v="2"/>
    <x v="1"/>
    <d v="2026-01-17T00:00:00"/>
    <d v="2025-07-21T00:00:00"/>
    <s v="Timothy Morgan"/>
    <x v="169"/>
    <s v="Cardiology"/>
    <x v="0"/>
    <s v="‚Ç¨244.78"/>
    <s v="EUR"/>
    <n v="244.78"/>
    <n v="266.81020000000001"/>
    <s v="N"/>
    <x v="2"/>
    <n v="7"/>
    <n v="1"/>
    <x v="1"/>
  </r>
  <r>
    <n v="1026"/>
    <x v="171"/>
    <s v="Jason Hicks"/>
    <n v="86"/>
    <x v="1"/>
    <x v="0"/>
    <d v="2025-12-17T00:00:00"/>
    <d v="2025-09-19T00:00:00"/>
    <s v="Stacey Garcia"/>
    <x v="170"/>
    <s v="Orthopedics"/>
    <x v="1"/>
    <s v="‚Ç¨330.37"/>
    <s v="EUR"/>
    <n v="330.37"/>
    <n v="360.10330000000005"/>
    <n v="0"/>
    <x v="0"/>
    <n v="10"/>
    <n v="1"/>
    <x v="0"/>
  </r>
  <r>
    <n v="1046"/>
    <x v="172"/>
    <s v="Stephanie Cisneros"/>
    <n v="50"/>
    <x v="1"/>
    <x v="0"/>
    <d v="2025-12-03T00:00:00"/>
    <d v="2024-08-02T00:00:00"/>
    <s v="Rachel Richards"/>
    <x v="171"/>
    <s v="Orthopedics"/>
    <x v="1"/>
    <s v="¬£98.14"/>
    <s v="GBP"/>
    <n v="98.14"/>
    <n v="124.6378"/>
    <s v="Yes"/>
    <x v="1"/>
    <n v="8"/>
    <n v="1"/>
    <x v="1"/>
  </r>
  <r>
    <n v="1084"/>
    <x v="173"/>
    <s v="Troy Taylor"/>
    <n v="52"/>
    <x v="3"/>
    <x v="2"/>
    <d v="2025-12-28T00:00:00"/>
    <d v="2025-02-24T00:00:00"/>
    <s v="Jason Gill"/>
    <x v="172"/>
    <s v="General"/>
    <x v="3"/>
    <s v="¬£464.69"/>
    <s v="GBP"/>
    <n v="464.69"/>
    <n v="590.15629999999999"/>
    <s v="Yes"/>
    <x v="1"/>
    <n v="15"/>
    <n v="1"/>
    <x v="1"/>
  </r>
  <r>
    <n v="1006"/>
    <x v="174"/>
    <s v="Charles Cruz"/>
    <n v="54"/>
    <x v="0"/>
    <x v="0"/>
    <d v="2026-01-27T00:00:00"/>
    <d v="2024-09-01T00:00:00"/>
    <s v="Jessica Sawyer"/>
    <x v="173"/>
    <s v="Orthopedics"/>
    <x v="1"/>
    <s v="¬£91.65"/>
    <s v="GBP"/>
    <n v="91.65"/>
    <n v="116.39550000000001"/>
    <s v="No"/>
    <x v="2"/>
    <n v="8"/>
    <n v="1"/>
    <x v="1"/>
  </r>
  <r>
    <n v="1015"/>
    <x v="175"/>
    <s v="Brenda Ward"/>
    <n v="43"/>
    <x v="3"/>
    <x v="2"/>
    <d v="2025-11-26T00:00:00"/>
    <d v="2025-08-25T00:00:00"/>
    <s v="Tonya Smith"/>
    <x v="174"/>
    <s v="Neurology"/>
    <x v="2"/>
    <s v="Rs425.67"/>
    <s v="INR"/>
    <n v="425.67"/>
    <n v="5.1080399999999999"/>
    <s v="Y"/>
    <x v="1"/>
    <n v="17"/>
    <n v="1"/>
    <x v="1"/>
  </r>
  <r>
    <n v="1091"/>
    <x v="176"/>
    <s v="David Martinez"/>
    <n v="80"/>
    <x v="4"/>
    <x v="1"/>
    <d v="2025-09-13T00:00:00"/>
    <d v="2025-07-07T00:00:00"/>
    <s v="Amber Braun"/>
    <x v="175"/>
    <s v="Cardiology"/>
    <x v="0"/>
    <m/>
    <s v="N/A"/>
    <s v=""/>
    <s v="N/A"/>
    <s v="Y"/>
    <x v="1"/>
    <n v="9"/>
    <n v="1"/>
    <x v="0"/>
  </r>
  <r>
    <n v="1024"/>
    <x v="177"/>
    <s v="Alex Webster"/>
    <n v="34"/>
    <x v="2"/>
    <x v="1"/>
    <d v="2026-02-11T00:00:00"/>
    <d v="2024-12-24T00:00:00"/>
    <s v="Lorraine Schroeder"/>
    <x v="176"/>
    <s v="Orthopedics"/>
    <x v="1"/>
    <s v="‚Ç¨140.86"/>
    <s v="EUR"/>
    <n v="140.86000000000001"/>
    <n v="153.53740000000002"/>
    <n v="1"/>
    <x v="0"/>
    <n v="12"/>
    <n v="1"/>
    <x v="2"/>
  </r>
  <r>
    <n v="1033"/>
    <x v="178"/>
    <s v="Carl Sanchez"/>
    <n v="87"/>
    <x v="0"/>
    <x v="0"/>
    <d v="2025-04-06T00:00:00"/>
    <d v="2024-08-02T00:00:00"/>
    <s v="Christina Price"/>
    <x v="177"/>
    <s v="Orthopedics"/>
    <x v="1"/>
    <s v="$446.06"/>
    <s v="USD"/>
    <n v="446.06"/>
    <n v="446.06"/>
    <s v="N"/>
    <x v="2"/>
    <n v="11"/>
    <n v="1"/>
    <x v="0"/>
  </r>
  <r>
    <n v="1010"/>
    <x v="179"/>
    <s v="Lucas Ray"/>
    <n v="21"/>
    <x v="1"/>
    <x v="0"/>
    <d v="2026-02-12T00:00:00"/>
    <d v="2025-02-07T00:00:00"/>
    <s v="Carrie Larsen"/>
    <x v="178"/>
    <s v="Neurology"/>
    <x v="2"/>
    <s v="¬£138.59"/>
    <s v="GBP"/>
    <n v="138.59"/>
    <n v="176.0093"/>
    <s v="Y"/>
    <x v="1"/>
    <n v="10"/>
    <n v="1"/>
    <x v="2"/>
  </r>
  <r>
    <n v="1082"/>
    <x v="180"/>
    <s v="Cynthia Wells"/>
    <n v="37"/>
    <x v="2"/>
    <x v="1"/>
    <d v="2025-11-17T00:00:00"/>
    <d v="2025-01-07T00:00:00"/>
    <s v="Ashlee Romero"/>
    <x v="179"/>
    <s v="Orthopedics"/>
    <x v="1"/>
    <s v="¬£448.6"/>
    <s v="GBP"/>
    <n v="448.6"/>
    <n v="569.72200000000009"/>
    <n v="0"/>
    <x v="0"/>
    <n v="14"/>
    <n v="1"/>
    <x v="2"/>
  </r>
  <r>
    <n v="1096"/>
    <x v="181"/>
    <s v="Dwayne Clarke"/>
    <n v="42"/>
    <x v="4"/>
    <x v="1"/>
    <d v="2025-08-12T00:00:00"/>
    <d v="2024-09-08T00:00:00"/>
    <s v="Andrew Meadows"/>
    <x v="180"/>
    <s v="Neurology"/>
    <x v="2"/>
    <s v="‚Ç¨150.94"/>
    <s v="EUR"/>
    <n v="150.94"/>
    <n v="164.52460000000002"/>
    <s v="No"/>
    <x v="2"/>
    <n v="4"/>
    <n v="1"/>
    <x v="1"/>
  </r>
  <r>
    <n v="1011"/>
    <x v="182"/>
    <s v="James Jimenez"/>
    <n v="53"/>
    <x v="3"/>
    <x v="2"/>
    <d v="2025-10-26T00:00:00"/>
    <d v="2025-09-14T00:00:00"/>
    <s v="Ryan Marsh"/>
    <x v="181"/>
    <s v="Neurology"/>
    <x v="2"/>
    <s v="‚Ç¨339.19"/>
    <s v="EUR"/>
    <n v="339.19"/>
    <n v="369.71710000000002"/>
    <n v="0"/>
    <x v="0"/>
    <n v="7"/>
    <n v="1"/>
    <x v="1"/>
  </r>
  <r>
    <n v="1002"/>
    <x v="183"/>
    <s v="Dr. Michele Copeland"/>
    <n v="35"/>
    <x v="3"/>
    <x v="2"/>
    <d v="2025-09-25T00:00:00"/>
    <d v="2024-05-24T00:00:00"/>
    <s v="Debra Castillo"/>
    <x v="182"/>
    <s v="Neurology"/>
    <x v="2"/>
    <s v="‚Ç¨187.28"/>
    <s v="EUR"/>
    <n v="187.28"/>
    <n v="204.13520000000003"/>
    <s v="Y"/>
    <x v="1"/>
    <n v="7"/>
    <n v="1"/>
    <x v="2"/>
  </r>
  <r>
    <n v="1016"/>
    <x v="184"/>
    <s v="Travis Allen MD"/>
    <n v="44"/>
    <x v="4"/>
    <x v="1"/>
    <d v="2025-06-22T00:00:00"/>
    <d v="2024-06-18T00:00:00"/>
    <s v="Karen White"/>
    <x v="183"/>
    <s v="Orthopedics"/>
    <x v="1"/>
    <s v="‚Ç¨157.66"/>
    <s v="EUR"/>
    <n v="157.66"/>
    <n v="171.8494"/>
    <n v="1"/>
    <x v="0"/>
    <n v="15"/>
    <n v="1"/>
    <x v="1"/>
  </r>
  <r>
    <n v="1077"/>
    <x v="185"/>
    <s v="Bradley Fuller"/>
    <n v="83"/>
    <x v="4"/>
    <x v="1"/>
    <d v="2025-05-13T00:00:00"/>
    <d v="2025-02-28T00:00:00"/>
    <s v="John Yang"/>
    <x v="184"/>
    <s v="General"/>
    <x v="3"/>
    <s v="Rs69.97"/>
    <s v="INR"/>
    <n v="69.97"/>
    <n v="0.83964000000000005"/>
    <s v="Yes"/>
    <x v="1"/>
    <n v="10"/>
    <n v="1"/>
    <x v="0"/>
  </r>
  <r>
    <n v="1026"/>
    <x v="186"/>
    <s v="Miss Crystal Davis DDS"/>
    <n v="25"/>
    <x v="0"/>
    <x v="0"/>
    <d v="2025-07-07T00:00:00"/>
    <d v="2024-06-06T00:00:00"/>
    <s v="Christopher Hayes"/>
    <x v="185"/>
    <s v="General"/>
    <x v="3"/>
    <s v="¬£490.55"/>
    <s v="GBP"/>
    <n v="490.55"/>
    <n v="622.99850000000004"/>
    <s v="Y"/>
    <x v="1"/>
    <n v="10"/>
    <n v="1"/>
    <x v="2"/>
  </r>
  <r>
    <n v="1052"/>
    <x v="187"/>
    <s v="Kara White"/>
    <n v="59"/>
    <x v="3"/>
    <x v="2"/>
    <d v="2026-03-14T00:00:00"/>
    <d v="2025-01-26T00:00:00"/>
    <s v="Kyle Dawson"/>
    <x v="186"/>
    <s v="Orthopedics"/>
    <x v="1"/>
    <s v="‚Ç¨315.64"/>
    <s v="EUR"/>
    <n v="315.64"/>
    <n v="344.04759999999999"/>
    <s v="N"/>
    <x v="2"/>
    <n v="8"/>
    <n v="1"/>
    <x v="1"/>
  </r>
  <r>
    <n v="1040"/>
    <x v="188"/>
    <s v="Briana Guerrero"/>
    <n v="33"/>
    <x v="0"/>
    <x v="0"/>
    <d v="2026-01-19T00:00:00"/>
    <d v="2024-03-30T00:00:00"/>
    <s v="Molly Warner"/>
    <x v="187"/>
    <s v="General"/>
    <x v="3"/>
    <s v="¬£231.08"/>
    <s v="GBP"/>
    <n v="231.08"/>
    <n v="293.47160000000002"/>
    <n v="1"/>
    <x v="0"/>
    <n v="13"/>
    <n v="1"/>
    <x v="2"/>
  </r>
  <r>
    <n v="1068"/>
    <x v="189"/>
    <s v="Judy Nguyen"/>
    <n v="29"/>
    <x v="4"/>
    <x v="1"/>
    <d v="2025-05-27T00:00:00"/>
    <d v="2024-10-23T00:00:00"/>
    <s v="Michelle Ortega"/>
    <x v="188"/>
    <s v="General"/>
    <x v="3"/>
    <s v="$429.14"/>
    <s v="USD"/>
    <n v="429.14"/>
    <n v="429.14"/>
    <s v="Yes"/>
    <x v="1"/>
    <n v="14"/>
    <n v="1"/>
    <x v="2"/>
  </r>
  <r>
    <n v="1013"/>
    <x v="190"/>
    <s v="Sandra Murphy"/>
    <n v="25"/>
    <x v="2"/>
    <x v="1"/>
    <d v="2025-11-01T00:00:00"/>
    <d v="2024-07-29T00:00:00"/>
    <s v="Shelby Brown"/>
    <x v="189"/>
    <s v="Orthopedics"/>
    <x v="1"/>
    <s v="Rs93.12"/>
    <s v="INR"/>
    <n v="93.12"/>
    <n v="1.11744"/>
    <s v="No"/>
    <x v="2"/>
    <n v="10"/>
    <n v="1"/>
    <x v="2"/>
  </r>
  <r>
    <n v="1024"/>
    <x v="191"/>
    <s v="Debra Ford"/>
    <n v="33"/>
    <x v="3"/>
    <x v="2"/>
    <d v="2026-02-22T00:00:00"/>
    <d v="2025-09-19T00:00:00"/>
    <s v="Allison Smith"/>
    <x v="190"/>
    <s v="Orthopedics"/>
    <x v="1"/>
    <s v="¬£461.81"/>
    <s v="GBP"/>
    <n v="461.81"/>
    <n v="586.49869999999999"/>
    <s v="Y"/>
    <x v="1"/>
    <n v="12"/>
    <n v="1"/>
    <x v="2"/>
  </r>
  <r>
    <n v="1033"/>
    <x v="192"/>
    <s v="Michelle Harris"/>
    <n v="56"/>
    <x v="3"/>
    <x v="2"/>
    <d v="2025-11-07T00:00:00"/>
    <d v="2024-12-06T00:00:00"/>
    <s v="Matthew Garrett"/>
    <x v="191"/>
    <s v="Orthopedics"/>
    <x v="1"/>
    <s v="‚Ç¨130.72"/>
    <s v="EUR"/>
    <n v="130.72"/>
    <n v="142.48480000000001"/>
    <s v="Yes"/>
    <x v="1"/>
    <n v="11"/>
    <n v="1"/>
    <x v="1"/>
  </r>
  <r>
    <n v="1067"/>
    <x v="193"/>
    <s v="Ariel Davis"/>
    <n v="85"/>
    <x v="4"/>
    <x v="1"/>
    <d v="2025-10-25T00:00:00"/>
    <d v="2025-02-21T00:00:00"/>
    <s v="Jason Gallagher"/>
    <x v="192"/>
    <s v="Orthopedics"/>
    <x v="1"/>
    <s v="Rs85.63"/>
    <s v="INR"/>
    <n v="85.63"/>
    <n v="1.02756"/>
    <s v="Y"/>
    <x v="1"/>
    <n v="9"/>
    <n v="1"/>
    <x v="0"/>
  </r>
  <r>
    <n v="1045"/>
    <x v="194"/>
    <s v="Anna Garrett"/>
    <n v="24"/>
    <x v="0"/>
    <x v="0"/>
    <d v="2025-05-30T00:00:00"/>
    <d v="2025-03-20T00:00:00"/>
    <s v="Alice Lucas"/>
    <x v="193"/>
    <s v="Neurology"/>
    <x v="2"/>
    <s v="‚Ç¨394.9"/>
    <s v="EUR"/>
    <n v="394.9"/>
    <n v="430.44100000000003"/>
    <s v="Yes"/>
    <x v="1"/>
    <n v="8"/>
    <n v="1"/>
    <x v="2"/>
  </r>
  <r>
    <n v="1087"/>
    <x v="195"/>
    <s v="Kimberly Guzman"/>
    <n v="31"/>
    <x v="3"/>
    <x v="2"/>
    <d v="2025-11-18T00:00:00"/>
    <d v="2025-04-02T00:00:00"/>
    <s v="Kristin Reeves"/>
    <x v="194"/>
    <s v="General"/>
    <x v="3"/>
    <m/>
    <s v="N/A"/>
    <s v=""/>
    <s v="N/A"/>
    <s v="Y"/>
    <x v="1"/>
    <n v="8"/>
    <n v="1"/>
    <x v="2"/>
  </r>
  <r>
    <n v="1056"/>
    <x v="196"/>
    <s v="Terry Miller"/>
    <n v="24"/>
    <x v="1"/>
    <x v="0"/>
    <d v="2025-04-22T00:00:00"/>
    <d v="2025-03-24T00:00:00"/>
    <s v="John Lyons"/>
    <x v="195"/>
    <s v="General"/>
    <x v="3"/>
    <m/>
    <s v="N/A"/>
    <s v=""/>
    <s v="N/A"/>
    <s v="Yes"/>
    <x v="1"/>
    <n v="13"/>
    <n v="1"/>
    <x v="2"/>
  </r>
  <r>
    <n v="1053"/>
    <x v="197"/>
    <s v="Marissa Davidson"/>
    <n v="81"/>
    <x v="0"/>
    <x v="0"/>
    <d v="2025-04-13T00:00:00"/>
    <d v="2024-12-03T00:00:00"/>
    <s v="Philip Davis"/>
    <x v="196"/>
    <s v="Cardiology"/>
    <x v="0"/>
    <s v="¬£499.67"/>
    <s v="GBP"/>
    <n v="499.67"/>
    <n v="634.58090000000004"/>
    <s v="Y"/>
    <x v="1"/>
    <n v="14"/>
    <n v="1"/>
    <x v="0"/>
  </r>
  <r>
    <n v="1059"/>
    <x v="198"/>
    <s v="Emma Martin"/>
    <n v="79"/>
    <x v="4"/>
    <x v="1"/>
    <d v="2025-08-24T00:00:00"/>
    <d v="2025-08-21T00:00:00"/>
    <s v="Charles Mcmillan"/>
    <x v="197"/>
    <s v="Orthopedics"/>
    <x v="1"/>
    <s v="‚Ç¨66.64"/>
    <s v="EUR"/>
    <n v="66.64"/>
    <n v="72.637600000000006"/>
    <s v="Yes"/>
    <x v="1"/>
    <n v="13"/>
    <n v="1"/>
    <x v="0"/>
  </r>
  <r>
    <n v="1050"/>
    <x v="199"/>
    <s v="William Lewis"/>
    <n v="32"/>
    <x v="2"/>
    <x v="1"/>
    <d v="2025-04-04T00:00:00"/>
    <d v="2024-05-16T00:00:00"/>
    <s v="Wesley Johnson"/>
    <x v="198"/>
    <s v="Orthopedics"/>
    <x v="1"/>
    <s v="Rs361.31"/>
    <s v="INR"/>
    <n v="361.31"/>
    <n v="4.3357200000000002"/>
    <s v="Y"/>
    <x v="1"/>
    <n v="12"/>
    <n v="1"/>
    <x v="2"/>
  </r>
  <r>
    <n v="1044"/>
    <x v="200"/>
    <s v="Robert Mclaughlin"/>
    <n v="21"/>
    <x v="0"/>
    <x v="0"/>
    <d v="2025-06-22T00:00:00"/>
    <d v="2024-06-09T00:00:00"/>
    <s v="Shannon Mejia"/>
    <x v="199"/>
    <s v="Orthopedics"/>
    <x v="1"/>
    <s v="¬£205.31"/>
    <s v="GBP"/>
    <n v="205.31"/>
    <n v="260.74369999999999"/>
    <s v="N"/>
    <x v="2"/>
    <n v="12"/>
    <n v="1"/>
    <x v="2"/>
  </r>
  <r>
    <n v="1089"/>
    <x v="201"/>
    <s v="William Sparks"/>
    <n v="48"/>
    <x v="3"/>
    <x v="2"/>
    <d v="2025-03-26T00:00:00"/>
    <d v="2024-12-03T00:00:00"/>
    <s v="Jeffrey Ashley Jr."/>
    <x v="200"/>
    <s v="Cardiology"/>
    <x v="0"/>
    <s v="Rs193.18"/>
    <s v="INR"/>
    <n v="193.18"/>
    <n v="2.3181600000000002"/>
    <n v="0"/>
    <x v="0"/>
    <n v="16"/>
    <n v="1"/>
    <x v="1"/>
  </r>
  <r>
    <n v="1074"/>
    <x v="202"/>
    <s v="David Kidd"/>
    <n v="23"/>
    <x v="4"/>
    <x v="1"/>
    <d v="2025-11-23T00:00:00"/>
    <d v="2025-09-10T00:00:00"/>
    <s v="Kathy Thompson"/>
    <x v="201"/>
    <s v="Orthopedics"/>
    <x v="1"/>
    <s v="¬£321.34"/>
    <s v="GBP"/>
    <n v="321.33999999999997"/>
    <n v="408.10179999999997"/>
    <s v="N"/>
    <x v="2"/>
    <n v="17"/>
    <n v="1"/>
    <x v="2"/>
  </r>
  <r>
    <n v="1026"/>
    <x v="203"/>
    <s v="Brandon Martin"/>
    <n v="87"/>
    <x v="3"/>
    <x v="2"/>
    <d v="2026-02-06T00:00:00"/>
    <d v="2024-08-11T00:00:00"/>
    <s v="John Miller"/>
    <x v="202"/>
    <s v="Neurology"/>
    <x v="2"/>
    <s v="$446.44"/>
    <s v="USD"/>
    <n v="446.44"/>
    <n v="446.44"/>
    <s v="Yes"/>
    <x v="1"/>
    <n v="10"/>
    <n v="1"/>
    <x v="0"/>
  </r>
  <r>
    <n v="1059"/>
    <x v="204"/>
    <s v="Amanda Martinez"/>
    <n v="27"/>
    <x v="3"/>
    <x v="2"/>
    <d v="2025-08-23T00:00:00"/>
    <d v="2024-11-12T00:00:00"/>
    <s v="Gary Bowman"/>
    <x v="203"/>
    <s v="General"/>
    <x v="3"/>
    <s v="$165.8"/>
    <s v="USD"/>
    <n v="165.8"/>
    <n v="165.8"/>
    <s v="Y"/>
    <x v="1"/>
    <n v="13"/>
    <n v="1"/>
    <x v="2"/>
  </r>
  <r>
    <n v="1065"/>
    <x v="205"/>
    <s v="Nancy Barry"/>
    <n v="71"/>
    <x v="0"/>
    <x v="0"/>
    <d v="2026-03-07T00:00:00"/>
    <d v="2025-03-30T00:00:00"/>
    <s v="Katherine Espinoza"/>
    <x v="204"/>
    <s v="Cardiology"/>
    <x v="0"/>
    <s v="Rs493.59"/>
    <s v="INR"/>
    <n v="493.59"/>
    <n v="5.9230799999999997"/>
    <n v="1"/>
    <x v="0"/>
    <n v="9"/>
    <n v="1"/>
    <x v="0"/>
  </r>
  <r>
    <n v="1085"/>
    <x v="206"/>
    <s v="Clinton Estrada"/>
    <n v="75"/>
    <x v="4"/>
    <x v="1"/>
    <d v="2025-11-06T00:00:00"/>
    <d v="2024-10-14T00:00:00"/>
    <s v="Jacob Bender"/>
    <x v="205"/>
    <s v="Orthopedics"/>
    <x v="1"/>
    <m/>
    <s v="N/A"/>
    <s v=""/>
    <s v="N/A"/>
    <s v="Y"/>
    <x v="1"/>
    <n v="12"/>
    <n v="1"/>
    <x v="0"/>
  </r>
  <r>
    <n v="1024"/>
    <x v="207"/>
    <s v="Maria Douglas"/>
    <n v="86"/>
    <x v="3"/>
    <x v="2"/>
    <d v="2026-02-17T00:00:00"/>
    <d v="2026-01-15T00:00:00"/>
    <s v="Daniel Evans"/>
    <x v="206"/>
    <s v="Orthopedics"/>
    <x v="1"/>
    <s v="‚Ç¨489.64"/>
    <s v="EUR"/>
    <n v="489.64"/>
    <n v="533.70760000000007"/>
    <s v="Yes"/>
    <x v="1"/>
    <n v="12"/>
    <n v="1"/>
    <x v="0"/>
  </r>
  <r>
    <n v="1048"/>
    <x v="208"/>
    <s v="Walter Webb"/>
    <n v="33"/>
    <x v="3"/>
    <x v="2"/>
    <d v="2025-09-26T00:00:00"/>
    <d v="2024-09-03T00:00:00"/>
    <s v="Dale Herrera"/>
    <x v="207"/>
    <s v="Neurology"/>
    <x v="2"/>
    <m/>
    <s v="N/A"/>
    <s v=""/>
    <s v="N/A"/>
    <s v="Y"/>
    <x v="1"/>
    <n v="8"/>
    <n v="1"/>
    <x v="2"/>
  </r>
  <r>
    <n v="1069"/>
    <x v="209"/>
    <s v="Megan Avery"/>
    <n v="73"/>
    <x v="1"/>
    <x v="0"/>
    <d v="2026-01-08T00:00:00"/>
    <d v="2024-08-13T00:00:00"/>
    <s v="Michael Arroyo Jr."/>
    <x v="208"/>
    <s v="General"/>
    <x v="3"/>
    <s v="$96.48"/>
    <s v="USD"/>
    <n v="96.48"/>
    <n v="96.48"/>
    <s v="Yes"/>
    <x v="1"/>
    <n v="10"/>
    <n v="1"/>
    <x v="0"/>
  </r>
  <r>
    <n v="1071"/>
    <x v="210"/>
    <s v="Brianna Morris"/>
    <n v="73"/>
    <x v="3"/>
    <x v="2"/>
    <d v="2025-11-03T00:00:00"/>
    <d v="2024-04-26T00:00:00"/>
    <s v="Gregory West DDS"/>
    <x v="209"/>
    <s v="Orthopedics"/>
    <x v="1"/>
    <s v="‚Ç¨422.79"/>
    <s v="EUR"/>
    <n v="422.79"/>
    <n v="460.84110000000004"/>
    <s v="Y"/>
    <x v="1"/>
    <n v="10"/>
    <n v="1"/>
    <x v="0"/>
  </r>
  <r>
    <n v="1076"/>
    <x v="211"/>
    <s v="Judy Avila"/>
    <n v="21"/>
    <x v="0"/>
    <x v="0"/>
    <d v="2025-10-19T00:00:00"/>
    <d v="2025-08-02T00:00:00"/>
    <s v="Morgan Ramos"/>
    <x v="210"/>
    <s v="Orthopedics"/>
    <x v="1"/>
    <s v="Rs330.43"/>
    <s v="INR"/>
    <n v="330.43"/>
    <n v="3.96516"/>
    <s v="Yes"/>
    <x v="1"/>
    <n v="6"/>
    <n v="1"/>
    <x v="2"/>
  </r>
  <r>
    <n v="1057"/>
    <x v="212"/>
    <s v="Erika Davis"/>
    <n v="28"/>
    <x v="3"/>
    <x v="2"/>
    <d v="2025-06-08T00:00:00"/>
    <d v="2025-06-06T00:00:00"/>
    <s v="Allison Parker"/>
    <x v="211"/>
    <s v="Neurology"/>
    <x v="2"/>
    <s v="¬£440.72"/>
    <s v="GBP"/>
    <n v="440.72"/>
    <n v="559.71440000000007"/>
    <s v="N"/>
    <x v="2"/>
    <n v="7"/>
    <n v="1"/>
    <x v="2"/>
  </r>
  <r>
    <n v="1029"/>
    <x v="213"/>
    <s v="Jeffrey Solis"/>
    <n v="49"/>
    <x v="0"/>
    <x v="0"/>
    <d v="2025-05-15T00:00:00"/>
    <d v="2025-04-09T00:00:00"/>
    <s v="William Nichols"/>
    <x v="212"/>
    <s v="Neurology"/>
    <x v="2"/>
    <s v="‚Ç¨287.03"/>
    <s v="EUR"/>
    <n v="287.02999999999997"/>
    <n v="312.86270000000002"/>
    <s v="Yes"/>
    <x v="1"/>
    <n v="8"/>
    <n v="1"/>
    <x v="1"/>
  </r>
  <r>
    <n v="1049"/>
    <x v="214"/>
    <s v="Scott Graves"/>
    <n v="65"/>
    <x v="4"/>
    <x v="1"/>
    <d v="2026-01-10T00:00:00"/>
    <d v="2026-01-06T00:00:00"/>
    <s v="Marie Clark"/>
    <x v="213"/>
    <s v="General"/>
    <x v="3"/>
    <s v="‚Ç¨489.0"/>
    <s v="EUR"/>
    <n v="489"/>
    <n v="533.01"/>
    <s v="Y"/>
    <x v="1"/>
    <n v="8"/>
    <n v="1"/>
    <x v="0"/>
  </r>
  <r>
    <n v="1049"/>
    <x v="215"/>
    <s v="Ellen Fitzpatrick"/>
    <n v="59"/>
    <x v="4"/>
    <x v="1"/>
    <d v="2025-11-14T00:00:00"/>
    <d v="2025-04-23T00:00:00"/>
    <s v="Grant Parker"/>
    <x v="214"/>
    <s v="Neurology"/>
    <x v="2"/>
    <s v="¬£201.19"/>
    <s v="GBP"/>
    <n v="201.19"/>
    <n v="255.51130000000001"/>
    <s v="No"/>
    <x v="2"/>
    <n v="8"/>
    <n v="1"/>
    <x v="1"/>
  </r>
  <r>
    <n v="1076"/>
    <x v="216"/>
    <s v="Mark Harrison"/>
    <n v="24"/>
    <x v="1"/>
    <x v="0"/>
    <d v="2025-10-06T00:00:00"/>
    <d v="2024-06-13T00:00:00"/>
    <s v="Jennifer Hernandez"/>
    <x v="215"/>
    <s v="Orthopedics"/>
    <x v="1"/>
    <s v="‚Ç¨155.45"/>
    <s v="EUR"/>
    <n v="155.44999999999999"/>
    <n v="169.44049999999999"/>
    <s v="Yes"/>
    <x v="1"/>
    <n v="6"/>
    <n v="1"/>
    <x v="2"/>
  </r>
  <r>
    <n v="1083"/>
    <x v="217"/>
    <s v="Daniel Barajas"/>
    <n v="56"/>
    <x v="0"/>
    <x v="0"/>
    <d v="2025-04-07T00:00:00"/>
    <d v="2025-01-08T00:00:00"/>
    <s v="Joshua Burnett"/>
    <x v="216"/>
    <s v="Neurology"/>
    <x v="2"/>
    <s v="¬£236.44"/>
    <s v="GBP"/>
    <n v="236.44"/>
    <n v="300.27879999999999"/>
    <n v="1"/>
    <x v="0"/>
    <n v="7"/>
    <n v="1"/>
    <x v="1"/>
  </r>
  <r>
    <n v="1083"/>
    <x v="218"/>
    <s v="Christine Murphy"/>
    <n v="21"/>
    <x v="3"/>
    <x v="2"/>
    <d v="2025-08-18T00:00:00"/>
    <d v="2024-07-23T00:00:00"/>
    <s v="Amanda Mendoza"/>
    <x v="217"/>
    <s v="Cardiology"/>
    <x v="0"/>
    <s v="$96.21"/>
    <s v="USD"/>
    <n v="96.21"/>
    <n v="96.21"/>
    <n v="1"/>
    <x v="0"/>
    <n v="7"/>
    <n v="1"/>
    <x v="2"/>
  </r>
  <r>
    <n v="1091"/>
    <x v="219"/>
    <s v="Richard Wagner"/>
    <n v="20"/>
    <x v="2"/>
    <x v="1"/>
    <d v="2025-12-06T00:00:00"/>
    <d v="2025-11-25T00:00:00"/>
    <s v="Christopher Sherman"/>
    <x v="218"/>
    <s v="General"/>
    <x v="3"/>
    <s v="‚Ç¨270.47"/>
    <s v="EUR"/>
    <n v="270.47000000000003"/>
    <n v="294.81230000000005"/>
    <s v="Yes"/>
    <x v="1"/>
    <n v="9"/>
    <n v="1"/>
    <x v="2"/>
  </r>
  <r>
    <n v="1099"/>
    <x v="220"/>
    <s v="Eric Coffey"/>
    <n v="23"/>
    <x v="3"/>
    <x v="2"/>
    <d v="2025-08-28T00:00:00"/>
    <d v="2024-09-04T00:00:00"/>
    <s v="Jeffrey Burns"/>
    <x v="219"/>
    <s v="Cardiology"/>
    <x v="0"/>
    <s v="Rs284.29"/>
    <s v="INR"/>
    <n v="284.29000000000002"/>
    <n v="3.4114800000000005"/>
    <s v="N"/>
    <x v="2"/>
    <n v="7"/>
    <n v="1"/>
    <x v="2"/>
  </r>
  <r>
    <n v="1098"/>
    <x v="221"/>
    <s v="Tony Gibbs"/>
    <n v="39"/>
    <x v="3"/>
    <x v="2"/>
    <d v="2025-11-01T00:00:00"/>
    <d v="2024-10-13T00:00:00"/>
    <s v="Brandon Morris"/>
    <x v="220"/>
    <s v="General"/>
    <x v="3"/>
    <s v="‚Ç¨354.36"/>
    <s v="EUR"/>
    <n v="354.36"/>
    <n v="386.25240000000002"/>
    <s v="N"/>
    <x v="2"/>
    <n v="12"/>
    <n v="1"/>
    <x v="2"/>
  </r>
  <r>
    <n v="1060"/>
    <x v="222"/>
    <s v="Stephanie Bryant"/>
    <n v="32"/>
    <x v="3"/>
    <x v="2"/>
    <d v="2026-01-02T00:00:00"/>
    <d v="2025-02-18T00:00:00"/>
    <s v="Sara Booth"/>
    <x v="221"/>
    <s v="Orthopedics"/>
    <x v="1"/>
    <s v="¬£452.69"/>
    <s v="GBP"/>
    <n v="452.69"/>
    <n v="574.91629999999998"/>
    <s v="Yes"/>
    <x v="1"/>
    <n v="6"/>
    <n v="1"/>
    <x v="2"/>
  </r>
  <r>
    <n v="1091"/>
    <x v="223"/>
    <s v="Eric Allen"/>
    <n v="67"/>
    <x v="3"/>
    <x v="2"/>
    <d v="2025-08-01T00:00:00"/>
    <d v="2025-05-09T00:00:00"/>
    <s v="Amanda Mclaughlin"/>
    <x v="222"/>
    <s v="Neurology"/>
    <x v="2"/>
    <s v="¬£329.83"/>
    <s v="GBP"/>
    <n v="329.83"/>
    <n v="418.88409999999999"/>
    <n v="0"/>
    <x v="0"/>
    <n v="9"/>
    <n v="1"/>
    <x v="0"/>
  </r>
  <r>
    <n v="1031"/>
    <x v="224"/>
    <s v="Robert Jimenez"/>
    <n v="23"/>
    <x v="4"/>
    <x v="1"/>
    <d v="2026-03-06T00:00:00"/>
    <d v="2024-07-20T00:00:00"/>
    <s v="Tony Randall"/>
    <x v="223"/>
    <s v="Cardiology"/>
    <x v="0"/>
    <s v="‚Ç¨450.86"/>
    <s v="EUR"/>
    <n v="450.86"/>
    <n v="491.43740000000003"/>
    <s v="Yes"/>
    <x v="1"/>
    <n v="13"/>
    <n v="1"/>
    <x v="2"/>
  </r>
  <r>
    <n v="1018"/>
    <x v="225"/>
    <s v="Chris Wells"/>
    <n v="71"/>
    <x v="2"/>
    <x v="1"/>
    <d v="2025-05-17T00:00:00"/>
    <d v="2024-12-25T00:00:00"/>
    <s v="Crystal Medina"/>
    <x v="224"/>
    <s v="Neurology"/>
    <x v="2"/>
    <s v="Rs132.38"/>
    <s v="INR"/>
    <n v="132.38"/>
    <n v="1.58856"/>
    <s v="Yes"/>
    <x v="1"/>
    <n v="14"/>
    <n v="1"/>
    <x v="0"/>
  </r>
  <r>
    <n v="1054"/>
    <x v="226"/>
    <s v="Danny Gray"/>
    <n v="68"/>
    <x v="4"/>
    <x v="1"/>
    <d v="2025-04-14T00:00:00"/>
    <d v="2025-02-13T00:00:00"/>
    <s v="Patricia Carpenter"/>
    <x v="225"/>
    <s v="General"/>
    <x v="3"/>
    <s v="‚Ç¨199.55"/>
    <s v="EUR"/>
    <n v="199.55"/>
    <n v="217.50950000000003"/>
    <n v="0"/>
    <x v="0"/>
    <n v="12"/>
    <n v="1"/>
    <x v="0"/>
  </r>
  <r>
    <n v="1038"/>
    <x v="227"/>
    <s v="Alicia Davis"/>
    <n v="19"/>
    <x v="3"/>
    <x v="2"/>
    <d v="2025-03-31T00:00:00"/>
    <d v="2024-10-27T00:00:00"/>
    <s v="John Gonzalez"/>
    <x v="226"/>
    <s v="Cardiology"/>
    <x v="0"/>
    <s v="‚Ç¨296.7"/>
    <s v="EUR"/>
    <n v="296.7"/>
    <n v="323.40300000000002"/>
    <s v="N"/>
    <x v="2"/>
    <n v="10"/>
    <n v="1"/>
    <x v="2"/>
  </r>
  <r>
    <n v="1067"/>
    <x v="228"/>
    <s v="Dr. John Hernandez"/>
    <n v="33"/>
    <x v="3"/>
    <x v="2"/>
    <d v="2025-12-29T00:00:00"/>
    <d v="2024-05-29T00:00:00"/>
    <s v="Michelle Austin"/>
    <x v="227"/>
    <s v="General"/>
    <x v="3"/>
    <s v="$409.96"/>
    <s v="USD"/>
    <n v="409.96"/>
    <n v="409.96"/>
    <s v="No"/>
    <x v="2"/>
    <n v="9"/>
    <n v="1"/>
    <x v="2"/>
  </r>
  <r>
    <n v="1070"/>
    <x v="229"/>
    <s v="Andres Mills"/>
    <n v="54"/>
    <x v="2"/>
    <x v="1"/>
    <d v="2025-06-23T00:00:00"/>
    <d v="2024-08-24T00:00:00"/>
    <s v="Paul Weaver"/>
    <x v="228"/>
    <s v="Neurology"/>
    <x v="2"/>
    <s v="¬£386.53"/>
    <s v="GBP"/>
    <n v="386.53"/>
    <n v="490.89309999999995"/>
    <n v="0"/>
    <x v="0"/>
    <n v="13"/>
    <n v="1"/>
    <x v="1"/>
  </r>
  <r>
    <n v="1097"/>
    <x v="230"/>
    <s v="Vanessa Allen"/>
    <n v="52"/>
    <x v="4"/>
    <x v="1"/>
    <d v="2026-01-09T00:00:00"/>
    <d v="2025-08-06T00:00:00"/>
    <s v="Amy Chavez"/>
    <x v="229"/>
    <s v="Neurology"/>
    <x v="2"/>
    <s v="Rs243.94"/>
    <s v="INR"/>
    <n v="243.94"/>
    <n v="2.9272800000000001"/>
    <s v="Yes"/>
    <x v="1"/>
    <n v="10"/>
    <n v="1"/>
    <x v="1"/>
  </r>
  <r>
    <n v="1056"/>
    <x v="231"/>
    <s v="Virginia Flores"/>
    <n v="70"/>
    <x v="0"/>
    <x v="0"/>
    <d v="2025-12-26T00:00:00"/>
    <d v="2025-08-13T00:00:00"/>
    <s v="Leonard Macias"/>
    <x v="230"/>
    <s v="General"/>
    <x v="3"/>
    <s v="$364.83"/>
    <s v="USD"/>
    <n v="364.83"/>
    <n v="364.83"/>
    <s v="Y"/>
    <x v="1"/>
    <n v="13"/>
    <n v="1"/>
    <x v="0"/>
  </r>
  <r>
    <n v="1078"/>
    <x v="232"/>
    <s v="Mackenzie Walker"/>
    <n v="56"/>
    <x v="0"/>
    <x v="0"/>
    <d v="2025-03-27T00:00:00"/>
    <d v="2024-05-20T00:00:00"/>
    <s v="Jenny Wright"/>
    <x v="231"/>
    <s v="Orthopedics"/>
    <x v="1"/>
    <s v="$335.95"/>
    <s v="USD"/>
    <n v="335.95"/>
    <n v="335.95"/>
    <n v="1"/>
    <x v="0"/>
    <n v="8"/>
    <n v="1"/>
    <x v="1"/>
  </r>
  <r>
    <n v="1031"/>
    <x v="233"/>
    <s v="Kayla Berger"/>
    <n v="29"/>
    <x v="0"/>
    <x v="0"/>
    <d v="2025-08-05T00:00:00"/>
    <d v="2024-09-27T00:00:00"/>
    <s v="Todd Oconnor"/>
    <x v="232"/>
    <s v="Orthopedics"/>
    <x v="1"/>
    <m/>
    <s v="N/A"/>
    <s v=""/>
    <s v="N/A"/>
    <s v="Y"/>
    <x v="1"/>
    <n v="13"/>
    <n v="1"/>
    <x v="2"/>
  </r>
  <r>
    <n v="1035"/>
    <x v="234"/>
    <s v="Brian White"/>
    <n v="80"/>
    <x v="4"/>
    <x v="1"/>
    <d v="2025-08-03T00:00:00"/>
    <d v="2025-04-03T00:00:00"/>
    <s v="Rachel Howell"/>
    <x v="233"/>
    <s v="Neurology"/>
    <x v="2"/>
    <s v="‚Ç¨387.58"/>
    <s v="EUR"/>
    <n v="387.58"/>
    <n v="422.4622"/>
    <s v="Yes"/>
    <x v="1"/>
    <n v="9"/>
    <n v="1"/>
    <x v="0"/>
  </r>
  <r>
    <n v="1079"/>
    <x v="235"/>
    <s v="Dale Fisher"/>
    <n v="24"/>
    <x v="2"/>
    <x v="1"/>
    <d v="2026-01-16T00:00:00"/>
    <d v="2024-04-20T00:00:00"/>
    <s v="Dr. Heidi Johnson"/>
    <x v="234"/>
    <s v="Cardiology"/>
    <x v="0"/>
    <s v="Rs360.39"/>
    <s v="INR"/>
    <n v="360.39"/>
    <n v="4.3246799999999999"/>
    <s v="N"/>
    <x v="2"/>
    <n v="4"/>
    <n v="1"/>
    <x v="2"/>
  </r>
  <r>
    <n v="1062"/>
    <x v="236"/>
    <s v="Brian Griffith"/>
    <n v="20"/>
    <x v="2"/>
    <x v="1"/>
    <d v="2025-06-15T00:00:00"/>
    <d v="2025-04-11T00:00:00"/>
    <s v="Robert Stanley"/>
    <x v="235"/>
    <s v="Cardiology"/>
    <x v="0"/>
    <s v="¬£288.24"/>
    <s v="GBP"/>
    <n v="288.24"/>
    <n v="366.06479999999999"/>
    <n v="1"/>
    <x v="0"/>
    <n v="6"/>
    <n v="1"/>
    <x v="2"/>
  </r>
  <r>
    <n v="1006"/>
    <x v="237"/>
    <s v="Theresa Sanchez"/>
    <n v="56"/>
    <x v="3"/>
    <x v="2"/>
    <d v="2026-02-03T00:00:00"/>
    <d v="2024-08-16T00:00:00"/>
    <s v="Amber Sullivan"/>
    <x v="236"/>
    <s v="General"/>
    <x v="3"/>
    <s v="‚Ç¨286.43"/>
    <s v="EUR"/>
    <n v="286.43"/>
    <n v="312.20870000000002"/>
    <n v="1"/>
    <x v="0"/>
    <n v="8"/>
    <n v="1"/>
    <x v="1"/>
  </r>
  <r>
    <n v="1034"/>
    <x v="238"/>
    <s v="Kimberly Watson"/>
    <n v="60"/>
    <x v="0"/>
    <x v="0"/>
    <d v="2026-01-11T00:00:00"/>
    <d v="2025-07-25T00:00:00"/>
    <s v="Joseph Meyers"/>
    <x v="237"/>
    <s v="Neurology"/>
    <x v="2"/>
    <m/>
    <s v="N/A"/>
    <s v=""/>
    <s v="N/A"/>
    <n v="0"/>
    <x v="0"/>
    <n v="8"/>
    <n v="1"/>
    <x v="1"/>
  </r>
  <r>
    <n v="1021"/>
    <x v="239"/>
    <s v="Christopher Miller"/>
    <n v="51"/>
    <x v="4"/>
    <x v="1"/>
    <d v="2025-12-27T00:00:00"/>
    <d v="2025-01-11T00:00:00"/>
    <s v="Christine Arnold"/>
    <x v="238"/>
    <s v="General"/>
    <x v="3"/>
    <s v="‚Ç¨476.26"/>
    <s v="EUR"/>
    <n v="476.26"/>
    <n v="519.12340000000006"/>
    <s v="N"/>
    <x v="2"/>
    <n v="16"/>
    <n v="1"/>
    <x v="1"/>
  </r>
  <r>
    <n v="1089"/>
    <x v="240"/>
    <s v="Brian Davis"/>
    <n v="72"/>
    <x v="0"/>
    <x v="0"/>
    <d v="2025-12-26T00:00:00"/>
    <d v="2024-08-05T00:00:00"/>
    <s v="Michelle Smith"/>
    <x v="239"/>
    <s v="Neurology"/>
    <x v="2"/>
    <s v="¬£480.75"/>
    <s v="GBP"/>
    <n v="480.75"/>
    <n v="610.55250000000001"/>
    <s v="Yes"/>
    <x v="1"/>
    <n v="16"/>
    <n v="1"/>
    <x v="0"/>
  </r>
  <r>
    <n v="1054"/>
    <x v="241"/>
    <s v="Deborah Wagner"/>
    <n v="74"/>
    <x v="3"/>
    <x v="2"/>
    <d v="2026-02-15T00:00:00"/>
    <d v="2025-05-30T00:00:00"/>
    <s v="Cesar Sanchez"/>
    <x v="240"/>
    <s v="Neurology"/>
    <x v="2"/>
    <s v="Rs277.6"/>
    <s v="INR"/>
    <n v="277.60000000000002"/>
    <n v="3.3312000000000004"/>
    <n v="0"/>
    <x v="0"/>
    <n v="12"/>
    <n v="1"/>
    <x v="0"/>
  </r>
  <r>
    <n v="1026"/>
    <x v="242"/>
    <s v="Christine Vega"/>
    <n v="80"/>
    <x v="4"/>
    <x v="1"/>
    <d v="2025-04-27T00:00:00"/>
    <d v="2025-03-23T00:00:00"/>
    <s v="Jordan Cole"/>
    <x v="241"/>
    <s v="General"/>
    <x v="3"/>
    <s v="Rs301.11"/>
    <s v="INR"/>
    <n v="301.11"/>
    <n v="3.6133200000000003"/>
    <s v="Y"/>
    <x v="1"/>
    <n v="10"/>
    <n v="1"/>
    <x v="0"/>
  </r>
  <r>
    <n v="1015"/>
    <x v="243"/>
    <s v="Zachary Jones"/>
    <n v="53"/>
    <x v="3"/>
    <x v="2"/>
    <d v="2025-10-03T00:00:00"/>
    <d v="2025-07-01T00:00:00"/>
    <s v="Alexander Lee"/>
    <x v="242"/>
    <s v="Orthopedics"/>
    <x v="1"/>
    <s v="¬£304.51"/>
    <s v="GBP"/>
    <n v="304.51"/>
    <n v="386.72769999999997"/>
    <n v="0"/>
    <x v="0"/>
    <n v="17"/>
    <n v="1"/>
    <x v="1"/>
  </r>
  <r>
    <n v="1015"/>
    <x v="244"/>
    <s v="Stephen Hicks"/>
    <n v="88"/>
    <x v="3"/>
    <x v="2"/>
    <d v="2025-10-19T00:00:00"/>
    <d v="2025-06-05T00:00:00"/>
    <s v="Christopher Underwood"/>
    <x v="243"/>
    <s v="Orthopedics"/>
    <x v="1"/>
    <s v="¬£266.53"/>
    <s v="GBP"/>
    <n v="266.52999999999997"/>
    <n v="338.49309999999997"/>
    <n v="1"/>
    <x v="0"/>
    <n v="17"/>
    <n v="1"/>
    <x v="0"/>
  </r>
  <r>
    <n v="1060"/>
    <x v="245"/>
    <s v="Haley Taylor"/>
    <n v="51"/>
    <x v="0"/>
    <x v="0"/>
    <d v="2025-07-06T00:00:00"/>
    <d v="2025-04-18T00:00:00"/>
    <s v="Christopher Wolfe"/>
    <x v="244"/>
    <s v="General"/>
    <x v="3"/>
    <s v="Rs433.55"/>
    <s v="INR"/>
    <n v="433.55"/>
    <n v="5.2026000000000003"/>
    <s v="Y"/>
    <x v="1"/>
    <n v="6"/>
    <n v="1"/>
    <x v="1"/>
  </r>
  <r>
    <n v="1003"/>
    <x v="246"/>
    <s v="Melissa Miranda"/>
    <n v="77"/>
    <x v="4"/>
    <x v="1"/>
    <d v="2025-06-03T00:00:00"/>
    <d v="2024-05-18T00:00:00"/>
    <s v="Jennifer Jones"/>
    <x v="245"/>
    <s v="Orthopedics"/>
    <x v="1"/>
    <s v="¬£70.47"/>
    <s v="GBP"/>
    <n v="70.47"/>
    <n v="89.496899999999997"/>
    <n v="1"/>
    <x v="0"/>
    <n v="12"/>
    <n v="1"/>
    <x v="0"/>
  </r>
  <r>
    <n v="1022"/>
    <x v="247"/>
    <s v="Linda Nicholson"/>
    <n v="24"/>
    <x v="0"/>
    <x v="0"/>
    <d v="2025-08-19T00:00:00"/>
    <d v="2025-05-10T00:00:00"/>
    <s v="Melissa Daniels"/>
    <x v="246"/>
    <s v="Neurology"/>
    <x v="2"/>
    <s v="$425.91"/>
    <s v="USD"/>
    <n v="425.91"/>
    <n v="425.91"/>
    <s v="Yes"/>
    <x v="1"/>
    <n v="9"/>
    <n v="1"/>
    <x v="2"/>
  </r>
  <r>
    <n v="1093"/>
    <x v="248"/>
    <s v="Whitney Bradley"/>
    <n v="31"/>
    <x v="3"/>
    <x v="2"/>
    <d v="2025-05-27T00:00:00"/>
    <d v="2024-12-20T00:00:00"/>
    <s v="Ryan White"/>
    <x v="247"/>
    <s v="General"/>
    <x v="3"/>
    <s v="‚Ç¨111.71"/>
    <s v="EUR"/>
    <n v="111.71"/>
    <n v="121.76390000000001"/>
    <n v="0"/>
    <x v="0"/>
    <n v="11"/>
    <n v="1"/>
    <x v="2"/>
  </r>
  <r>
    <n v="1089"/>
    <x v="249"/>
    <s v="Carolyn Jacobson"/>
    <n v="47"/>
    <x v="0"/>
    <x v="0"/>
    <d v="2026-02-11T00:00:00"/>
    <d v="2025-02-14T00:00:00"/>
    <s v="Katrina Johnston"/>
    <x v="248"/>
    <s v="Cardiology"/>
    <x v="0"/>
    <s v="¬£365.37"/>
    <s v="GBP"/>
    <n v="365.37"/>
    <n v="464.01990000000001"/>
    <s v="No"/>
    <x v="2"/>
    <n v="16"/>
    <n v="1"/>
    <x v="1"/>
  </r>
  <r>
    <n v="1094"/>
    <x v="250"/>
    <s v="Jordan Hudson"/>
    <n v="74"/>
    <x v="3"/>
    <x v="2"/>
    <d v="2025-06-17T00:00:00"/>
    <d v="2024-04-25T00:00:00"/>
    <s v="Linda Martin"/>
    <x v="249"/>
    <s v="Cardiology"/>
    <x v="0"/>
    <s v="‚Ç¨475.27"/>
    <s v="EUR"/>
    <n v="475.27"/>
    <n v="518.04430000000002"/>
    <n v="1"/>
    <x v="0"/>
    <n v="8"/>
    <n v="1"/>
    <x v="0"/>
  </r>
  <r>
    <n v="1016"/>
    <x v="251"/>
    <s v="Joseph Banks"/>
    <n v="36"/>
    <x v="1"/>
    <x v="0"/>
    <d v="2025-12-05T00:00:00"/>
    <d v="2024-06-15T00:00:00"/>
    <s v="Susan Kelley"/>
    <x v="250"/>
    <s v="Neurology"/>
    <x v="2"/>
    <s v="$108.6"/>
    <s v="USD"/>
    <n v="108.6"/>
    <n v="108.6"/>
    <s v="N"/>
    <x v="2"/>
    <n v="15"/>
    <n v="1"/>
    <x v="2"/>
  </r>
  <r>
    <n v="1045"/>
    <x v="252"/>
    <s v="Brad West"/>
    <n v="34"/>
    <x v="1"/>
    <x v="0"/>
    <d v="2025-05-14T00:00:00"/>
    <d v="2024-05-19T00:00:00"/>
    <s v="Samuel Stone"/>
    <x v="251"/>
    <s v="Cardiology"/>
    <x v="0"/>
    <s v="¬£455.05"/>
    <s v="GBP"/>
    <n v="455.05"/>
    <n v="577.9135"/>
    <s v="N"/>
    <x v="2"/>
    <n v="8"/>
    <n v="1"/>
    <x v="2"/>
  </r>
  <r>
    <n v="1036"/>
    <x v="253"/>
    <s v="Kelsey Johnson"/>
    <n v="29"/>
    <x v="3"/>
    <x v="2"/>
    <d v="2026-01-28T00:00:00"/>
    <d v="2024-12-03T00:00:00"/>
    <s v="Mallory Torres"/>
    <x v="252"/>
    <s v="Neurology"/>
    <x v="2"/>
    <s v="¬£264.45"/>
    <s v="GBP"/>
    <n v="264.45"/>
    <n v="335.85149999999999"/>
    <s v="No"/>
    <x v="2"/>
    <n v="14"/>
    <n v="1"/>
    <x v="2"/>
  </r>
  <r>
    <n v="1031"/>
    <x v="254"/>
    <s v="Jared Parrish"/>
    <n v="42"/>
    <x v="1"/>
    <x v="0"/>
    <d v="2025-08-05T00:00:00"/>
    <d v="2025-07-27T00:00:00"/>
    <s v="Wendy Herrera"/>
    <x v="253"/>
    <s v="Orthopedics"/>
    <x v="1"/>
    <s v="Rs132.57"/>
    <s v="INR"/>
    <n v="132.57"/>
    <n v="1.59084"/>
    <s v="No"/>
    <x v="2"/>
    <n v="13"/>
    <n v="1"/>
    <x v="1"/>
  </r>
  <r>
    <n v="1097"/>
    <x v="255"/>
    <s v="Megan Murphy"/>
    <n v="35"/>
    <x v="3"/>
    <x v="2"/>
    <d v="2025-04-19T00:00:00"/>
    <d v="2025-04-11T00:00:00"/>
    <s v="Kevin Coleman"/>
    <x v="254"/>
    <s v="Cardiology"/>
    <x v="0"/>
    <s v="Rs359.5"/>
    <s v="INR"/>
    <n v="359.5"/>
    <n v="4.3140000000000001"/>
    <s v="N"/>
    <x v="2"/>
    <n v="10"/>
    <n v="1"/>
    <x v="2"/>
  </r>
  <r>
    <n v="1062"/>
    <x v="256"/>
    <s v="Laura Lopez"/>
    <n v="25"/>
    <x v="4"/>
    <x v="1"/>
    <d v="2025-10-06T00:00:00"/>
    <d v="2024-06-13T00:00:00"/>
    <s v="Julie Phillips"/>
    <x v="255"/>
    <s v="Cardiology"/>
    <x v="0"/>
    <s v="Rs464.57"/>
    <s v="INR"/>
    <n v="464.57"/>
    <n v="5.57484"/>
    <n v="0"/>
    <x v="0"/>
    <n v="6"/>
    <n v="1"/>
    <x v="2"/>
  </r>
  <r>
    <n v="1056"/>
    <x v="257"/>
    <s v="Joshua Sanford"/>
    <n v="57"/>
    <x v="0"/>
    <x v="0"/>
    <d v="2025-06-20T00:00:00"/>
    <d v="2025-02-13T00:00:00"/>
    <s v="Tara Montoya"/>
    <x v="256"/>
    <s v="Neurology"/>
    <x v="2"/>
    <s v="$186.61"/>
    <s v="USD"/>
    <n v="186.61"/>
    <n v="186.61"/>
    <n v="1"/>
    <x v="0"/>
    <n v="13"/>
    <n v="1"/>
    <x v="1"/>
  </r>
  <r>
    <n v="1058"/>
    <x v="258"/>
    <s v="Mark Bowers"/>
    <n v="19"/>
    <x v="3"/>
    <x v="2"/>
    <d v="2025-05-11T00:00:00"/>
    <d v="2025-04-02T00:00:00"/>
    <s v="Antonio Bryant"/>
    <x v="257"/>
    <s v="Neurology"/>
    <x v="2"/>
    <s v="$116.69"/>
    <s v="USD"/>
    <n v="116.69"/>
    <n v="116.69"/>
    <s v="Yes"/>
    <x v="1"/>
    <n v="17"/>
    <n v="1"/>
    <x v="2"/>
  </r>
  <r>
    <n v="1053"/>
    <x v="259"/>
    <s v="Nicole West"/>
    <n v="30"/>
    <x v="0"/>
    <x v="0"/>
    <d v="2026-03-24T00:00:00"/>
    <d v="2024-03-26T00:00:00"/>
    <s v="Marissa Jacobs"/>
    <x v="258"/>
    <s v="General"/>
    <x v="3"/>
    <s v="‚Ç¨218.44"/>
    <s v="EUR"/>
    <n v="218.44"/>
    <n v="238.09960000000001"/>
    <n v="0"/>
    <x v="0"/>
    <n v="14"/>
    <n v="1"/>
    <x v="2"/>
  </r>
  <r>
    <n v="1032"/>
    <x v="260"/>
    <s v="Amy Wood"/>
    <n v="43"/>
    <x v="1"/>
    <x v="0"/>
    <d v="2025-06-22T00:00:00"/>
    <d v="2025-01-25T00:00:00"/>
    <s v="John Shannon"/>
    <x v="259"/>
    <s v="Neurology"/>
    <x v="2"/>
    <s v="‚Ç¨255.67"/>
    <s v="EUR"/>
    <n v="255.67"/>
    <n v="278.68029999999999"/>
    <n v="0"/>
    <x v="0"/>
    <n v="7"/>
    <n v="1"/>
    <x v="1"/>
  </r>
  <r>
    <n v="1049"/>
    <x v="261"/>
    <s v="Robert Montoya"/>
    <n v="79"/>
    <x v="3"/>
    <x v="2"/>
    <d v="2025-12-06T00:00:00"/>
    <d v="2024-09-09T00:00:00"/>
    <s v="Gregg Bennett"/>
    <x v="260"/>
    <s v="Neurology"/>
    <x v="2"/>
    <m/>
    <s v="N/A"/>
    <s v=""/>
    <s v="N/A"/>
    <s v="No"/>
    <x v="2"/>
    <n v="8"/>
    <n v="1"/>
    <x v="0"/>
  </r>
  <r>
    <n v="1068"/>
    <x v="262"/>
    <s v="Robert Torres"/>
    <n v="61"/>
    <x v="4"/>
    <x v="1"/>
    <d v="2025-10-20T00:00:00"/>
    <d v="2025-08-07T00:00:00"/>
    <s v="Kyle Phillips"/>
    <x v="261"/>
    <s v="Neurology"/>
    <x v="2"/>
    <s v="$129.48"/>
    <s v="USD"/>
    <n v="129.47999999999999"/>
    <n v="129.47999999999999"/>
    <s v="N"/>
    <x v="2"/>
    <n v="14"/>
    <n v="1"/>
    <x v="1"/>
  </r>
  <r>
    <n v="1015"/>
    <x v="263"/>
    <s v="Mason Morgan"/>
    <n v="53"/>
    <x v="4"/>
    <x v="1"/>
    <d v="2025-04-21T00:00:00"/>
    <d v="2024-08-25T00:00:00"/>
    <s v="James Cobb"/>
    <x v="262"/>
    <s v="General"/>
    <x v="3"/>
    <s v="Rs299.03"/>
    <s v="INR"/>
    <n v="299.02999999999997"/>
    <n v="3.5883599999999998"/>
    <s v="No"/>
    <x v="2"/>
    <n v="17"/>
    <n v="1"/>
    <x v="1"/>
  </r>
  <r>
    <n v="1090"/>
    <x v="264"/>
    <s v="Jeffrey Hart"/>
    <n v="70"/>
    <x v="0"/>
    <x v="0"/>
    <d v="2025-12-09T00:00:00"/>
    <d v="2024-11-16T00:00:00"/>
    <s v="Jacob Townsend"/>
    <x v="263"/>
    <s v="Orthopedics"/>
    <x v="1"/>
    <s v="Rs459.66"/>
    <s v="INR"/>
    <n v="459.66"/>
    <n v="5.5159200000000004"/>
    <s v="Y"/>
    <x v="1"/>
    <n v="8"/>
    <n v="1"/>
    <x v="0"/>
  </r>
  <r>
    <n v="1086"/>
    <x v="265"/>
    <s v="Jessica Pitts"/>
    <n v="72"/>
    <x v="3"/>
    <x v="2"/>
    <d v="2026-03-10T00:00:00"/>
    <d v="2025-10-22T00:00:00"/>
    <s v="Miguel Hayes"/>
    <x v="264"/>
    <s v="Orthopedics"/>
    <x v="1"/>
    <s v="¬£403.61"/>
    <s v="GBP"/>
    <n v="403.61"/>
    <n v="512.5847"/>
    <n v="0"/>
    <x v="0"/>
    <n v="9"/>
    <n v="1"/>
    <x v="0"/>
  </r>
  <r>
    <n v="1088"/>
    <x v="266"/>
    <s v="Amy King"/>
    <n v="49"/>
    <x v="0"/>
    <x v="0"/>
    <d v="2025-09-15T00:00:00"/>
    <d v="2025-01-30T00:00:00"/>
    <s v="Peter Wells"/>
    <x v="265"/>
    <s v="General"/>
    <x v="3"/>
    <s v="¬£241.48"/>
    <s v="GBP"/>
    <n v="241.48"/>
    <n v="306.67959999999999"/>
    <s v="Y"/>
    <x v="1"/>
    <n v="16"/>
    <n v="1"/>
    <x v="1"/>
  </r>
  <r>
    <n v="1034"/>
    <x v="267"/>
    <s v="Lisa Fisher"/>
    <n v="44"/>
    <x v="3"/>
    <x v="2"/>
    <d v="2025-07-16T00:00:00"/>
    <d v="2025-06-12T00:00:00"/>
    <s v="Karen Martin"/>
    <x v="266"/>
    <s v="Neurology"/>
    <x v="2"/>
    <s v="$417.38"/>
    <s v="USD"/>
    <n v="417.38"/>
    <n v="417.38"/>
    <s v="Yes"/>
    <x v="1"/>
    <n v="8"/>
    <n v="1"/>
    <x v="1"/>
  </r>
  <r>
    <n v="1070"/>
    <x v="268"/>
    <s v="Donna Jenkins"/>
    <n v="68"/>
    <x v="0"/>
    <x v="0"/>
    <d v="2025-05-30T00:00:00"/>
    <d v="2024-05-14T00:00:00"/>
    <s v="Rachel Allen"/>
    <x v="267"/>
    <s v="General"/>
    <x v="3"/>
    <s v="Rs390.97"/>
    <s v="INR"/>
    <n v="390.97"/>
    <n v="4.6916400000000005"/>
    <s v="Yes"/>
    <x v="1"/>
    <n v="13"/>
    <n v="1"/>
    <x v="0"/>
  </r>
  <r>
    <n v="1032"/>
    <x v="269"/>
    <s v="Matthew Cox"/>
    <n v="88"/>
    <x v="2"/>
    <x v="1"/>
    <d v="2026-01-22T00:00:00"/>
    <d v="2024-04-07T00:00:00"/>
    <s v="Alexander Horton"/>
    <x v="268"/>
    <s v="General"/>
    <x v="3"/>
    <s v="Rs100.2"/>
    <s v="INR"/>
    <n v="100.2"/>
    <n v="1.2024000000000001"/>
    <s v="No"/>
    <x v="2"/>
    <n v="7"/>
    <n v="1"/>
    <x v="0"/>
  </r>
  <r>
    <n v="1036"/>
    <x v="270"/>
    <s v="Melissa Berry MD"/>
    <n v="75"/>
    <x v="3"/>
    <x v="2"/>
    <d v="2026-02-23T00:00:00"/>
    <d v="2024-10-16T00:00:00"/>
    <s v="Kathryn Hooper"/>
    <x v="269"/>
    <s v="Cardiology"/>
    <x v="0"/>
    <s v="¬£462.97"/>
    <s v="GBP"/>
    <n v="462.97"/>
    <n v="587.97190000000001"/>
    <s v="N"/>
    <x v="2"/>
    <n v="14"/>
    <n v="1"/>
    <x v="0"/>
  </r>
  <r>
    <n v="1098"/>
    <x v="271"/>
    <s v="Zachary Frazier"/>
    <n v="88"/>
    <x v="0"/>
    <x v="0"/>
    <d v="2026-02-14T00:00:00"/>
    <d v="2024-12-27T00:00:00"/>
    <s v="Tamara Thompson"/>
    <x v="270"/>
    <s v="Orthopedics"/>
    <x v="1"/>
    <s v="$481.92"/>
    <s v="USD"/>
    <n v="481.92"/>
    <n v="481.92"/>
    <n v="0"/>
    <x v="0"/>
    <n v="12"/>
    <n v="1"/>
    <x v="0"/>
  </r>
  <r>
    <n v="1071"/>
    <x v="272"/>
    <s v="Jose Bryant"/>
    <n v="49"/>
    <x v="4"/>
    <x v="1"/>
    <d v="2025-05-24T00:00:00"/>
    <d v="2024-12-10T00:00:00"/>
    <s v="Ryan Lopez"/>
    <x v="271"/>
    <s v="Orthopedics"/>
    <x v="1"/>
    <s v="¬£350.41"/>
    <s v="GBP"/>
    <n v="350.41"/>
    <n v="445.02070000000003"/>
    <s v="N"/>
    <x v="2"/>
    <n v="10"/>
    <n v="1"/>
    <x v="1"/>
  </r>
  <r>
    <n v="1054"/>
    <x v="273"/>
    <s v="Thomas Smith"/>
    <n v="82"/>
    <x v="3"/>
    <x v="2"/>
    <d v="2025-11-23T00:00:00"/>
    <d v="2024-12-07T00:00:00"/>
    <s v="Kenneth Turner"/>
    <x v="272"/>
    <s v="Cardiology"/>
    <x v="0"/>
    <s v="Rs392.87"/>
    <s v="INR"/>
    <n v="392.87"/>
    <n v="4.7144399999999997"/>
    <s v="Yes"/>
    <x v="1"/>
    <n v="12"/>
    <n v="1"/>
    <x v="0"/>
  </r>
  <r>
    <n v="1054"/>
    <x v="274"/>
    <s v="Jason Harrington"/>
    <n v="62"/>
    <x v="4"/>
    <x v="1"/>
    <d v="2026-01-16T00:00:00"/>
    <d v="2025-07-14T00:00:00"/>
    <s v="Stacey Miller"/>
    <x v="273"/>
    <s v="Orthopedics"/>
    <x v="1"/>
    <m/>
    <s v="N/A"/>
    <s v=""/>
    <s v="N/A"/>
    <s v="No"/>
    <x v="2"/>
    <n v="12"/>
    <n v="1"/>
    <x v="1"/>
  </r>
  <r>
    <n v="1090"/>
    <x v="275"/>
    <s v="Autumn Griffin"/>
    <n v="55"/>
    <x v="3"/>
    <x v="2"/>
    <d v="2025-09-21T00:00:00"/>
    <d v="2024-06-18T00:00:00"/>
    <s v="Isabel Harris"/>
    <x v="274"/>
    <s v="Orthopedics"/>
    <x v="1"/>
    <s v="$202.41"/>
    <s v="USD"/>
    <n v="202.41"/>
    <n v="202.41"/>
    <n v="0"/>
    <x v="0"/>
    <n v="8"/>
    <n v="1"/>
    <x v="1"/>
  </r>
  <r>
    <n v="1027"/>
    <x v="276"/>
    <s v="Adam Shelton"/>
    <n v="83"/>
    <x v="3"/>
    <x v="2"/>
    <d v="2025-06-26T00:00:00"/>
    <d v="2025-06-12T00:00:00"/>
    <s v="Mary Thompson"/>
    <x v="275"/>
    <s v="Neurology"/>
    <x v="2"/>
    <s v="$225.1"/>
    <s v="USD"/>
    <n v="225.1"/>
    <n v="225.1"/>
    <s v="Yes"/>
    <x v="1"/>
    <n v="12"/>
    <n v="1"/>
    <x v="0"/>
  </r>
  <r>
    <n v="1017"/>
    <x v="277"/>
    <s v="Amber Trevino"/>
    <n v="86"/>
    <x v="1"/>
    <x v="0"/>
    <d v="2025-05-28T00:00:00"/>
    <d v="2024-07-10T00:00:00"/>
    <s v="Sarah Holder"/>
    <x v="276"/>
    <s v="Cardiology"/>
    <x v="0"/>
    <m/>
    <s v="N/A"/>
    <s v=""/>
    <s v="N/A"/>
    <n v="1"/>
    <x v="0"/>
    <n v="8"/>
    <n v="1"/>
    <x v="0"/>
  </r>
  <r>
    <n v="1027"/>
    <x v="278"/>
    <s v="Jamie Aguilar"/>
    <n v="77"/>
    <x v="0"/>
    <x v="0"/>
    <d v="2025-09-19T00:00:00"/>
    <d v="2024-08-20T00:00:00"/>
    <s v="Michael Duke"/>
    <x v="277"/>
    <s v="Cardiology"/>
    <x v="0"/>
    <s v="‚Ç¨400.01"/>
    <s v="EUR"/>
    <n v="400.01"/>
    <n v="436.01090000000005"/>
    <s v="Y"/>
    <x v="1"/>
    <n v="12"/>
    <n v="1"/>
    <x v="0"/>
  </r>
  <r>
    <n v="1026"/>
    <x v="279"/>
    <s v="Alyssa Lucas"/>
    <n v="47"/>
    <x v="1"/>
    <x v="0"/>
    <d v="2026-01-06T00:00:00"/>
    <d v="2024-10-11T00:00:00"/>
    <s v="Daniel Ryan"/>
    <x v="278"/>
    <s v="Neurology"/>
    <x v="2"/>
    <s v="$400.52"/>
    <s v="USD"/>
    <n v="400.52"/>
    <n v="400.52"/>
    <s v="Yes"/>
    <x v="1"/>
    <n v="10"/>
    <n v="1"/>
    <x v="1"/>
  </r>
  <r>
    <n v="1080"/>
    <x v="280"/>
    <s v="Theresa Young"/>
    <n v="69"/>
    <x v="4"/>
    <x v="1"/>
    <d v="2025-10-15T00:00:00"/>
    <d v="2025-06-11T00:00:00"/>
    <s v="Brenda Booth"/>
    <x v="279"/>
    <s v="General"/>
    <x v="3"/>
    <s v="¬£152.7"/>
    <s v="GBP"/>
    <n v="152.69999999999999"/>
    <n v="193.929"/>
    <n v="0"/>
    <x v="0"/>
    <n v="11"/>
    <n v="1"/>
    <x v="0"/>
  </r>
  <r>
    <n v="1039"/>
    <x v="281"/>
    <s v="Donna Clark"/>
    <n v="40"/>
    <x v="3"/>
    <x v="2"/>
    <d v="2025-09-03T00:00:00"/>
    <d v="2024-04-08T00:00:00"/>
    <s v="Joanne Adams"/>
    <x v="280"/>
    <s v="Cardiology"/>
    <x v="0"/>
    <s v="‚Ç¨154.68"/>
    <s v="EUR"/>
    <n v="154.68"/>
    <n v="168.60120000000001"/>
    <s v="Yes"/>
    <x v="1"/>
    <n v="8"/>
    <n v="1"/>
    <x v="1"/>
  </r>
  <r>
    <n v="1059"/>
    <x v="282"/>
    <s v="Michael White"/>
    <n v="32"/>
    <x v="4"/>
    <x v="1"/>
    <d v="2026-03-11T00:00:00"/>
    <d v="2025-07-23T00:00:00"/>
    <s v="Seth Ramirez"/>
    <x v="281"/>
    <s v="General"/>
    <x v="3"/>
    <s v="$300.71"/>
    <s v="USD"/>
    <n v="300.70999999999998"/>
    <n v="300.70999999999998"/>
    <s v="Yes"/>
    <x v="1"/>
    <n v="13"/>
    <n v="1"/>
    <x v="2"/>
  </r>
  <r>
    <n v="1043"/>
    <x v="283"/>
    <s v="Jessica Johnson"/>
    <n v="66"/>
    <x v="3"/>
    <x v="2"/>
    <d v="2025-11-22T00:00:00"/>
    <d v="2025-09-07T00:00:00"/>
    <s v="Kevin Weaver"/>
    <x v="282"/>
    <s v="Neurology"/>
    <x v="2"/>
    <s v="¬£166.59"/>
    <s v="GBP"/>
    <n v="166.59"/>
    <n v="211.5693"/>
    <s v="Yes"/>
    <x v="1"/>
    <n v="12"/>
    <n v="1"/>
    <x v="0"/>
  </r>
  <r>
    <n v="1066"/>
    <x v="284"/>
    <s v="Victor Anderson MD"/>
    <n v="28"/>
    <x v="4"/>
    <x v="1"/>
    <d v="2025-09-10T00:00:00"/>
    <d v="2025-04-21T00:00:00"/>
    <s v="Dr. William Terry"/>
    <x v="283"/>
    <s v="Cardiology"/>
    <x v="0"/>
    <s v="¬£357.83"/>
    <s v="GBP"/>
    <n v="357.83"/>
    <n v="454.44409999999999"/>
    <n v="1"/>
    <x v="0"/>
    <n v="11"/>
    <n v="1"/>
    <x v="2"/>
  </r>
  <r>
    <n v="1040"/>
    <x v="285"/>
    <s v="Jodi Floyd"/>
    <n v="35"/>
    <x v="2"/>
    <x v="1"/>
    <d v="2025-08-19T00:00:00"/>
    <d v="2025-06-15T00:00:00"/>
    <s v="Brett Arnold"/>
    <x v="284"/>
    <s v="General"/>
    <x v="3"/>
    <s v="Rs458.11"/>
    <s v="INR"/>
    <n v="458.11"/>
    <n v="5.4973200000000002"/>
    <s v="N"/>
    <x v="2"/>
    <n v="13"/>
    <n v="1"/>
    <x v="2"/>
  </r>
  <r>
    <n v="1090"/>
    <x v="286"/>
    <s v="Bradley Leach"/>
    <n v="25"/>
    <x v="0"/>
    <x v="0"/>
    <d v="2025-11-13T00:00:00"/>
    <d v="2024-12-13T00:00:00"/>
    <s v="Amanda Flores"/>
    <x v="285"/>
    <s v="General"/>
    <x v="3"/>
    <s v="‚Ç¨85.07"/>
    <s v="EUR"/>
    <n v="85.07"/>
    <n v="92.726299999999995"/>
    <n v="1"/>
    <x v="0"/>
    <n v="8"/>
    <n v="1"/>
    <x v="2"/>
  </r>
  <r>
    <n v="1003"/>
    <x v="287"/>
    <s v="Stephen Butler"/>
    <n v="81"/>
    <x v="0"/>
    <x v="0"/>
    <d v="2025-05-22T00:00:00"/>
    <d v="2024-04-15T00:00:00"/>
    <s v="Shannon Martinez"/>
    <x v="286"/>
    <s v="Neurology"/>
    <x v="2"/>
    <s v="¬£209.67"/>
    <s v="GBP"/>
    <n v="209.67"/>
    <n v="266.28089999999997"/>
    <s v="Y"/>
    <x v="1"/>
    <n v="12"/>
    <n v="1"/>
    <x v="0"/>
  </r>
  <r>
    <n v="1054"/>
    <x v="288"/>
    <s v="Jennifer Martin"/>
    <n v="30"/>
    <x v="4"/>
    <x v="1"/>
    <d v="2026-02-22T00:00:00"/>
    <d v="2025-07-04T00:00:00"/>
    <s v="Jeffery Smith"/>
    <x v="287"/>
    <s v="General"/>
    <x v="3"/>
    <s v="¬£239.39"/>
    <s v="GBP"/>
    <n v="239.39"/>
    <n v="304.02529999999996"/>
    <s v="N"/>
    <x v="2"/>
    <n v="12"/>
    <n v="1"/>
    <x v="2"/>
  </r>
  <r>
    <n v="1003"/>
    <x v="289"/>
    <s v="Janet Gordon"/>
    <n v="41"/>
    <x v="3"/>
    <x v="2"/>
    <d v="2025-05-14T00:00:00"/>
    <d v="2024-04-05T00:00:00"/>
    <s v="Michelle Johnson"/>
    <x v="288"/>
    <s v="General"/>
    <x v="3"/>
    <s v="Rs398.73"/>
    <s v="INR"/>
    <n v="398.73"/>
    <n v="4.7847600000000003"/>
    <s v="No"/>
    <x v="2"/>
    <n v="12"/>
    <n v="1"/>
    <x v="1"/>
  </r>
  <r>
    <n v="1011"/>
    <x v="290"/>
    <s v="Susan Bautista"/>
    <n v="54"/>
    <x v="3"/>
    <x v="2"/>
    <d v="2026-02-13T00:00:00"/>
    <d v="2024-11-06T00:00:00"/>
    <s v="Michael Schmidt"/>
    <x v="289"/>
    <s v="Orthopedics"/>
    <x v="1"/>
    <s v="‚Ç¨325.86"/>
    <s v="EUR"/>
    <n v="325.86"/>
    <n v="355.18740000000003"/>
    <s v="N"/>
    <x v="2"/>
    <n v="7"/>
    <n v="1"/>
    <x v="1"/>
  </r>
  <r>
    <n v="1029"/>
    <x v="291"/>
    <s v="Steve Ramirez"/>
    <n v="30"/>
    <x v="1"/>
    <x v="0"/>
    <d v="2025-07-19T00:00:00"/>
    <d v="2025-05-12T00:00:00"/>
    <s v="Michelle Jones"/>
    <x v="290"/>
    <s v="Orthopedics"/>
    <x v="1"/>
    <s v="$451.11"/>
    <s v="USD"/>
    <n v="451.11"/>
    <n v="451.11"/>
    <s v="N"/>
    <x v="2"/>
    <n v="8"/>
    <n v="1"/>
    <x v="2"/>
  </r>
  <r>
    <n v="1051"/>
    <x v="292"/>
    <s v="Kristine Logan"/>
    <n v="53"/>
    <x v="3"/>
    <x v="2"/>
    <d v="2025-06-29T00:00:00"/>
    <d v="2024-09-13T00:00:00"/>
    <s v="Regina Cox"/>
    <x v="291"/>
    <s v="Neurology"/>
    <x v="2"/>
    <s v="¬£416.39"/>
    <s v="GBP"/>
    <n v="416.39"/>
    <n v="528.81529999999998"/>
    <s v="No"/>
    <x v="2"/>
    <n v="9"/>
    <n v="1"/>
    <x v="1"/>
  </r>
  <r>
    <n v="1041"/>
    <x v="293"/>
    <s v="Janet Lewis"/>
    <n v="65"/>
    <x v="3"/>
    <x v="2"/>
    <d v="2025-10-28T00:00:00"/>
    <d v="2025-08-18T00:00:00"/>
    <s v="Gregory Neal"/>
    <x v="292"/>
    <s v="Neurology"/>
    <x v="2"/>
    <s v="‚Ç¨303.42"/>
    <s v="EUR"/>
    <n v="303.42"/>
    <n v="330.72780000000006"/>
    <s v="N"/>
    <x v="2"/>
    <n v="8"/>
    <n v="1"/>
    <x v="0"/>
  </r>
  <r>
    <n v="1004"/>
    <x v="294"/>
    <s v="Phillip Blevins"/>
    <n v="64"/>
    <x v="3"/>
    <x v="2"/>
    <d v="2026-03-12T00:00:00"/>
    <d v="2024-06-04T00:00:00"/>
    <s v="Darryl Garcia"/>
    <x v="293"/>
    <s v="General"/>
    <x v="3"/>
    <s v="$124.85"/>
    <s v="USD"/>
    <n v="124.85"/>
    <n v="124.85"/>
    <n v="1"/>
    <x v="0"/>
    <n v="9"/>
    <n v="1"/>
    <x v="1"/>
  </r>
  <r>
    <n v="1054"/>
    <x v="295"/>
    <s v="Robert Mason"/>
    <n v="78"/>
    <x v="4"/>
    <x v="1"/>
    <d v="2025-12-25T00:00:00"/>
    <d v="2024-12-13T00:00:00"/>
    <s v="Steven Mercer"/>
    <x v="294"/>
    <s v="Neurology"/>
    <x v="2"/>
    <s v="$370.37"/>
    <s v="USD"/>
    <n v="370.37"/>
    <n v="370.37"/>
    <s v="No"/>
    <x v="2"/>
    <n v="12"/>
    <n v="1"/>
    <x v="0"/>
  </r>
  <r>
    <n v="1006"/>
    <x v="296"/>
    <s v="Rachel Nguyen"/>
    <n v="63"/>
    <x v="2"/>
    <x v="1"/>
    <d v="2025-12-13T00:00:00"/>
    <d v="2025-03-05T00:00:00"/>
    <s v="John Wolf"/>
    <x v="295"/>
    <s v="Neurology"/>
    <x v="2"/>
    <s v="Rs416.85"/>
    <s v="INR"/>
    <n v="416.85"/>
    <n v="5.0022000000000002"/>
    <s v="N"/>
    <x v="2"/>
    <n v="8"/>
    <n v="1"/>
    <x v="1"/>
  </r>
  <r>
    <n v="1076"/>
    <x v="297"/>
    <s v="John Nguyen"/>
    <n v="23"/>
    <x v="4"/>
    <x v="1"/>
    <d v="2025-10-05T00:00:00"/>
    <d v="2025-03-20T00:00:00"/>
    <s v="David Robertson"/>
    <x v="296"/>
    <s v="General"/>
    <x v="3"/>
    <m/>
    <s v="N/A"/>
    <s v=""/>
    <s v="N/A"/>
    <s v="No"/>
    <x v="2"/>
    <n v="6"/>
    <n v="1"/>
    <x v="2"/>
  </r>
  <r>
    <n v="1054"/>
    <x v="298"/>
    <s v="Jennifer Stevens"/>
    <n v="70"/>
    <x v="3"/>
    <x v="2"/>
    <d v="2025-11-03T00:00:00"/>
    <d v="2025-06-16T00:00:00"/>
    <s v="Joseph Park"/>
    <x v="297"/>
    <s v="Cardiology"/>
    <x v="0"/>
    <s v="¬£231.18"/>
    <s v="GBP"/>
    <n v="231.18"/>
    <n v="293.59860000000003"/>
    <s v="Yes"/>
    <x v="1"/>
    <n v="12"/>
    <n v="1"/>
    <x v="0"/>
  </r>
  <r>
    <n v="1021"/>
    <x v="299"/>
    <s v="Matthew Davis"/>
    <n v="54"/>
    <x v="4"/>
    <x v="1"/>
    <d v="2025-09-20T00:00:00"/>
    <d v="2024-06-24T00:00:00"/>
    <s v="Megan Lopez"/>
    <x v="298"/>
    <s v="Cardiology"/>
    <x v="0"/>
    <s v="Rs119.4"/>
    <s v="INR"/>
    <n v="119.4"/>
    <n v="1.4328000000000001"/>
    <n v="0"/>
    <x v="0"/>
    <n v="16"/>
    <n v="1"/>
    <x v="1"/>
  </r>
  <r>
    <n v="1015"/>
    <x v="300"/>
    <s v="Ashley Daniels"/>
    <n v="50"/>
    <x v="3"/>
    <x v="2"/>
    <d v="2025-08-25T00:00:00"/>
    <d v="2024-06-18T00:00:00"/>
    <s v="Robert Davies"/>
    <x v="299"/>
    <s v="Neurology"/>
    <x v="2"/>
    <s v="$63.38"/>
    <s v="USD"/>
    <n v="63.38"/>
    <n v="63.38"/>
    <s v="Yes"/>
    <x v="1"/>
    <n v="17"/>
    <n v="1"/>
    <x v="1"/>
  </r>
  <r>
    <n v="1014"/>
    <x v="301"/>
    <s v="Dana Park"/>
    <n v="79"/>
    <x v="3"/>
    <x v="2"/>
    <d v="2026-01-28T00:00:00"/>
    <d v="2024-04-03T00:00:00"/>
    <s v="Christopher Garrett"/>
    <x v="300"/>
    <s v="Neurology"/>
    <x v="2"/>
    <s v="Rs341.27"/>
    <s v="INR"/>
    <n v="341.27"/>
    <n v="4.0952399999999995"/>
    <s v="Yes"/>
    <x v="1"/>
    <n v="10"/>
    <n v="1"/>
    <x v="0"/>
  </r>
  <r>
    <n v="1088"/>
    <x v="302"/>
    <s v="Michael Short"/>
    <n v="83"/>
    <x v="4"/>
    <x v="1"/>
    <d v="2026-01-03T00:00:00"/>
    <d v="2024-12-21T00:00:00"/>
    <s v="Charles Hess"/>
    <x v="301"/>
    <s v="Orthopedics"/>
    <x v="1"/>
    <s v="$483.19"/>
    <s v="USD"/>
    <n v="483.19"/>
    <n v="483.19"/>
    <s v="Yes"/>
    <x v="1"/>
    <n v="16"/>
    <n v="1"/>
    <x v="0"/>
  </r>
  <r>
    <n v="1034"/>
    <x v="303"/>
    <s v="Anthony Mitchell"/>
    <n v="37"/>
    <x v="3"/>
    <x v="2"/>
    <d v="2025-10-09T00:00:00"/>
    <d v="2025-04-05T00:00:00"/>
    <s v="Theresa Osborne"/>
    <x v="302"/>
    <s v="Neurology"/>
    <x v="2"/>
    <s v="‚Ç¨371.49"/>
    <s v="EUR"/>
    <n v="371.49"/>
    <n v="404.92410000000007"/>
    <s v="N"/>
    <x v="2"/>
    <n v="8"/>
    <n v="1"/>
    <x v="2"/>
  </r>
  <r>
    <n v="1020"/>
    <x v="304"/>
    <s v="Jamie Peck"/>
    <n v="40"/>
    <x v="0"/>
    <x v="0"/>
    <d v="2026-01-14T00:00:00"/>
    <d v="2025-11-13T00:00:00"/>
    <s v="Lisa Garcia"/>
    <x v="303"/>
    <s v="Neurology"/>
    <x v="2"/>
    <s v="‚Ç¨406.43"/>
    <s v="EUR"/>
    <n v="406.43"/>
    <n v="443.00870000000003"/>
    <s v="N"/>
    <x v="2"/>
    <n v="10"/>
    <n v="1"/>
    <x v="1"/>
  </r>
  <r>
    <n v="1053"/>
    <x v="305"/>
    <s v="Kelsey Kelly"/>
    <n v="76"/>
    <x v="4"/>
    <x v="1"/>
    <d v="2025-06-19T00:00:00"/>
    <d v="2025-04-30T00:00:00"/>
    <s v="Denise Hall"/>
    <x v="304"/>
    <s v="Cardiology"/>
    <x v="0"/>
    <s v="‚Ç¨334.38"/>
    <s v="EUR"/>
    <n v="334.38"/>
    <n v="364.4742"/>
    <n v="0"/>
    <x v="0"/>
    <n v="14"/>
    <n v="1"/>
    <x v="0"/>
  </r>
  <r>
    <n v="1011"/>
    <x v="306"/>
    <s v="Allison Mcgrath"/>
    <n v="60"/>
    <x v="4"/>
    <x v="1"/>
    <d v="2025-06-22T00:00:00"/>
    <d v="2024-04-26T00:00:00"/>
    <s v="Morgan Mccoy"/>
    <x v="305"/>
    <s v="Cardiology"/>
    <x v="0"/>
    <s v="Rs125.6"/>
    <s v="INR"/>
    <n v="125.6"/>
    <n v="1.5071999999999999"/>
    <n v="0"/>
    <x v="0"/>
    <n v="7"/>
    <n v="1"/>
    <x v="1"/>
  </r>
  <r>
    <n v="1074"/>
    <x v="307"/>
    <s v="Denise Anderson"/>
    <n v="51"/>
    <x v="2"/>
    <x v="1"/>
    <d v="2025-12-28T00:00:00"/>
    <d v="2025-04-17T00:00:00"/>
    <s v="Timothy Beasley"/>
    <x v="306"/>
    <s v="General"/>
    <x v="3"/>
    <s v="¬£377.85"/>
    <s v="GBP"/>
    <n v="377.85"/>
    <n v="479.86950000000002"/>
    <s v="N"/>
    <x v="2"/>
    <n v="17"/>
    <n v="1"/>
    <x v="1"/>
  </r>
  <r>
    <n v="1051"/>
    <x v="308"/>
    <s v="Louis Thomas"/>
    <n v="52"/>
    <x v="3"/>
    <x v="2"/>
    <d v="2025-09-07T00:00:00"/>
    <d v="2024-04-23T00:00:00"/>
    <s v="Michelle Carter"/>
    <x v="307"/>
    <s v="Cardiology"/>
    <x v="0"/>
    <s v="¬£450.24"/>
    <s v="GBP"/>
    <n v="450.24"/>
    <n v="571.8048"/>
    <n v="1"/>
    <x v="0"/>
    <n v="9"/>
    <n v="1"/>
    <x v="1"/>
  </r>
  <r>
    <n v="1029"/>
    <x v="309"/>
    <s v="Sarah Taylor"/>
    <n v="43"/>
    <x v="0"/>
    <x v="0"/>
    <d v="2025-09-25T00:00:00"/>
    <d v="2024-10-30T00:00:00"/>
    <s v="Christopher Sexton"/>
    <x v="308"/>
    <s v="Cardiology"/>
    <x v="0"/>
    <s v="‚Ç¨382.81"/>
    <s v="EUR"/>
    <n v="382.81"/>
    <n v="417.26290000000006"/>
    <n v="1"/>
    <x v="0"/>
    <n v="8"/>
    <n v="1"/>
    <x v="1"/>
  </r>
  <r>
    <n v="1043"/>
    <x v="310"/>
    <s v="Dustin Perry"/>
    <n v="38"/>
    <x v="4"/>
    <x v="1"/>
    <d v="2026-01-25T00:00:00"/>
    <d v="2024-04-09T00:00:00"/>
    <s v="Adam Moore"/>
    <x v="309"/>
    <s v="Neurology"/>
    <x v="2"/>
    <s v="$424.21"/>
    <s v="USD"/>
    <n v="424.21"/>
    <n v="424.21"/>
    <s v="N"/>
    <x v="2"/>
    <n v="12"/>
    <n v="1"/>
    <x v="2"/>
  </r>
  <r>
    <n v="1095"/>
    <x v="311"/>
    <s v="Shawn Tucker"/>
    <n v="84"/>
    <x v="1"/>
    <x v="0"/>
    <d v="2026-02-15T00:00:00"/>
    <d v="2025-11-21T00:00:00"/>
    <s v="Melissa Schmidt"/>
    <x v="310"/>
    <s v="Orthopedics"/>
    <x v="1"/>
    <s v="‚Ç¨258.38"/>
    <s v="EUR"/>
    <n v="258.38"/>
    <n v="281.63420000000002"/>
    <s v="Y"/>
    <x v="1"/>
    <n v="12"/>
    <n v="1"/>
    <x v="0"/>
  </r>
  <r>
    <n v="1080"/>
    <x v="312"/>
    <s v="Rachel Russo"/>
    <n v="40"/>
    <x v="3"/>
    <x v="2"/>
    <d v="2025-08-27T00:00:00"/>
    <d v="2025-07-13T00:00:00"/>
    <s v="Christine Wilson"/>
    <x v="311"/>
    <s v="Orthopedics"/>
    <x v="1"/>
    <s v="Rs366.15"/>
    <s v="INR"/>
    <n v="366.15"/>
    <n v="4.3937999999999997"/>
    <s v="Yes"/>
    <x v="1"/>
    <n v="11"/>
    <n v="1"/>
    <x v="1"/>
  </r>
  <r>
    <n v="1082"/>
    <x v="313"/>
    <s v="Dana Martinez"/>
    <n v="89"/>
    <x v="3"/>
    <x v="2"/>
    <d v="2025-03-27T00:00:00"/>
    <d v="2024-12-16T00:00:00"/>
    <s v="Barry Bennett"/>
    <x v="312"/>
    <s v="Cardiology"/>
    <x v="0"/>
    <s v="Rs466.92"/>
    <s v="INR"/>
    <n v="466.92"/>
    <n v="5.60304"/>
    <s v="N"/>
    <x v="2"/>
    <n v="14"/>
    <n v="1"/>
    <x v="0"/>
  </r>
  <r>
    <n v="1058"/>
    <x v="314"/>
    <s v="Shane Fowler"/>
    <n v="57"/>
    <x v="3"/>
    <x v="2"/>
    <d v="2025-10-30T00:00:00"/>
    <d v="2024-08-27T00:00:00"/>
    <s v="Kimberly Douglas"/>
    <x v="313"/>
    <s v="Neurology"/>
    <x v="2"/>
    <s v="¬£114.67"/>
    <s v="GBP"/>
    <n v="114.67"/>
    <n v="145.6309"/>
    <s v="Y"/>
    <x v="1"/>
    <n v="17"/>
    <n v="1"/>
    <x v="1"/>
  </r>
  <r>
    <n v="1088"/>
    <x v="315"/>
    <s v="Kimberly Robinson"/>
    <n v="26"/>
    <x v="0"/>
    <x v="0"/>
    <d v="2026-03-04T00:00:00"/>
    <d v="2025-12-28T00:00:00"/>
    <s v="Michael Wright"/>
    <x v="314"/>
    <s v="Cardiology"/>
    <x v="0"/>
    <s v="Rs71.67"/>
    <s v="INR"/>
    <n v="71.67"/>
    <n v="0.86004000000000003"/>
    <n v="0"/>
    <x v="0"/>
    <n v="16"/>
    <n v="1"/>
    <x v="2"/>
  </r>
  <r>
    <n v="1039"/>
    <x v="316"/>
    <s v="Robert Rodriguez"/>
    <n v="61"/>
    <x v="3"/>
    <x v="2"/>
    <d v="2025-11-07T00:00:00"/>
    <d v="2025-09-21T00:00:00"/>
    <s v="Stephanie Douglas"/>
    <x v="315"/>
    <s v="General"/>
    <x v="3"/>
    <s v="Rs264.27"/>
    <s v="INR"/>
    <n v="264.27"/>
    <n v="3.1712400000000001"/>
    <n v="0"/>
    <x v="0"/>
    <n v="8"/>
    <n v="1"/>
    <x v="1"/>
  </r>
  <r>
    <n v="1016"/>
    <x v="317"/>
    <s v="Rita Joyce"/>
    <n v="78"/>
    <x v="1"/>
    <x v="0"/>
    <d v="2025-05-21T00:00:00"/>
    <d v="2024-08-18T00:00:00"/>
    <s v="Diana Neal"/>
    <x v="316"/>
    <s v="Neurology"/>
    <x v="2"/>
    <s v="Rs92.45"/>
    <s v="INR"/>
    <n v="92.45"/>
    <n v="1.1094000000000002"/>
    <s v="Y"/>
    <x v="1"/>
    <n v="15"/>
    <n v="1"/>
    <x v="0"/>
  </r>
  <r>
    <n v="1098"/>
    <x v="318"/>
    <s v="Kimberly Meyer"/>
    <n v="35"/>
    <x v="3"/>
    <x v="2"/>
    <d v="2025-12-17T00:00:00"/>
    <d v="2024-04-27T00:00:00"/>
    <s v="Christopher Perez"/>
    <x v="317"/>
    <s v="Orthopedics"/>
    <x v="1"/>
    <s v="Rs441.33"/>
    <s v="INR"/>
    <n v="441.33"/>
    <n v="5.29596"/>
    <s v="N"/>
    <x v="2"/>
    <n v="12"/>
    <n v="1"/>
    <x v="2"/>
  </r>
  <r>
    <n v="1025"/>
    <x v="319"/>
    <s v="Kelly Morris"/>
    <n v="40"/>
    <x v="4"/>
    <x v="1"/>
    <d v="2025-08-11T00:00:00"/>
    <d v="2024-08-02T00:00:00"/>
    <s v="Matthew Mccann"/>
    <x v="318"/>
    <s v="Orthopedics"/>
    <x v="1"/>
    <s v="Rs258.78"/>
    <s v="INR"/>
    <n v="258.77999999999997"/>
    <n v="3.1053599999999997"/>
    <n v="0"/>
    <x v="0"/>
    <n v="9"/>
    <n v="1"/>
    <x v="1"/>
  </r>
  <r>
    <n v="1012"/>
    <x v="320"/>
    <s v="Kevin Thompson"/>
    <n v="59"/>
    <x v="0"/>
    <x v="0"/>
    <d v="2025-05-01T00:00:00"/>
    <d v="2024-10-02T00:00:00"/>
    <s v="Lynn Cruz"/>
    <x v="319"/>
    <s v="General"/>
    <x v="3"/>
    <s v="Rs156.71"/>
    <s v="INR"/>
    <n v="156.71"/>
    <n v="1.8805200000000002"/>
    <n v="1"/>
    <x v="0"/>
    <n v="9"/>
    <n v="1"/>
    <x v="1"/>
  </r>
  <r>
    <n v="1038"/>
    <x v="321"/>
    <s v="April Braun"/>
    <n v="57"/>
    <x v="0"/>
    <x v="0"/>
    <d v="2025-04-29T00:00:00"/>
    <d v="2024-04-16T00:00:00"/>
    <s v="Jacob Mendoza"/>
    <x v="320"/>
    <s v="Neurology"/>
    <x v="2"/>
    <s v="Rs110.47"/>
    <s v="INR"/>
    <n v="110.47"/>
    <n v="1.3256399999999999"/>
    <s v="Y"/>
    <x v="1"/>
    <n v="10"/>
    <n v="1"/>
    <x v="1"/>
  </r>
  <r>
    <n v="1000"/>
    <x v="322"/>
    <s v="Alejandro Lopez"/>
    <n v="85"/>
    <x v="2"/>
    <x v="1"/>
    <d v="2025-06-15T00:00:00"/>
    <d v="2024-07-03T00:00:00"/>
    <s v="Brian Bowman"/>
    <x v="321"/>
    <s v="Neurology"/>
    <x v="2"/>
    <s v="‚Ç¨361.32"/>
    <s v="EUR"/>
    <n v="361.32"/>
    <n v="393.83880000000005"/>
    <n v="0"/>
    <x v="0"/>
    <n v="3"/>
    <n v="1"/>
    <x v="0"/>
  </r>
  <r>
    <n v="1020"/>
    <x v="323"/>
    <s v="Scott Bishop"/>
    <n v="76"/>
    <x v="0"/>
    <x v="0"/>
    <d v="2025-05-30T00:00:00"/>
    <d v="2024-07-27T00:00:00"/>
    <s v="Dylan Gibson"/>
    <x v="322"/>
    <s v="General"/>
    <x v="3"/>
    <s v="‚Ç¨405.85"/>
    <s v="EUR"/>
    <n v="405.85"/>
    <n v="442.37650000000008"/>
    <s v="No"/>
    <x v="2"/>
    <n v="10"/>
    <n v="1"/>
    <x v="0"/>
  </r>
  <r>
    <n v="1010"/>
    <x v="324"/>
    <s v="Steven Baldwin"/>
    <n v="87"/>
    <x v="3"/>
    <x v="2"/>
    <d v="2025-06-05T00:00:00"/>
    <d v="2024-04-14T00:00:00"/>
    <s v="Lori Reid"/>
    <x v="323"/>
    <s v="Neurology"/>
    <x v="2"/>
    <s v="Rs496.78"/>
    <s v="INR"/>
    <n v="496.78"/>
    <n v="5.96136"/>
    <n v="1"/>
    <x v="0"/>
    <n v="10"/>
    <n v="1"/>
    <x v="0"/>
  </r>
  <r>
    <n v="1031"/>
    <x v="325"/>
    <s v="Randy Austin"/>
    <n v="40"/>
    <x v="3"/>
    <x v="2"/>
    <d v="2026-02-12T00:00:00"/>
    <d v="2024-04-12T00:00:00"/>
    <s v="Dr. Deborah Fitzgerald"/>
    <x v="324"/>
    <s v="Neurology"/>
    <x v="2"/>
    <s v="$364.33"/>
    <s v="USD"/>
    <n v="364.33"/>
    <n v="364.33"/>
    <s v="N"/>
    <x v="2"/>
    <n v="13"/>
    <n v="1"/>
    <x v="1"/>
  </r>
  <r>
    <n v="1006"/>
    <x v="326"/>
    <s v="Anthony Martin"/>
    <n v="54"/>
    <x v="0"/>
    <x v="0"/>
    <d v="2025-06-18T00:00:00"/>
    <d v="2024-11-06T00:00:00"/>
    <s v="Alex Richards"/>
    <x v="325"/>
    <s v="Neurology"/>
    <x v="2"/>
    <s v="Rs119.63"/>
    <s v="INR"/>
    <n v="119.63"/>
    <n v="1.4355599999999999"/>
    <s v="No"/>
    <x v="2"/>
    <n v="8"/>
    <n v="1"/>
    <x v="1"/>
  </r>
  <r>
    <n v="1078"/>
    <x v="327"/>
    <s v="Patricia Ramsey"/>
    <n v="85"/>
    <x v="1"/>
    <x v="0"/>
    <d v="2025-07-20T00:00:00"/>
    <d v="2024-11-27T00:00:00"/>
    <s v="Jennifer Tanner"/>
    <x v="326"/>
    <s v="General"/>
    <x v="3"/>
    <s v="¬£399.55"/>
    <s v="GBP"/>
    <n v="399.55"/>
    <n v="507.42850000000004"/>
    <n v="0"/>
    <x v="0"/>
    <n v="8"/>
    <n v="1"/>
    <x v="0"/>
  </r>
  <r>
    <n v="1021"/>
    <x v="328"/>
    <s v="Lauren Gardner"/>
    <n v="43"/>
    <x v="1"/>
    <x v="0"/>
    <d v="2025-04-25T00:00:00"/>
    <d v="2025-04-01T00:00:00"/>
    <s v="Alison Castro"/>
    <x v="327"/>
    <s v="Neurology"/>
    <x v="2"/>
    <s v="Rs186.4"/>
    <s v="INR"/>
    <n v="186.4"/>
    <n v="2.2368000000000001"/>
    <n v="0"/>
    <x v="0"/>
    <n v="16"/>
    <n v="1"/>
    <x v="1"/>
  </r>
  <r>
    <n v="1084"/>
    <x v="329"/>
    <s v="Daniel Willis"/>
    <n v="53"/>
    <x v="0"/>
    <x v="0"/>
    <d v="2025-11-05T00:00:00"/>
    <d v="2025-08-01T00:00:00"/>
    <s v="Megan Austin"/>
    <x v="328"/>
    <s v="Neurology"/>
    <x v="2"/>
    <s v="Rs234.99"/>
    <s v="INR"/>
    <n v="234.99"/>
    <n v="2.8198800000000004"/>
    <s v="Yes"/>
    <x v="1"/>
    <n v="15"/>
    <n v="1"/>
    <x v="1"/>
  </r>
  <r>
    <n v="1025"/>
    <x v="330"/>
    <s v="Shawn Moore"/>
    <n v="55"/>
    <x v="0"/>
    <x v="0"/>
    <d v="2025-11-15T00:00:00"/>
    <d v="2024-07-06T00:00:00"/>
    <s v="Rebecca Ward"/>
    <x v="329"/>
    <s v="General"/>
    <x v="3"/>
    <s v="Rs316.26"/>
    <s v="INR"/>
    <n v="316.26"/>
    <n v="3.7951199999999998"/>
    <s v="No"/>
    <x v="2"/>
    <n v="9"/>
    <n v="1"/>
    <x v="1"/>
  </r>
  <r>
    <n v="1015"/>
    <x v="331"/>
    <s v="Sherry Wilson"/>
    <n v="21"/>
    <x v="1"/>
    <x v="0"/>
    <d v="2025-12-07T00:00:00"/>
    <d v="2025-02-28T00:00:00"/>
    <s v="Pamela Wiley"/>
    <x v="330"/>
    <s v="Orthopedics"/>
    <x v="1"/>
    <s v="Rs129.91"/>
    <s v="INR"/>
    <n v="129.91"/>
    <n v="1.5589200000000001"/>
    <n v="1"/>
    <x v="0"/>
    <n v="17"/>
    <n v="1"/>
    <x v="2"/>
  </r>
  <r>
    <n v="1084"/>
    <x v="332"/>
    <s v="Teresa Peters"/>
    <n v="78"/>
    <x v="4"/>
    <x v="1"/>
    <d v="2026-02-11T00:00:00"/>
    <d v="2024-11-14T00:00:00"/>
    <s v="Tracey Johnson"/>
    <x v="331"/>
    <s v="Neurology"/>
    <x v="2"/>
    <s v="‚Ç¨468.01"/>
    <s v="EUR"/>
    <n v="468.01"/>
    <n v="510.13090000000005"/>
    <n v="0"/>
    <x v="0"/>
    <n v="15"/>
    <n v="1"/>
    <x v="0"/>
  </r>
  <r>
    <n v="1015"/>
    <x v="333"/>
    <s v="Nicole Evans"/>
    <n v="86"/>
    <x v="1"/>
    <x v="0"/>
    <d v="2025-08-13T00:00:00"/>
    <d v="2024-09-21T00:00:00"/>
    <s v="Ashley Cuevas"/>
    <x v="332"/>
    <s v="Cardiology"/>
    <x v="0"/>
    <s v="Rs459.41"/>
    <s v="INR"/>
    <n v="459.41"/>
    <n v="5.5129200000000003"/>
    <s v="Y"/>
    <x v="1"/>
    <n v="17"/>
    <n v="1"/>
    <x v="0"/>
  </r>
  <r>
    <n v="1091"/>
    <x v="334"/>
    <s v="Brandon Sanders"/>
    <n v="27"/>
    <x v="4"/>
    <x v="1"/>
    <d v="2026-01-09T00:00:00"/>
    <d v="2025-03-16T00:00:00"/>
    <s v="Amy Dunlap"/>
    <x v="333"/>
    <s v="Orthopedics"/>
    <x v="1"/>
    <s v="‚Ç¨370.25"/>
    <s v="EUR"/>
    <n v="370.25"/>
    <n v="403.57250000000005"/>
    <n v="0"/>
    <x v="0"/>
    <n v="9"/>
    <n v="1"/>
    <x v="2"/>
  </r>
  <r>
    <n v="1065"/>
    <x v="335"/>
    <s v="Samantha Wallace"/>
    <n v="76"/>
    <x v="4"/>
    <x v="1"/>
    <d v="2025-06-28T00:00:00"/>
    <d v="2024-12-22T00:00:00"/>
    <s v="Charles Jackson"/>
    <x v="334"/>
    <s v="Orthopedics"/>
    <x v="1"/>
    <s v="Rs145.83"/>
    <s v="INR"/>
    <n v="145.83000000000001"/>
    <n v="1.7499600000000002"/>
    <s v="Y"/>
    <x v="1"/>
    <n v="9"/>
    <n v="1"/>
    <x v="0"/>
  </r>
  <r>
    <n v="1045"/>
    <x v="336"/>
    <s v="Jared Butler"/>
    <n v="38"/>
    <x v="4"/>
    <x v="1"/>
    <d v="2025-08-19T00:00:00"/>
    <d v="2025-06-09T00:00:00"/>
    <s v="Jason Morales"/>
    <x v="335"/>
    <s v="General"/>
    <x v="3"/>
    <s v="‚Ç¨243.78"/>
    <s v="EUR"/>
    <n v="243.78"/>
    <n v="265.72020000000003"/>
    <s v="Yes"/>
    <x v="1"/>
    <n v="8"/>
    <n v="1"/>
    <x v="2"/>
  </r>
  <r>
    <n v="1050"/>
    <x v="337"/>
    <s v="Tracey Beck"/>
    <n v="81"/>
    <x v="4"/>
    <x v="1"/>
    <d v="2025-05-27T00:00:00"/>
    <d v="2024-09-20T00:00:00"/>
    <s v="Logan Cooper"/>
    <x v="336"/>
    <s v="Cardiology"/>
    <x v="0"/>
    <s v="$184.28"/>
    <s v="USD"/>
    <n v="184.28"/>
    <n v="184.28"/>
    <s v="Y"/>
    <x v="1"/>
    <n v="12"/>
    <n v="1"/>
    <x v="0"/>
  </r>
  <r>
    <n v="1058"/>
    <x v="338"/>
    <s v="Brianna Mcpherson"/>
    <n v="90"/>
    <x v="4"/>
    <x v="1"/>
    <d v="2025-05-13T00:00:00"/>
    <d v="2024-06-17T00:00:00"/>
    <s v="Nathaniel Thompson"/>
    <x v="337"/>
    <s v="General"/>
    <x v="3"/>
    <s v="¬£109.61"/>
    <s v="GBP"/>
    <n v="109.61"/>
    <n v="139.2047"/>
    <s v="Yes"/>
    <x v="1"/>
    <n v="17"/>
    <n v="1"/>
    <x v="0"/>
  </r>
  <r>
    <n v="1047"/>
    <x v="339"/>
    <s v="Ray Mcbride"/>
    <n v="87"/>
    <x v="0"/>
    <x v="0"/>
    <d v="2025-10-06T00:00:00"/>
    <d v="2024-12-02T00:00:00"/>
    <s v="Natalie Turner"/>
    <x v="338"/>
    <s v="General"/>
    <x v="3"/>
    <s v="$135.41"/>
    <s v="USD"/>
    <n v="135.41"/>
    <n v="135.41"/>
    <s v="N"/>
    <x v="2"/>
    <n v="17"/>
    <n v="1"/>
    <x v="0"/>
  </r>
  <r>
    <n v="1044"/>
    <x v="340"/>
    <s v="Tammy Thomas"/>
    <n v="74"/>
    <x v="1"/>
    <x v="0"/>
    <d v="2025-04-02T00:00:00"/>
    <d v="2025-01-19T00:00:00"/>
    <s v="Kurt Cain"/>
    <x v="339"/>
    <s v="Orthopedics"/>
    <x v="1"/>
    <s v="¬£109.02"/>
    <s v="GBP"/>
    <n v="109.02"/>
    <n v="138.4554"/>
    <n v="0"/>
    <x v="0"/>
    <n v="12"/>
    <n v="1"/>
    <x v="0"/>
  </r>
  <r>
    <n v="1049"/>
    <x v="341"/>
    <s v="Kelly Mason"/>
    <n v="65"/>
    <x v="0"/>
    <x v="0"/>
    <d v="2026-02-17T00:00:00"/>
    <d v="2024-05-31T00:00:00"/>
    <s v="Laura Edwards"/>
    <x v="340"/>
    <s v="Cardiology"/>
    <x v="0"/>
    <s v="$205.16"/>
    <s v="USD"/>
    <n v="205.16"/>
    <n v="205.16"/>
    <n v="1"/>
    <x v="0"/>
    <n v="8"/>
    <n v="1"/>
    <x v="0"/>
  </r>
  <r>
    <n v="1095"/>
    <x v="342"/>
    <s v="Nicholas Kelly"/>
    <n v="53"/>
    <x v="1"/>
    <x v="0"/>
    <d v="2026-03-23T00:00:00"/>
    <d v="2025-04-02T00:00:00"/>
    <s v="Paula Freeman"/>
    <x v="341"/>
    <s v="Cardiology"/>
    <x v="0"/>
    <m/>
    <s v="N/A"/>
    <s v=""/>
    <s v="N/A"/>
    <s v="Y"/>
    <x v="1"/>
    <n v="12"/>
    <n v="1"/>
    <x v="1"/>
  </r>
  <r>
    <n v="1098"/>
    <x v="343"/>
    <s v="Anne Jones DVM"/>
    <n v="48"/>
    <x v="1"/>
    <x v="0"/>
    <d v="2026-01-05T00:00:00"/>
    <d v="2025-05-30T00:00:00"/>
    <s v="Linda French"/>
    <x v="342"/>
    <s v="General"/>
    <x v="3"/>
    <s v="$296.43"/>
    <s v="USD"/>
    <n v="296.43"/>
    <n v="296.43"/>
    <s v="Yes"/>
    <x v="1"/>
    <n v="12"/>
    <n v="1"/>
    <x v="1"/>
  </r>
  <r>
    <n v="1066"/>
    <x v="344"/>
    <s v="Andrea Mendez"/>
    <n v="33"/>
    <x v="2"/>
    <x v="1"/>
    <d v="2025-07-02T00:00:00"/>
    <d v="2024-08-14T00:00:00"/>
    <s v="Joshua Reed"/>
    <x v="343"/>
    <s v="General"/>
    <x v="3"/>
    <s v="$233.98"/>
    <s v="USD"/>
    <n v="233.98"/>
    <n v="233.98"/>
    <s v="No"/>
    <x v="2"/>
    <n v="11"/>
    <n v="1"/>
    <x v="2"/>
  </r>
  <r>
    <n v="1014"/>
    <x v="345"/>
    <s v="Jennifer Schwartz"/>
    <n v="90"/>
    <x v="3"/>
    <x v="2"/>
    <d v="2026-02-12T00:00:00"/>
    <d v="2024-08-14T00:00:00"/>
    <s v="Mrs. Michelle Ramsey"/>
    <x v="344"/>
    <s v="Orthopedics"/>
    <x v="1"/>
    <s v="‚Ç¨474.34"/>
    <s v="EUR"/>
    <n v="474.34"/>
    <n v="517.03060000000005"/>
    <s v="N"/>
    <x v="2"/>
    <n v="10"/>
    <n v="1"/>
    <x v="0"/>
  </r>
  <r>
    <n v="1003"/>
    <x v="346"/>
    <s v="Zachary Cross"/>
    <n v="61"/>
    <x v="3"/>
    <x v="2"/>
    <d v="2025-07-31T00:00:00"/>
    <d v="2025-04-23T00:00:00"/>
    <s v="Toni Rodriguez"/>
    <x v="345"/>
    <s v="Neurology"/>
    <x v="2"/>
    <s v="¬£317.84"/>
    <s v="GBP"/>
    <n v="317.83999999999997"/>
    <n v="403.65679999999998"/>
    <n v="0"/>
    <x v="0"/>
    <n v="12"/>
    <n v="1"/>
    <x v="1"/>
  </r>
  <r>
    <n v="1056"/>
    <x v="347"/>
    <s v="Andrea Murray"/>
    <n v="46"/>
    <x v="3"/>
    <x v="2"/>
    <d v="2026-03-12T00:00:00"/>
    <d v="2025-08-11T00:00:00"/>
    <s v="Alexa Martin"/>
    <x v="346"/>
    <s v="Neurology"/>
    <x v="2"/>
    <s v="Rs435.55"/>
    <s v="INR"/>
    <n v="435.55"/>
    <n v="5.2266000000000004"/>
    <n v="0"/>
    <x v="0"/>
    <n v="13"/>
    <n v="1"/>
    <x v="1"/>
  </r>
  <r>
    <n v="1033"/>
    <x v="348"/>
    <s v="Michele Green"/>
    <n v="48"/>
    <x v="3"/>
    <x v="2"/>
    <d v="2025-06-30T00:00:00"/>
    <d v="2025-01-24T00:00:00"/>
    <s v="Nancy Hernandez"/>
    <x v="113"/>
    <s v="Orthopedics"/>
    <x v="1"/>
    <s v="Rs88.58"/>
    <s v="INR"/>
    <n v="88.58"/>
    <n v="1.0629599999999999"/>
    <s v="No"/>
    <x v="2"/>
    <n v="11"/>
    <n v="1"/>
    <x v="1"/>
  </r>
  <r>
    <n v="1095"/>
    <x v="349"/>
    <s v="Summer Bishop"/>
    <n v="37"/>
    <x v="3"/>
    <x v="2"/>
    <d v="2025-10-21T00:00:00"/>
    <d v="2025-08-07T00:00:00"/>
    <s v="Cynthia Green"/>
    <x v="347"/>
    <s v="Cardiology"/>
    <x v="0"/>
    <m/>
    <s v="N/A"/>
    <s v=""/>
    <s v="N/A"/>
    <s v="Yes"/>
    <x v="1"/>
    <n v="12"/>
    <n v="1"/>
    <x v="2"/>
  </r>
  <r>
    <n v="1036"/>
    <x v="350"/>
    <s v="Daniel Braun"/>
    <n v="27"/>
    <x v="4"/>
    <x v="1"/>
    <d v="2026-03-20T00:00:00"/>
    <d v="2026-02-09T00:00:00"/>
    <s v="Tonya Kennedy"/>
    <x v="348"/>
    <s v="Cardiology"/>
    <x v="0"/>
    <s v="‚Ç¨252.38"/>
    <s v="EUR"/>
    <n v="252.38"/>
    <n v="275.0942"/>
    <s v="Y"/>
    <x v="1"/>
    <n v="14"/>
    <n v="1"/>
    <x v="2"/>
  </r>
  <r>
    <n v="1082"/>
    <x v="351"/>
    <s v="Kyle Jones"/>
    <n v="29"/>
    <x v="2"/>
    <x v="1"/>
    <d v="2025-11-01T00:00:00"/>
    <d v="2025-03-17T00:00:00"/>
    <s v="Cheryl Mullins"/>
    <x v="349"/>
    <s v="Neurology"/>
    <x v="2"/>
    <s v="$366.49"/>
    <s v="USD"/>
    <n v="366.49"/>
    <n v="366.49"/>
    <s v="N"/>
    <x v="2"/>
    <n v="14"/>
    <n v="1"/>
    <x v="2"/>
  </r>
  <r>
    <n v="1063"/>
    <x v="352"/>
    <s v="Erin Baker"/>
    <n v="36"/>
    <x v="4"/>
    <x v="1"/>
    <d v="2025-10-02T00:00:00"/>
    <d v="2025-09-12T00:00:00"/>
    <s v="Carla King"/>
    <x v="350"/>
    <s v="General"/>
    <x v="3"/>
    <s v="Rs239.5"/>
    <s v="INR"/>
    <n v="239.5"/>
    <n v="2.8740000000000001"/>
    <s v="Yes"/>
    <x v="1"/>
    <n v="11"/>
    <n v="1"/>
    <x v="2"/>
  </r>
  <r>
    <n v="1003"/>
    <x v="353"/>
    <s v="Cheryl Calderon"/>
    <n v="29"/>
    <x v="0"/>
    <x v="0"/>
    <d v="2026-02-23T00:00:00"/>
    <d v="2024-04-04T00:00:00"/>
    <s v="Michael Adams"/>
    <x v="351"/>
    <s v="Orthopedics"/>
    <x v="1"/>
    <s v="Rs55.55"/>
    <s v="INR"/>
    <n v="55.55"/>
    <n v="0.66659999999999997"/>
    <s v="N"/>
    <x v="2"/>
    <n v="12"/>
    <n v="1"/>
    <x v="2"/>
  </r>
  <r>
    <n v="1005"/>
    <x v="354"/>
    <s v="Andrea Mcbride"/>
    <n v="64"/>
    <x v="0"/>
    <x v="0"/>
    <d v="2025-09-15T00:00:00"/>
    <d v="2025-01-19T00:00:00"/>
    <s v="Laura Newman"/>
    <x v="352"/>
    <s v="Neurology"/>
    <x v="2"/>
    <s v="¬£112.28"/>
    <s v="GBP"/>
    <n v="112.28"/>
    <n v="142.59559999999999"/>
    <s v="No"/>
    <x v="2"/>
    <n v="13"/>
    <n v="1"/>
    <x v="1"/>
  </r>
  <r>
    <n v="1058"/>
    <x v="355"/>
    <s v="Danielle Barrett"/>
    <n v="36"/>
    <x v="0"/>
    <x v="0"/>
    <d v="2025-12-20T00:00:00"/>
    <d v="2024-03-27T00:00:00"/>
    <s v="Gregory Griffin"/>
    <x v="353"/>
    <s v="General"/>
    <x v="3"/>
    <s v="Rs386.16"/>
    <s v="INR"/>
    <n v="386.16"/>
    <n v="4.6339200000000007"/>
    <n v="1"/>
    <x v="0"/>
    <n v="17"/>
    <n v="1"/>
    <x v="2"/>
  </r>
  <r>
    <n v="1061"/>
    <x v="356"/>
    <s v="Madison Wilson"/>
    <n v="23"/>
    <x v="4"/>
    <x v="1"/>
    <d v="2026-01-08T00:00:00"/>
    <d v="2024-11-29T00:00:00"/>
    <s v="Ryan Steele"/>
    <x v="354"/>
    <s v="Cardiology"/>
    <x v="0"/>
    <s v="‚Ç¨230.73"/>
    <s v="EUR"/>
    <n v="230.73"/>
    <n v="251.4957"/>
    <s v="N"/>
    <x v="2"/>
    <n v="8"/>
    <n v="1"/>
    <x v="2"/>
  </r>
  <r>
    <n v="1004"/>
    <x v="357"/>
    <s v="Thomas Crawford"/>
    <n v="63"/>
    <x v="0"/>
    <x v="0"/>
    <d v="2025-05-13T00:00:00"/>
    <d v="2024-04-22T00:00:00"/>
    <s v="Ashley Shaw"/>
    <x v="355"/>
    <s v="General"/>
    <x v="3"/>
    <s v="‚Ç¨296.85"/>
    <s v="EUR"/>
    <n v="296.85000000000002"/>
    <n v="323.56650000000008"/>
    <n v="0"/>
    <x v="0"/>
    <n v="9"/>
    <n v="1"/>
    <x v="1"/>
  </r>
  <r>
    <n v="1057"/>
    <x v="358"/>
    <s v="Sheila Thomas"/>
    <n v="58"/>
    <x v="3"/>
    <x v="2"/>
    <d v="2025-09-08T00:00:00"/>
    <d v="2025-02-24T00:00:00"/>
    <s v="Catherine Gamble"/>
    <x v="356"/>
    <s v="Cardiology"/>
    <x v="0"/>
    <s v="¬£64.79"/>
    <s v="GBP"/>
    <n v="64.790000000000006"/>
    <n v="82.283300000000011"/>
    <n v="0"/>
    <x v="0"/>
    <n v="7"/>
    <n v="1"/>
    <x v="1"/>
  </r>
  <r>
    <n v="1036"/>
    <x v="359"/>
    <s v="Daniel Long"/>
    <n v="38"/>
    <x v="0"/>
    <x v="0"/>
    <d v="2025-11-17T00:00:00"/>
    <d v="2024-10-09T00:00:00"/>
    <s v="Jean Lawson DDS"/>
    <x v="357"/>
    <s v="Neurology"/>
    <x v="2"/>
    <s v="‚Ç¨101.1"/>
    <s v="EUR"/>
    <n v="101.1"/>
    <n v="110.199"/>
    <s v="Yes"/>
    <x v="1"/>
    <n v="14"/>
    <n v="1"/>
    <x v="2"/>
  </r>
  <r>
    <n v="1095"/>
    <x v="360"/>
    <s v="James Fox"/>
    <n v="60"/>
    <x v="0"/>
    <x v="0"/>
    <d v="2025-12-22T00:00:00"/>
    <d v="2024-05-17T00:00:00"/>
    <s v="Victoria Osborne"/>
    <x v="358"/>
    <s v="General"/>
    <x v="3"/>
    <s v="Rs204.86"/>
    <s v="INR"/>
    <n v="204.86"/>
    <n v="2.4583200000000001"/>
    <s v="Yes"/>
    <x v="1"/>
    <n v="12"/>
    <n v="1"/>
    <x v="1"/>
  </r>
  <r>
    <n v="1036"/>
    <x v="361"/>
    <s v="Evan Price"/>
    <n v="87"/>
    <x v="3"/>
    <x v="2"/>
    <d v="2025-07-31T00:00:00"/>
    <d v="2024-11-02T00:00:00"/>
    <s v="Brooke Ramos"/>
    <x v="359"/>
    <s v="Cardiology"/>
    <x v="0"/>
    <s v="$369.12"/>
    <s v="USD"/>
    <n v="369.12"/>
    <n v="369.12"/>
    <n v="1"/>
    <x v="0"/>
    <n v="14"/>
    <n v="1"/>
    <x v="0"/>
  </r>
  <r>
    <n v="1049"/>
    <x v="362"/>
    <s v="Vanessa Graves"/>
    <n v="58"/>
    <x v="0"/>
    <x v="0"/>
    <d v="2025-08-07T00:00:00"/>
    <d v="2025-01-02T00:00:00"/>
    <s v="Leslie Smith"/>
    <x v="360"/>
    <s v="Cardiology"/>
    <x v="0"/>
    <s v="Rs474.33"/>
    <s v="INR"/>
    <n v="474.33"/>
    <n v="5.6919599999999999"/>
    <s v="Y"/>
    <x v="1"/>
    <n v="8"/>
    <n v="1"/>
    <x v="1"/>
  </r>
  <r>
    <n v="1036"/>
    <x v="363"/>
    <s v="Barbara Drake"/>
    <n v="20"/>
    <x v="3"/>
    <x v="2"/>
    <d v="2025-08-26T00:00:00"/>
    <d v="2025-01-09T00:00:00"/>
    <s v="Julie Jacobs"/>
    <x v="361"/>
    <s v="Cardiology"/>
    <x v="0"/>
    <s v="‚Ç¨285.97"/>
    <s v="EUR"/>
    <n v="285.97000000000003"/>
    <n v="311.70730000000003"/>
    <s v="No"/>
    <x v="2"/>
    <n v="14"/>
    <n v="1"/>
    <x v="2"/>
  </r>
  <r>
    <n v="1050"/>
    <x v="364"/>
    <s v="Logan Gonzalez"/>
    <n v="81"/>
    <x v="3"/>
    <x v="2"/>
    <d v="2026-02-17T00:00:00"/>
    <d v="2025-04-03T00:00:00"/>
    <s v="John Anderson"/>
    <x v="362"/>
    <s v="Neurology"/>
    <x v="2"/>
    <s v="‚Ç¨209.27"/>
    <s v="EUR"/>
    <n v="209.27"/>
    <n v="228.10430000000002"/>
    <s v="Y"/>
    <x v="1"/>
    <n v="12"/>
    <n v="1"/>
    <x v="0"/>
  </r>
  <r>
    <n v="1019"/>
    <x v="365"/>
    <s v="Brittney Gonzales"/>
    <n v="38"/>
    <x v="3"/>
    <x v="2"/>
    <d v="2025-12-20T00:00:00"/>
    <d v="2025-08-14T00:00:00"/>
    <s v="Kimberly Caldwell"/>
    <x v="363"/>
    <s v="Orthopedics"/>
    <x v="1"/>
    <s v="Rs347.87"/>
    <s v="INR"/>
    <n v="347.87"/>
    <n v="4.1744399999999997"/>
    <n v="1"/>
    <x v="0"/>
    <n v="6"/>
    <n v="1"/>
    <x v="2"/>
  </r>
  <r>
    <n v="1082"/>
    <x v="366"/>
    <s v="Nichole Phillips"/>
    <n v="56"/>
    <x v="2"/>
    <x v="1"/>
    <d v="2025-09-17T00:00:00"/>
    <d v="2025-08-19T00:00:00"/>
    <s v="Michael Jackson"/>
    <x v="364"/>
    <s v="Cardiology"/>
    <x v="0"/>
    <m/>
    <s v="N/A"/>
    <s v=""/>
    <s v="N/A"/>
    <s v="Y"/>
    <x v="1"/>
    <n v="14"/>
    <n v="1"/>
    <x v="1"/>
  </r>
  <r>
    <n v="1074"/>
    <x v="367"/>
    <s v="James Wise"/>
    <n v="67"/>
    <x v="1"/>
    <x v="0"/>
    <d v="2025-09-05T00:00:00"/>
    <d v="2024-05-19T00:00:00"/>
    <s v="Karen Schmidt"/>
    <x v="365"/>
    <s v="Neurology"/>
    <x v="2"/>
    <s v="‚Ç¨98.07"/>
    <s v="EUR"/>
    <n v="98.07"/>
    <n v="106.8963"/>
    <s v="Y"/>
    <x v="1"/>
    <n v="17"/>
    <n v="1"/>
    <x v="0"/>
  </r>
  <r>
    <n v="1084"/>
    <x v="368"/>
    <s v="Logan Sampson"/>
    <n v="64"/>
    <x v="4"/>
    <x v="1"/>
    <d v="2025-12-31T00:00:00"/>
    <d v="2025-04-19T00:00:00"/>
    <s v="Tiffany Melendez"/>
    <x v="366"/>
    <s v="Orthopedics"/>
    <x v="1"/>
    <s v="Rs154.03"/>
    <s v="INR"/>
    <n v="154.03"/>
    <n v="1.84836"/>
    <n v="1"/>
    <x v="0"/>
    <n v="15"/>
    <n v="1"/>
    <x v="1"/>
  </r>
  <r>
    <n v="1084"/>
    <x v="369"/>
    <s v="Tamara Ramirez MD"/>
    <n v="79"/>
    <x v="1"/>
    <x v="0"/>
    <d v="2025-12-23T00:00:00"/>
    <d v="2025-01-12T00:00:00"/>
    <s v="Emily Mcintosh"/>
    <x v="367"/>
    <s v="Neurology"/>
    <x v="2"/>
    <s v="¬£126.87"/>
    <s v="GBP"/>
    <n v="126.87"/>
    <n v="161.1249"/>
    <s v="Yes"/>
    <x v="1"/>
    <n v="15"/>
    <n v="1"/>
    <x v="0"/>
  </r>
  <r>
    <n v="1004"/>
    <x v="370"/>
    <s v="Sheryl Lopez"/>
    <n v="27"/>
    <x v="2"/>
    <x v="1"/>
    <d v="2025-08-26T00:00:00"/>
    <d v="2024-09-10T00:00:00"/>
    <s v="Barbara Alvarado"/>
    <x v="368"/>
    <s v="Neurology"/>
    <x v="2"/>
    <m/>
    <s v="N/A"/>
    <s v=""/>
    <s v="N/A"/>
    <s v="Yes"/>
    <x v="1"/>
    <n v="9"/>
    <n v="1"/>
    <x v="2"/>
  </r>
  <r>
    <n v="1006"/>
    <x v="371"/>
    <s v="Shannon Ramos"/>
    <n v="42"/>
    <x v="4"/>
    <x v="1"/>
    <d v="2025-11-04T00:00:00"/>
    <d v="2024-11-05T00:00:00"/>
    <s v="James Huber"/>
    <x v="369"/>
    <s v="Orthopedics"/>
    <x v="1"/>
    <m/>
    <s v="N/A"/>
    <s v=""/>
    <s v="N/A"/>
    <s v="Yes"/>
    <x v="1"/>
    <n v="8"/>
    <n v="1"/>
    <x v="1"/>
  </r>
  <r>
    <n v="1096"/>
    <x v="372"/>
    <s v="Daniel Vazquez"/>
    <n v="83"/>
    <x v="0"/>
    <x v="0"/>
    <d v="2026-03-21T00:00:00"/>
    <d v="2025-12-09T00:00:00"/>
    <s v="Lisa Fry"/>
    <x v="370"/>
    <s v="Neurology"/>
    <x v="2"/>
    <s v="¬£194.82"/>
    <s v="GBP"/>
    <n v="194.82"/>
    <n v="247.42140000000001"/>
    <n v="1"/>
    <x v="0"/>
    <n v="4"/>
    <n v="1"/>
    <x v="0"/>
  </r>
  <r>
    <n v="1022"/>
    <x v="373"/>
    <s v="Kimberly Heath"/>
    <n v="19"/>
    <x v="3"/>
    <x v="2"/>
    <d v="2025-10-19T00:00:00"/>
    <d v="2025-09-19T00:00:00"/>
    <s v="Amber Avila"/>
    <x v="371"/>
    <s v="Orthopedics"/>
    <x v="1"/>
    <s v="‚Ç¨145.75"/>
    <s v="EUR"/>
    <n v="145.75"/>
    <n v="158.86750000000001"/>
    <s v="Yes"/>
    <x v="1"/>
    <n v="9"/>
    <n v="1"/>
    <x v="2"/>
  </r>
  <r>
    <n v="1089"/>
    <x v="374"/>
    <s v="Tammy Yates"/>
    <n v="35"/>
    <x v="3"/>
    <x v="2"/>
    <d v="2025-10-29T00:00:00"/>
    <d v="2025-09-06T00:00:00"/>
    <s v="Nancy Luna"/>
    <x v="372"/>
    <s v="Cardiology"/>
    <x v="0"/>
    <s v="‚Ç¨58.55"/>
    <s v="EUR"/>
    <n v="58.55"/>
    <n v="63.819500000000005"/>
    <s v="No"/>
    <x v="2"/>
    <n v="16"/>
    <n v="1"/>
    <x v="2"/>
  </r>
  <r>
    <n v="1058"/>
    <x v="375"/>
    <s v="Alison Wolfe"/>
    <n v="29"/>
    <x v="4"/>
    <x v="1"/>
    <d v="2025-05-30T00:00:00"/>
    <d v="2024-03-26T00:00:00"/>
    <s v="Michelle Thomas"/>
    <x v="373"/>
    <s v="General"/>
    <x v="3"/>
    <s v="$481.22"/>
    <s v="USD"/>
    <n v="481.22"/>
    <n v="481.22"/>
    <s v="Yes"/>
    <x v="1"/>
    <n v="17"/>
    <n v="1"/>
    <x v="2"/>
  </r>
  <r>
    <n v="1024"/>
    <x v="376"/>
    <s v="Natalie Miller"/>
    <n v="55"/>
    <x v="1"/>
    <x v="0"/>
    <d v="2025-10-12T00:00:00"/>
    <d v="2024-10-28T00:00:00"/>
    <s v="Derrick Glass"/>
    <x v="374"/>
    <s v="General"/>
    <x v="3"/>
    <s v="‚Ç¨56.37"/>
    <s v="EUR"/>
    <n v="56.37"/>
    <n v="61.443300000000001"/>
    <s v="Y"/>
    <x v="1"/>
    <n v="12"/>
    <n v="1"/>
    <x v="1"/>
  </r>
  <r>
    <n v="1016"/>
    <x v="377"/>
    <s v="Kara Schneider"/>
    <n v="81"/>
    <x v="0"/>
    <x v="0"/>
    <d v="2025-07-21T00:00:00"/>
    <d v="2024-07-08T00:00:00"/>
    <s v="Ivan Russo"/>
    <x v="375"/>
    <s v="General"/>
    <x v="3"/>
    <s v="¬£456.26"/>
    <s v="GBP"/>
    <n v="456.26"/>
    <n v="579.4502"/>
    <n v="1"/>
    <x v="0"/>
    <n v="15"/>
    <n v="1"/>
    <x v="0"/>
  </r>
  <r>
    <n v="1022"/>
    <x v="378"/>
    <s v="Kevin Jackson"/>
    <n v="56"/>
    <x v="4"/>
    <x v="1"/>
    <d v="2025-06-16T00:00:00"/>
    <d v="2024-05-31T00:00:00"/>
    <s v="David Love"/>
    <x v="376"/>
    <s v="Cardiology"/>
    <x v="0"/>
    <s v="$157.36"/>
    <s v="USD"/>
    <n v="157.36000000000001"/>
    <n v="157.36000000000001"/>
    <s v="No"/>
    <x v="2"/>
    <n v="9"/>
    <n v="1"/>
    <x v="1"/>
  </r>
  <r>
    <n v="1088"/>
    <x v="379"/>
    <s v="Mary Werner"/>
    <n v="32"/>
    <x v="3"/>
    <x v="2"/>
    <d v="2025-07-22T00:00:00"/>
    <d v="2024-04-12T00:00:00"/>
    <s v="Bonnie Walker"/>
    <x v="377"/>
    <s v="Orthopedics"/>
    <x v="1"/>
    <s v="$69.13"/>
    <s v="USD"/>
    <n v="69.13"/>
    <n v="69.13"/>
    <s v="Yes"/>
    <x v="1"/>
    <n v="16"/>
    <n v="1"/>
    <x v="2"/>
  </r>
  <r>
    <n v="1016"/>
    <x v="380"/>
    <s v="Jennifer Barber"/>
    <n v="74"/>
    <x v="2"/>
    <x v="1"/>
    <d v="2025-12-06T00:00:00"/>
    <d v="2024-10-04T00:00:00"/>
    <s v="Christopher Smith"/>
    <x v="378"/>
    <s v="Neurology"/>
    <x v="2"/>
    <s v="‚Ç¨56.63"/>
    <s v="EUR"/>
    <n v="56.63"/>
    <n v="61.726700000000008"/>
    <s v="Y"/>
    <x v="1"/>
    <n v="15"/>
    <n v="1"/>
    <x v="0"/>
  </r>
  <r>
    <n v="1039"/>
    <x v="381"/>
    <s v="Emily Miller"/>
    <n v="55"/>
    <x v="4"/>
    <x v="1"/>
    <d v="2025-04-01T00:00:00"/>
    <d v="2024-09-13T00:00:00"/>
    <s v="Nicole Bates"/>
    <x v="379"/>
    <s v="Orthopedics"/>
    <x v="1"/>
    <s v="$432.84"/>
    <s v="USD"/>
    <n v="432.84"/>
    <n v="432.84"/>
    <s v="No"/>
    <x v="2"/>
    <n v="8"/>
    <n v="1"/>
    <x v="1"/>
  </r>
  <r>
    <n v="1075"/>
    <x v="382"/>
    <s v="Christine Lane"/>
    <n v="27"/>
    <x v="0"/>
    <x v="0"/>
    <d v="2025-04-07T00:00:00"/>
    <d v="2024-04-02T00:00:00"/>
    <s v="Kimberly Long"/>
    <x v="380"/>
    <s v="Orthopedics"/>
    <x v="1"/>
    <s v="¬£208.8"/>
    <s v="GBP"/>
    <n v="208.8"/>
    <n v="265.17600000000004"/>
    <s v="N"/>
    <x v="2"/>
    <n v="11"/>
    <n v="1"/>
    <x v="2"/>
  </r>
  <r>
    <n v="1013"/>
    <x v="383"/>
    <s v="Gabriela Pope"/>
    <n v="62"/>
    <x v="0"/>
    <x v="0"/>
    <d v="2026-01-02T00:00:00"/>
    <d v="2025-02-26T00:00:00"/>
    <s v="Melissa Brown"/>
    <x v="381"/>
    <s v="Neurology"/>
    <x v="2"/>
    <s v="$413.25"/>
    <s v="USD"/>
    <n v="413.25"/>
    <n v="413.25"/>
    <n v="1"/>
    <x v="0"/>
    <n v="10"/>
    <n v="1"/>
    <x v="1"/>
  </r>
  <r>
    <n v="1089"/>
    <x v="384"/>
    <s v="Alexa Landry"/>
    <n v="24"/>
    <x v="4"/>
    <x v="1"/>
    <d v="2025-09-16T00:00:00"/>
    <d v="2025-01-16T00:00:00"/>
    <s v="Larry Delgado"/>
    <x v="382"/>
    <s v="Orthopedics"/>
    <x v="1"/>
    <s v="$73.59"/>
    <s v="USD"/>
    <n v="73.59"/>
    <n v="73.59"/>
    <s v="Yes"/>
    <x v="1"/>
    <n v="16"/>
    <n v="1"/>
    <x v="2"/>
  </r>
  <r>
    <n v="1084"/>
    <x v="385"/>
    <s v="Erica Thompson"/>
    <n v="34"/>
    <x v="1"/>
    <x v="0"/>
    <d v="2025-12-07T00:00:00"/>
    <d v="2025-10-11T00:00:00"/>
    <s v="Jill Kelley"/>
    <x v="383"/>
    <s v="General"/>
    <x v="3"/>
    <s v="Rs466.72"/>
    <s v="INR"/>
    <n v="466.72"/>
    <n v="5.6006400000000003"/>
    <n v="0"/>
    <x v="0"/>
    <n v="15"/>
    <n v="1"/>
    <x v="2"/>
  </r>
  <r>
    <n v="1018"/>
    <x v="386"/>
    <s v="James Noble"/>
    <n v="68"/>
    <x v="3"/>
    <x v="2"/>
    <d v="2025-06-25T00:00:00"/>
    <d v="2025-06-05T00:00:00"/>
    <s v="Dylan George"/>
    <x v="384"/>
    <s v="Cardiology"/>
    <x v="0"/>
    <s v="‚Ç¨213.67"/>
    <s v="EUR"/>
    <n v="213.67"/>
    <n v="232.90030000000002"/>
    <s v="Y"/>
    <x v="1"/>
    <n v="14"/>
    <n v="1"/>
    <x v="0"/>
  </r>
  <r>
    <n v="1026"/>
    <x v="387"/>
    <s v="Sandra Russo"/>
    <n v="42"/>
    <x v="3"/>
    <x v="2"/>
    <d v="2026-01-25T00:00:00"/>
    <d v="2024-12-09T00:00:00"/>
    <s v="Michael Alexander"/>
    <x v="385"/>
    <s v="General"/>
    <x v="3"/>
    <s v="$156.9"/>
    <s v="USD"/>
    <n v="156.9"/>
    <n v="156.9"/>
    <s v="N"/>
    <x v="2"/>
    <n v="10"/>
    <n v="1"/>
    <x v="1"/>
  </r>
  <r>
    <n v="1001"/>
    <x v="388"/>
    <s v="Robert Hampton"/>
    <n v="90"/>
    <x v="2"/>
    <x v="1"/>
    <d v="2025-11-12T00:00:00"/>
    <d v="2025-09-04T00:00:00"/>
    <s v="Kevin Wilkinson"/>
    <x v="386"/>
    <s v="Neurology"/>
    <x v="2"/>
    <s v="¬£323.18"/>
    <s v="GBP"/>
    <n v="323.18"/>
    <n v="410.43860000000001"/>
    <s v="No"/>
    <x v="2"/>
    <n v="12"/>
    <n v="1"/>
    <x v="0"/>
  </r>
  <r>
    <n v="1004"/>
    <x v="389"/>
    <s v="Rachel Simmons"/>
    <n v="65"/>
    <x v="4"/>
    <x v="1"/>
    <d v="2025-08-12T00:00:00"/>
    <d v="2024-12-27T00:00:00"/>
    <s v="Robert Sanchez"/>
    <x v="387"/>
    <s v="Cardiology"/>
    <x v="0"/>
    <s v="$188.72"/>
    <s v="USD"/>
    <n v="188.72"/>
    <n v="188.72"/>
    <s v="Y"/>
    <x v="1"/>
    <n v="9"/>
    <n v="1"/>
    <x v="0"/>
  </r>
  <r>
    <n v="1013"/>
    <x v="390"/>
    <s v="Eduardo Martinez"/>
    <n v="89"/>
    <x v="4"/>
    <x v="1"/>
    <d v="2025-10-14T00:00:00"/>
    <d v="2024-09-16T00:00:00"/>
    <s v="Craig Kelly"/>
    <x v="388"/>
    <s v="Cardiology"/>
    <x v="0"/>
    <s v="¬£411.32"/>
    <s v="GBP"/>
    <n v="411.32"/>
    <n v="522.37639999999999"/>
    <n v="1"/>
    <x v="0"/>
    <n v="10"/>
    <n v="1"/>
    <x v="0"/>
  </r>
  <r>
    <n v="1009"/>
    <x v="391"/>
    <s v="Edward Taylor"/>
    <n v="67"/>
    <x v="0"/>
    <x v="0"/>
    <d v="2025-07-02T00:00:00"/>
    <d v="2024-06-04T00:00:00"/>
    <s v="Yvette Johnson"/>
    <x v="389"/>
    <s v="Orthopedics"/>
    <x v="1"/>
    <s v="‚Ç¨388.8"/>
    <s v="EUR"/>
    <n v="388.8"/>
    <n v="423.79200000000003"/>
    <n v="0"/>
    <x v="0"/>
    <n v="9"/>
    <n v="1"/>
    <x v="0"/>
  </r>
  <r>
    <n v="1021"/>
    <x v="392"/>
    <s v="Ashley Martinez"/>
    <n v="68"/>
    <x v="3"/>
    <x v="2"/>
    <d v="2025-05-07T00:00:00"/>
    <d v="2024-10-18T00:00:00"/>
    <s v="Spencer Torres"/>
    <x v="390"/>
    <s v="Orthopedics"/>
    <x v="1"/>
    <s v="$296.8"/>
    <s v="USD"/>
    <n v="296.8"/>
    <n v="296.8"/>
    <s v="N"/>
    <x v="2"/>
    <n v="16"/>
    <n v="1"/>
    <x v="0"/>
  </r>
  <r>
    <n v="1100"/>
    <x v="393"/>
    <s v="Megan Edwards"/>
    <n v="69"/>
    <x v="3"/>
    <x v="2"/>
    <d v="2025-10-08T00:00:00"/>
    <d v="2025-05-19T00:00:00"/>
    <s v="Eric Arellano"/>
    <x v="391"/>
    <s v="Neurology"/>
    <x v="2"/>
    <s v="‚Ç¨439.46"/>
    <s v="EUR"/>
    <n v="439.46"/>
    <n v="479.01140000000004"/>
    <s v="No"/>
    <x v="2"/>
    <n v="8"/>
    <n v="1"/>
    <x v="0"/>
  </r>
  <r>
    <n v="1005"/>
    <x v="394"/>
    <s v="Mr. Phillip Baxter"/>
    <n v="80"/>
    <x v="2"/>
    <x v="1"/>
    <d v="2025-07-24T00:00:00"/>
    <d v="2025-01-16T00:00:00"/>
    <s v="Tricia Hunt"/>
    <x v="392"/>
    <s v="General"/>
    <x v="3"/>
    <s v="$320.72"/>
    <s v="USD"/>
    <n v="320.72000000000003"/>
    <n v="320.72000000000003"/>
    <s v="N"/>
    <x v="2"/>
    <n v="13"/>
    <n v="1"/>
    <x v="0"/>
  </r>
  <r>
    <n v="1071"/>
    <x v="395"/>
    <s v="Diana Schroeder"/>
    <n v="73"/>
    <x v="3"/>
    <x v="2"/>
    <d v="2025-08-24T00:00:00"/>
    <d v="2025-07-04T00:00:00"/>
    <s v="Alexandra Lee"/>
    <x v="393"/>
    <s v="Neurology"/>
    <x v="2"/>
    <s v="$262.84"/>
    <s v="USD"/>
    <n v="262.83999999999997"/>
    <n v="262.83999999999997"/>
    <s v="No"/>
    <x v="2"/>
    <n v="10"/>
    <n v="1"/>
    <x v="0"/>
  </r>
  <r>
    <n v="1070"/>
    <x v="396"/>
    <s v="Katelyn Miller"/>
    <n v="78"/>
    <x v="2"/>
    <x v="1"/>
    <d v="2025-12-19T00:00:00"/>
    <d v="2024-11-25T00:00:00"/>
    <s v="Justin Chen"/>
    <x v="394"/>
    <s v="Cardiology"/>
    <x v="0"/>
    <s v="Rs274.94"/>
    <s v="INR"/>
    <n v="274.94"/>
    <n v="3.29928"/>
    <n v="0"/>
    <x v="0"/>
    <n v="13"/>
    <n v="1"/>
    <x v="0"/>
  </r>
  <r>
    <n v="1020"/>
    <x v="397"/>
    <s v="Brian Garrett"/>
    <n v="65"/>
    <x v="0"/>
    <x v="0"/>
    <d v="2026-01-24T00:00:00"/>
    <d v="2026-01-04T00:00:00"/>
    <s v="Tamara Williams"/>
    <x v="395"/>
    <s v="Cardiology"/>
    <x v="0"/>
    <s v="¬£182.77"/>
    <s v="GBP"/>
    <n v="182.77"/>
    <n v="232.11790000000002"/>
    <s v="No"/>
    <x v="2"/>
    <n v="10"/>
    <n v="1"/>
    <x v="0"/>
  </r>
  <r>
    <n v="1074"/>
    <x v="398"/>
    <s v="Aaron Clay"/>
    <n v="87"/>
    <x v="2"/>
    <x v="1"/>
    <d v="2025-10-31T00:00:00"/>
    <d v="2025-05-22T00:00:00"/>
    <s v="Timothy Barker"/>
    <x v="396"/>
    <s v="Cardiology"/>
    <x v="0"/>
    <s v="‚Ç¨312.88"/>
    <s v="EUR"/>
    <n v="312.88"/>
    <n v="341.03919999999999"/>
    <s v="Yes"/>
    <x v="1"/>
    <n v="17"/>
    <n v="1"/>
    <x v="0"/>
  </r>
  <r>
    <n v="1001"/>
    <x v="399"/>
    <s v="Brian Bolton"/>
    <n v="78"/>
    <x v="4"/>
    <x v="1"/>
    <d v="2025-08-18T00:00:00"/>
    <d v="2024-05-26T00:00:00"/>
    <s v="Natalie Patrick"/>
    <x v="397"/>
    <s v="Neurology"/>
    <x v="2"/>
    <s v="¬£163.58"/>
    <s v="GBP"/>
    <n v="163.58000000000001"/>
    <n v="207.74660000000003"/>
    <n v="0"/>
    <x v="0"/>
    <n v="12"/>
    <n v="1"/>
    <x v="0"/>
  </r>
  <r>
    <n v="1067"/>
    <x v="400"/>
    <s v="Karla Bush"/>
    <n v="66"/>
    <x v="3"/>
    <x v="2"/>
    <d v="2025-05-23T00:00:00"/>
    <d v="2024-08-14T00:00:00"/>
    <s v="Victor Hernandez"/>
    <x v="398"/>
    <s v="Cardiology"/>
    <x v="0"/>
    <s v="Rs135.85"/>
    <s v="INR"/>
    <n v="135.85"/>
    <n v="1.6301999999999999"/>
    <s v="Y"/>
    <x v="1"/>
    <n v="9"/>
    <n v="1"/>
    <x v="0"/>
  </r>
  <r>
    <n v="1074"/>
    <x v="401"/>
    <s v="Michelle Edwards"/>
    <n v="30"/>
    <x v="0"/>
    <x v="0"/>
    <d v="2025-12-03T00:00:00"/>
    <d v="2025-07-27T00:00:00"/>
    <s v="Charles Harvey"/>
    <x v="399"/>
    <s v="Orthopedics"/>
    <x v="1"/>
    <s v="¬£242.2"/>
    <s v="GBP"/>
    <n v="242.2"/>
    <n v="307.59399999999999"/>
    <s v="Yes"/>
    <x v="1"/>
    <n v="17"/>
    <n v="1"/>
    <x v="2"/>
  </r>
  <r>
    <n v="1053"/>
    <x v="402"/>
    <s v="Jack Sutton"/>
    <n v="76"/>
    <x v="0"/>
    <x v="0"/>
    <d v="2025-11-28T00:00:00"/>
    <d v="2025-04-20T00:00:00"/>
    <s v="Paul Giles"/>
    <x v="400"/>
    <s v="General"/>
    <x v="3"/>
    <s v="$374.72"/>
    <s v="USD"/>
    <n v="374.72"/>
    <n v="374.72"/>
    <s v="Yes"/>
    <x v="1"/>
    <n v="14"/>
    <n v="1"/>
    <x v="0"/>
  </r>
  <r>
    <n v="1020"/>
    <x v="403"/>
    <s v="Joseph Hart"/>
    <n v="69"/>
    <x v="0"/>
    <x v="0"/>
    <d v="2025-09-04T00:00:00"/>
    <d v="2025-02-16T00:00:00"/>
    <s v="Ralph Fernandez"/>
    <x v="401"/>
    <s v="General"/>
    <x v="3"/>
    <s v="‚Ç¨326.58"/>
    <s v="EUR"/>
    <n v="326.58"/>
    <n v="355.97219999999999"/>
    <s v="No"/>
    <x v="2"/>
    <n v="10"/>
    <n v="1"/>
    <x v="0"/>
  </r>
  <r>
    <n v="1013"/>
    <x v="404"/>
    <s v="Rachel Carlson"/>
    <n v="27"/>
    <x v="0"/>
    <x v="0"/>
    <d v="2026-01-05T00:00:00"/>
    <d v="2024-12-12T00:00:00"/>
    <s v="Paul Martinez"/>
    <x v="402"/>
    <s v="Neurology"/>
    <x v="2"/>
    <s v="$379.39"/>
    <s v="USD"/>
    <n v="379.39"/>
    <n v="379.39"/>
    <s v="Y"/>
    <x v="1"/>
    <n v="10"/>
    <n v="1"/>
    <x v="2"/>
  </r>
  <r>
    <n v="1027"/>
    <x v="405"/>
    <s v="Miss Stacey Weaver"/>
    <n v="75"/>
    <x v="4"/>
    <x v="1"/>
    <d v="2025-04-14T00:00:00"/>
    <d v="2024-06-20T00:00:00"/>
    <s v="Rachel Wilson"/>
    <x v="403"/>
    <s v="Orthopedics"/>
    <x v="1"/>
    <s v="Rs442.41"/>
    <s v="INR"/>
    <n v="442.41"/>
    <n v="5.3089200000000005"/>
    <n v="0"/>
    <x v="0"/>
    <n v="12"/>
    <n v="1"/>
    <x v="0"/>
  </r>
  <r>
    <n v="1070"/>
    <x v="406"/>
    <s v="Steven Giles"/>
    <n v="58"/>
    <x v="1"/>
    <x v="0"/>
    <d v="2025-12-01T00:00:00"/>
    <d v="2024-12-29T00:00:00"/>
    <s v="Kevin Vaughan"/>
    <x v="404"/>
    <s v="General"/>
    <x v="3"/>
    <s v="‚Ç¨358.98"/>
    <s v="EUR"/>
    <n v="358.98"/>
    <n v="391.28820000000007"/>
    <n v="0"/>
    <x v="0"/>
    <n v="13"/>
    <n v="1"/>
    <x v="1"/>
  </r>
  <r>
    <n v="1050"/>
    <x v="407"/>
    <s v="Trevor Taylor"/>
    <n v="61"/>
    <x v="0"/>
    <x v="0"/>
    <d v="2025-06-19T00:00:00"/>
    <d v="2024-09-01T00:00:00"/>
    <s v="William Schneider"/>
    <x v="405"/>
    <s v="Neurology"/>
    <x v="2"/>
    <s v="¬£235.74"/>
    <s v="GBP"/>
    <n v="235.74"/>
    <n v="299.38980000000004"/>
    <n v="0"/>
    <x v="0"/>
    <n v="12"/>
    <n v="1"/>
    <x v="1"/>
  </r>
  <r>
    <n v="1010"/>
    <x v="408"/>
    <s v="Erica Robbins"/>
    <n v="68"/>
    <x v="0"/>
    <x v="0"/>
    <d v="2025-07-04T00:00:00"/>
    <d v="2024-10-31T00:00:00"/>
    <s v="Matthew Carlson"/>
    <x v="406"/>
    <s v="General"/>
    <x v="3"/>
    <s v="$400.6"/>
    <s v="USD"/>
    <n v="400.6"/>
    <n v="400.6"/>
    <n v="1"/>
    <x v="0"/>
    <n v="10"/>
    <n v="1"/>
    <x v="0"/>
  </r>
  <r>
    <n v="1017"/>
    <x v="409"/>
    <s v="Alexander Rios"/>
    <n v="43"/>
    <x v="3"/>
    <x v="2"/>
    <d v="2025-05-18T00:00:00"/>
    <d v="2024-07-22T00:00:00"/>
    <s v="Bryan Parker"/>
    <x v="407"/>
    <s v="Orthopedics"/>
    <x v="1"/>
    <s v="‚Ç¨305.19"/>
    <s v="EUR"/>
    <n v="305.19"/>
    <n v="332.65710000000001"/>
    <s v="No"/>
    <x v="2"/>
    <n v="8"/>
    <n v="1"/>
    <x v="1"/>
  </r>
  <r>
    <n v="1085"/>
    <x v="410"/>
    <s v="Jennifer Reese"/>
    <n v="62"/>
    <x v="3"/>
    <x v="2"/>
    <d v="2025-11-07T00:00:00"/>
    <d v="2024-08-11T00:00:00"/>
    <s v="James Aguilar"/>
    <x v="408"/>
    <s v="Cardiology"/>
    <x v="0"/>
    <s v="¬£357.15"/>
    <s v="GBP"/>
    <n v="357.15"/>
    <n v="453.58049999999997"/>
    <s v="N"/>
    <x v="2"/>
    <n v="12"/>
    <n v="1"/>
    <x v="1"/>
  </r>
  <r>
    <n v="1023"/>
    <x v="411"/>
    <s v="Daniel Valenzuela"/>
    <n v="45"/>
    <x v="4"/>
    <x v="1"/>
    <d v="2025-06-21T00:00:00"/>
    <d v="2025-03-13T00:00:00"/>
    <s v="Karen Brewer"/>
    <x v="409"/>
    <s v="Cardiology"/>
    <x v="0"/>
    <s v="$245.21"/>
    <s v="USD"/>
    <n v="245.21"/>
    <n v="245.21"/>
    <s v="Yes"/>
    <x v="1"/>
    <n v="4"/>
    <n v="1"/>
    <x v="1"/>
  </r>
  <r>
    <n v="1066"/>
    <x v="412"/>
    <s v="Alexander Jones"/>
    <n v="85"/>
    <x v="0"/>
    <x v="0"/>
    <d v="2025-12-09T00:00:00"/>
    <d v="2025-01-30T00:00:00"/>
    <s v="Mary Ward"/>
    <x v="410"/>
    <s v="General"/>
    <x v="3"/>
    <s v="Rs498.26"/>
    <s v="INR"/>
    <n v="498.26"/>
    <n v="5.97912"/>
    <s v="Y"/>
    <x v="1"/>
    <n v="11"/>
    <n v="1"/>
    <x v="0"/>
  </r>
  <r>
    <n v="1038"/>
    <x v="413"/>
    <s v="Robert Myers DDS"/>
    <n v="72"/>
    <x v="0"/>
    <x v="0"/>
    <d v="2025-08-27T00:00:00"/>
    <d v="2024-12-07T00:00:00"/>
    <s v="Luis Smith"/>
    <x v="411"/>
    <s v="Neurology"/>
    <x v="2"/>
    <s v="Rs499.72"/>
    <s v="INR"/>
    <n v="499.72"/>
    <n v="5.9966400000000002"/>
    <s v="Yes"/>
    <x v="1"/>
    <n v="10"/>
    <n v="1"/>
    <x v="0"/>
  </r>
  <r>
    <n v="1048"/>
    <x v="414"/>
    <s v="Jennifer Sims"/>
    <n v="63"/>
    <x v="0"/>
    <x v="0"/>
    <d v="2025-10-15T00:00:00"/>
    <d v="2025-02-02T00:00:00"/>
    <s v="Janet Coffey"/>
    <x v="412"/>
    <s v="Cardiology"/>
    <x v="0"/>
    <s v="‚Ç¨315.71"/>
    <s v="EUR"/>
    <n v="315.70999999999998"/>
    <n v="344.12389999999999"/>
    <s v="Y"/>
    <x v="1"/>
    <n v="8"/>
    <n v="1"/>
    <x v="1"/>
  </r>
  <r>
    <n v="1082"/>
    <x v="415"/>
    <s v="Jenna Williams"/>
    <n v="67"/>
    <x v="3"/>
    <x v="2"/>
    <d v="2025-07-19T00:00:00"/>
    <d v="2024-12-04T00:00:00"/>
    <s v="Ryan Mitchell"/>
    <x v="413"/>
    <s v="General"/>
    <x v="3"/>
    <s v="$149.33"/>
    <s v="USD"/>
    <n v="149.33000000000001"/>
    <n v="149.33000000000001"/>
    <s v="Yes"/>
    <x v="1"/>
    <n v="14"/>
    <n v="1"/>
    <x v="0"/>
  </r>
  <r>
    <n v="1085"/>
    <x v="416"/>
    <s v="Jamie Nixon"/>
    <n v="69"/>
    <x v="3"/>
    <x v="2"/>
    <d v="2026-03-16T00:00:00"/>
    <d v="2024-06-19T00:00:00"/>
    <s v="Scott Allen"/>
    <x v="414"/>
    <s v="General"/>
    <x v="3"/>
    <s v="$412.82"/>
    <s v="USD"/>
    <n v="412.82"/>
    <n v="412.82"/>
    <s v="N"/>
    <x v="2"/>
    <n v="12"/>
    <n v="1"/>
    <x v="0"/>
  </r>
  <r>
    <n v="1046"/>
    <x v="417"/>
    <s v="Maria Harris"/>
    <n v="24"/>
    <x v="1"/>
    <x v="0"/>
    <d v="2025-07-19T00:00:00"/>
    <d v="2024-08-29T00:00:00"/>
    <s v="Henry Hall"/>
    <x v="415"/>
    <s v="Orthopedics"/>
    <x v="1"/>
    <s v="¬£372.5"/>
    <s v="GBP"/>
    <n v="372.5"/>
    <n v="473.07499999999999"/>
    <n v="0"/>
    <x v="0"/>
    <n v="8"/>
    <n v="1"/>
    <x v="2"/>
  </r>
  <r>
    <n v="1093"/>
    <x v="418"/>
    <s v="Angela Davis"/>
    <n v="87"/>
    <x v="1"/>
    <x v="0"/>
    <d v="2026-01-22T00:00:00"/>
    <d v="2024-11-03T00:00:00"/>
    <s v="Danielle Meyer"/>
    <x v="416"/>
    <s v="Orthopedics"/>
    <x v="1"/>
    <s v="¬£60.76"/>
    <s v="GBP"/>
    <n v="60.76"/>
    <n v="77.165199999999999"/>
    <n v="0"/>
    <x v="0"/>
    <n v="11"/>
    <n v="1"/>
    <x v="0"/>
  </r>
  <r>
    <n v="1072"/>
    <x v="419"/>
    <s v="Alex Burns"/>
    <n v="68"/>
    <x v="3"/>
    <x v="2"/>
    <d v="2026-01-10T00:00:00"/>
    <d v="2025-09-11T00:00:00"/>
    <s v="Raymond Bond"/>
    <x v="417"/>
    <s v="Cardiology"/>
    <x v="0"/>
    <s v="‚Ç¨290.52"/>
    <s v="EUR"/>
    <n v="290.52"/>
    <n v="316.66680000000002"/>
    <s v="N"/>
    <x v="2"/>
    <n v="9"/>
    <n v="1"/>
    <x v="0"/>
  </r>
  <r>
    <n v="1089"/>
    <x v="420"/>
    <s v="Thomas Banks"/>
    <n v="80"/>
    <x v="3"/>
    <x v="2"/>
    <d v="2025-12-09T00:00:00"/>
    <d v="2025-10-21T00:00:00"/>
    <s v="George Stevens"/>
    <x v="418"/>
    <s v="Cardiology"/>
    <x v="0"/>
    <s v="Rs451.66"/>
    <s v="INR"/>
    <n v="451.66"/>
    <n v="5.4199200000000003"/>
    <n v="0"/>
    <x v="0"/>
    <n v="16"/>
    <n v="1"/>
    <x v="0"/>
  </r>
  <r>
    <n v="1007"/>
    <x v="421"/>
    <s v="Courtney Everett"/>
    <n v="39"/>
    <x v="0"/>
    <x v="0"/>
    <d v="2026-01-09T00:00:00"/>
    <d v="2024-08-09T00:00:00"/>
    <s v="Ryan Chavez"/>
    <x v="419"/>
    <s v="Cardiology"/>
    <x v="0"/>
    <s v="¬£260.91"/>
    <s v="GBP"/>
    <n v="260.91000000000003"/>
    <n v="331.35570000000001"/>
    <n v="0"/>
    <x v="0"/>
    <n v="3"/>
    <n v="1"/>
    <x v="2"/>
  </r>
  <r>
    <n v="1030"/>
    <x v="422"/>
    <s v="Lori Montgomery"/>
    <n v="18"/>
    <x v="2"/>
    <x v="1"/>
    <d v="2026-02-26T00:00:00"/>
    <d v="2025-09-07T00:00:00"/>
    <s v="Christy Fisher"/>
    <x v="420"/>
    <s v="Orthopedics"/>
    <x v="1"/>
    <s v="$117.12"/>
    <s v="USD"/>
    <n v="117.12"/>
    <n v="117.12"/>
    <n v="1"/>
    <x v="0"/>
    <n v="11"/>
    <n v="1"/>
    <x v="2"/>
  </r>
  <r>
    <n v="1088"/>
    <x v="423"/>
    <s v="Sarah Fuller"/>
    <n v="80"/>
    <x v="2"/>
    <x v="1"/>
    <d v="2026-03-06T00:00:00"/>
    <d v="2025-06-18T00:00:00"/>
    <s v="Cody Ortega"/>
    <x v="421"/>
    <s v="Cardiology"/>
    <x v="0"/>
    <s v="Rs460.11"/>
    <s v="INR"/>
    <n v="460.11"/>
    <n v="5.5213200000000002"/>
    <s v="Y"/>
    <x v="1"/>
    <n v="16"/>
    <n v="1"/>
    <x v="0"/>
  </r>
  <r>
    <n v="1077"/>
    <x v="424"/>
    <s v="Julia Mckenzie"/>
    <n v="30"/>
    <x v="4"/>
    <x v="1"/>
    <d v="2025-08-13T00:00:00"/>
    <d v="2025-02-10T00:00:00"/>
    <s v="Sarah Scott"/>
    <x v="422"/>
    <s v="Cardiology"/>
    <x v="0"/>
    <s v="‚Ç¨91.94"/>
    <s v="EUR"/>
    <n v="91.94"/>
    <n v="100.2146"/>
    <n v="1"/>
    <x v="0"/>
    <n v="10"/>
    <n v="1"/>
    <x v="2"/>
  </r>
  <r>
    <n v="1019"/>
    <x v="425"/>
    <s v="Eric Kim"/>
    <n v="33"/>
    <x v="0"/>
    <x v="0"/>
    <d v="2025-06-13T00:00:00"/>
    <d v="2024-06-09T00:00:00"/>
    <s v="Arthur Harris"/>
    <x v="423"/>
    <s v="General"/>
    <x v="3"/>
    <m/>
    <s v="N/A"/>
    <s v=""/>
    <s v="N/A"/>
    <s v="No"/>
    <x v="2"/>
    <n v="6"/>
    <n v="1"/>
    <x v="2"/>
  </r>
  <r>
    <n v="1065"/>
    <x v="426"/>
    <s v="Anne Jacobs"/>
    <n v="31"/>
    <x v="3"/>
    <x v="2"/>
    <d v="2026-03-04T00:00:00"/>
    <d v="2026-01-28T00:00:00"/>
    <s v="Lauren Clark"/>
    <x v="424"/>
    <s v="Orthopedics"/>
    <x v="1"/>
    <s v="¬£347.38"/>
    <s v="GBP"/>
    <n v="347.38"/>
    <n v="441.17259999999999"/>
    <s v="Y"/>
    <x v="1"/>
    <n v="9"/>
    <n v="1"/>
    <x v="2"/>
  </r>
  <r>
    <n v="1081"/>
    <x v="427"/>
    <s v="Brandy Navarro"/>
    <n v="27"/>
    <x v="3"/>
    <x v="2"/>
    <d v="2025-07-16T00:00:00"/>
    <d v="2025-06-13T00:00:00"/>
    <s v="Matthew Nichols"/>
    <x v="425"/>
    <s v="Orthopedics"/>
    <x v="1"/>
    <s v="Rs288.43"/>
    <s v="INR"/>
    <n v="288.43"/>
    <n v="3.46116"/>
    <s v="Yes"/>
    <x v="1"/>
    <n v="9"/>
    <n v="1"/>
    <x v="2"/>
  </r>
  <r>
    <n v="1058"/>
    <x v="428"/>
    <s v="Jennifer Lowery"/>
    <n v="21"/>
    <x v="3"/>
    <x v="2"/>
    <d v="2025-09-16T00:00:00"/>
    <d v="2025-03-23T00:00:00"/>
    <s v="Tracy Johnson"/>
    <x v="426"/>
    <s v="Cardiology"/>
    <x v="0"/>
    <s v="‚Ç¨222.2"/>
    <s v="EUR"/>
    <n v="222.2"/>
    <n v="242.19800000000001"/>
    <n v="0"/>
    <x v="0"/>
    <n v="17"/>
    <n v="1"/>
    <x v="2"/>
  </r>
  <r>
    <n v="1034"/>
    <x v="429"/>
    <s v="Thomas Nash"/>
    <n v="75"/>
    <x v="1"/>
    <x v="0"/>
    <d v="2025-06-05T00:00:00"/>
    <d v="2025-01-20T00:00:00"/>
    <s v="Justin Flores"/>
    <x v="427"/>
    <s v="Cardiology"/>
    <x v="0"/>
    <s v="Rs180.6"/>
    <s v="INR"/>
    <n v="180.6"/>
    <n v="2.1671999999999998"/>
    <n v="1"/>
    <x v="0"/>
    <n v="8"/>
    <n v="1"/>
    <x v="0"/>
  </r>
  <r>
    <n v="1068"/>
    <x v="430"/>
    <s v="Yolanda Thomas"/>
    <n v="61"/>
    <x v="0"/>
    <x v="0"/>
    <d v="2025-12-15T00:00:00"/>
    <d v="2024-07-10T00:00:00"/>
    <s v="Keith Lee"/>
    <x v="428"/>
    <s v="Neurology"/>
    <x v="2"/>
    <m/>
    <s v="N/A"/>
    <s v=""/>
    <s v="N/A"/>
    <n v="1"/>
    <x v="0"/>
    <n v="14"/>
    <n v="1"/>
    <x v="1"/>
  </r>
  <r>
    <n v="1030"/>
    <x v="431"/>
    <s v="Victor Simmons"/>
    <n v="80"/>
    <x v="4"/>
    <x v="1"/>
    <d v="2026-02-10T00:00:00"/>
    <d v="2025-01-17T00:00:00"/>
    <s v="Christopher Nelson"/>
    <x v="429"/>
    <s v="Cardiology"/>
    <x v="0"/>
    <s v="‚Ç¨485.31"/>
    <s v="EUR"/>
    <n v="485.31"/>
    <n v="528.98790000000008"/>
    <s v="N"/>
    <x v="2"/>
    <n v="11"/>
    <n v="1"/>
    <x v="0"/>
  </r>
  <r>
    <n v="1013"/>
    <x v="432"/>
    <s v="Edward Holland"/>
    <n v="86"/>
    <x v="4"/>
    <x v="1"/>
    <d v="2025-09-07T00:00:00"/>
    <d v="2025-01-11T00:00:00"/>
    <s v="Joe Rodriguez"/>
    <x v="430"/>
    <s v="Neurology"/>
    <x v="2"/>
    <s v="¬£255.9"/>
    <s v="GBP"/>
    <n v="255.9"/>
    <n v="324.99299999999999"/>
    <n v="0"/>
    <x v="0"/>
    <n v="10"/>
    <n v="1"/>
    <x v="0"/>
  </r>
  <r>
    <n v="1092"/>
    <x v="433"/>
    <s v="Mary Foster"/>
    <n v="42"/>
    <x v="2"/>
    <x v="1"/>
    <d v="2025-04-20T00:00:00"/>
    <d v="2024-10-09T00:00:00"/>
    <s v="Terry Welch"/>
    <x v="431"/>
    <s v="Cardiology"/>
    <x v="0"/>
    <s v="‚Ç¨443.13"/>
    <s v="EUR"/>
    <n v="443.13"/>
    <n v="483.01170000000002"/>
    <n v="1"/>
    <x v="0"/>
    <n v="11"/>
    <n v="1"/>
    <x v="1"/>
  </r>
  <r>
    <n v="1027"/>
    <x v="434"/>
    <s v="Michael Sullivan"/>
    <n v="63"/>
    <x v="2"/>
    <x v="1"/>
    <d v="2025-07-09T00:00:00"/>
    <d v="2024-07-31T00:00:00"/>
    <s v="Angela Thomas"/>
    <x v="432"/>
    <s v="Orthopedics"/>
    <x v="1"/>
    <s v="Rs318.88"/>
    <s v="INR"/>
    <n v="318.88"/>
    <n v="3.8265600000000002"/>
    <s v="Y"/>
    <x v="1"/>
    <n v="12"/>
    <n v="1"/>
    <x v="1"/>
  </r>
  <r>
    <n v="1067"/>
    <x v="435"/>
    <s v="Thomas Smith"/>
    <n v="54"/>
    <x v="0"/>
    <x v="0"/>
    <d v="2025-09-11T00:00:00"/>
    <d v="2025-09-05T00:00:00"/>
    <s v="Brandon Garcia"/>
    <x v="433"/>
    <s v="Cardiology"/>
    <x v="0"/>
    <s v="$108.91"/>
    <s v="USD"/>
    <n v="108.91"/>
    <n v="108.91"/>
    <n v="0"/>
    <x v="0"/>
    <n v="9"/>
    <n v="1"/>
    <x v="1"/>
  </r>
  <r>
    <n v="1059"/>
    <x v="436"/>
    <s v="Melissa Ramirez"/>
    <n v="34"/>
    <x v="4"/>
    <x v="1"/>
    <d v="2025-09-10T00:00:00"/>
    <d v="2024-10-30T00:00:00"/>
    <s v="Amber Clayton"/>
    <x v="434"/>
    <s v="Neurology"/>
    <x v="2"/>
    <s v="¬£167.18"/>
    <s v="GBP"/>
    <n v="167.18"/>
    <n v="212.3186"/>
    <s v="Yes"/>
    <x v="1"/>
    <n v="13"/>
    <n v="1"/>
    <x v="2"/>
  </r>
  <r>
    <n v="1040"/>
    <x v="437"/>
    <s v="Rachel Baker"/>
    <n v="22"/>
    <x v="0"/>
    <x v="0"/>
    <d v="2025-12-15T00:00:00"/>
    <d v="2024-05-18T00:00:00"/>
    <s v="Maria Gentry"/>
    <x v="435"/>
    <s v="Orthopedics"/>
    <x v="1"/>
    <s v="¬£444.67"/>
    <s v="GBP"/>
    <n v="444.67"/>
    <n v="564.73090000000002"/>
    <s v="N"/>
    <x v="2"/>
    <n v="13"/>
    <n v="1"/>
    <x v="2"/>
  </r>
  <r>
    <n v="1058"/>
    <x v="438"/>
    <s v="Penny West"/>
    <n v="84"/>
    <x v="0"/>
    <x v="0"/>
    <d v="2025-10-24T00:00:00"/>
    <d v="2025-03-27T00:00:00"/>
    <s v="Heather Ortiz"/>
    <x v="436"/>
    <s v="Neurology"/>
    <x v="2"/>
    <s v="$396.57"/>
    <s v="USD"/>
    <n v="396.57"/>
    <n v="396.57"/>
    <s v="Yes"/>
    <x v="1"/>
    <n v="17"/>
    <n v="1"/>
    <x v="0"/>
  </r>
  <r>
    <n v="1080"/>
    <x v="439"/>
    <s v="Michelle Mcclain"/>
    <n v="45"/>
    <x v="0"/>
    <x v="0"/>
    <d v="2025-11-11T00:00:00"/>
    <d v="2025-06-10T00:00:00"/>
    <s v="Mrs. Amy Miller"/>
    <x v="437"/>
    <s v="Cardiology"/>
    <x v="0"/>
    <s v="Rs185.29"/>
    <s v="INR"/>
    <n v="185.29"/>
    <n v="2.2234799999999999"/>
    <n v="0"/>
    <x v="0"/>
    <n v="11"/>
    <n v="1"/>
    <x v="1"/>
  </r>
  <r>
    <n v="1026"/>
    <x v="440"/>
    <s v="Jennifer Davis"/>
    <n v="47"/>
    <x v="0"/>
    <x v="0"/>
    <d v="2026-02-17T00:00:00"/>
    <d v="2024-05-09T00:00:00"/>
    <s v="Michael Bryant"/>
    <x v="438"/>
    <s v="Cardiology"/>
    <x v="0"/>
    <s v="$215.89"/>
    <s v="USD"/>
    <n v="215.89"/>
    <n v="215.89"/>
    <s v="No"/>
    <x v="2"/>
    <n v="10"/>
    <n v="1"/>
    <x v="1"/>
  </r>
  <r>
    <n v="1058"/>
    <x v="441"/>
    <s v="Kimberly Lee"/>
    <n v="88"/>
    <x v="3"/>
    <x v="2"/>
    <d v="2025-10-19T00:00:00"/>
    <d v="2024-11-16T00:00:00"/>
    <s v="Vanessa Ramirez"/>
    <x v="439"/>
    <s v="Neurology"/>
    <x v="2"/>
    <s v="¬£438.81"/>
    <s v="GBP"/>
    <n v="438.81"/>
    <n v="557.28870000000006"/>
    <s v="N"/>
    <x v="2"/>
    <n v="17"/>
    <n v="1"/>
    <x v="0"/>
  </r>
  <r>
    <n v="1065"/>
    <x v="442"/>
    <s v="Paul Perez"/>
    <n v="28"/>
    <x v="4"/>
    <x v="1"/>
    <d v="2025-08-24T00:00:00"/>
    <d v="2025-07-29T00:00:00"/>
    <s v="Nancy Young"/>
    <x v="440"/>
    <s v="Neurology"/>
    <x v="2"/>
    <s v="‚Ç¨231.7"/>
    <s v="EUR"/>
    <n v="231.7"/>
    <n v="252.553"/>
    <n v="1"/>
    <x v="0"/>
    <n v="9"/>
    <n v="1"/>
    <x v="2"/>
  </r>
  <r>
    <n v="1016"/>
    <x v="443"/>
    <s v="Tyler Smith"/>
    <n v="42"/>
    <x v="3"/>
    <x v="2"/>
    <d v="2025-11-05T00:00:00"/>
    <d v="2024-08-03T00:00:00"/>
    <s v="Melinda Smith"/>
    <x v="441"/>
    <s v="General"/>
    <x v="3"/>
    <m/>
    <s v="N/A"/>
    <s v=""/>
    <s v="N/A"/>
    <s v="Y"/>
    <x v="1"/>
    <n v="15"/>
    <n v="1"/>
    <x v="1"/>
  </r>
  <r>
    <n v="1064"/>
    <x v="444"/>
    <s v="Anthony Boyd"/>
    <n v="27"/>
    <x v="0"/>
    <x v="0"/>
    <d v="2026-02-20T00:00:00"/>
    <d v="2025-07-06T00:00:00"/>
    <s v="Bradley Gibson"/>
    <x v="442"/>
    <s v="General"/>
    <x v="3"/>
    <s v="¬£173.85"/>
    <s v="GBP"/>
    <n v="173.85"/>
    <n v="220.7895"/>
    <s v="Yes"/>
    <x v="1"/>
    <n v="5"/>
    <n v="1"/>
    <x v="2"/>
  </r>
  <r>
    <n v="1036"/>
    <x v="445"/>
    <s v="Henry Snyder"/>
    <n v="59"/>
    <x v="3"/>
    <x v="2"/>
    <d v="2025-10-16T00:00:00"/>
    <d v="2024-04-29T00:00:00"/>
    <s v="Theresa Simon"/>
    <x v="443"/>
    <s v="Cardiology"/>
    <x v="0"/>
    <s v="$285.44"/>
    <s v="USD"/>
    <n v="285.44"/>
    <n v="285.44"/>
    <s v="Yes"/>
    <x v="1"/>
    <n v="14"/>
    <n v="1"/>
    <x v="1"/>
  </r>
  <r>
    <n v="1017"/>
    <x v="446"/>
    <s v="Sabrina Wade"/>
    <n v="34"/>
    <x v="0"/>
    <x v="0"/>
    <d v="2025-07-20T00:00:00"/>
    <d v="2025-05-14T00:00:00"/>
    <s v="Randy Vargas"/>
    <x v="444"/>
    <s v="General"/>
    <x v="3"/>
    <s v="Rs202.92"/>
    <s v="INR"/>
    <n v="202.92"/>
    <n v="2.4350399999999999"/>
    <s v="N"/>
    <x v="2"/>
    <n v="8"/>
    <n v="1"/>
    <x v="2"/>
  </r>
  <r>
    <n v="1005"/>
    <x v="447"/>
    <s v="Cody Scott"/>
    <n v="69"/>
    <x v="4"/>
    <x v="1"/>
    <d v="2025-10-06T00:00:00"/>
    <d v="2024-11-29T00:00:00"/>
    <s v="Larry Cohen"/>
    <x v="445"/>
    <s v="Neurology"/>
    <x v="2"/>
    <s v="‚Ç¨383.47"/>
    <s v="EUR"/>
    <n v="383.47"/>
    <n v="417.98230000000007"/>
    <s v="Yes"/>
    <x v="1"/>
    <n v="13"/>
    <n v="1"/>
    <x v="0"/>
  </r>
  <r>
    <n v="1086"/>
    <x v="448"/>
    <s v="David Mcdonald"/>
    <n v="84"/>
    <x v="3"/>
    <x v="2"/>
    <d v="2025-12-24T00:00:00"/>
    <d v="2024-08-30T00:00:00"/>
    <s v="Donald Garcia"/>
    <x v="446"/>
    <s v="General"/>
    <x v="3"/>
    <s v="¬£302.66"/>
    <s v="GBP"/>
    <n v="302.66000000000003"/>
    <n v="384.37820000000005"/>
    <s v="Y"/>
    <x v="1"/>
    <n v="9"/>
    <n v="1"/>
    <x v="0"/>
  </r>
  <r>
    <n v="1095"/>
    <x v="449"/>
    <s v="Sherri Guzman"/>
    <n v="37"/>
    <x v="3"/>
    <x v="2"/>
    <d v="2025-09-14T00:00:00"/>
    <d v="2024-05-20T00:00:00"/>
    <s v="Carlos Morton"/>
    <x v="447"/>
    <s v="Orthopedics"/>
    <x v="1"/>
    <s v="¬£472.57"/>
    <s v="GBP"/>
    <n v="472.57"/>
    <n v="600.16390000000001"/>
    <s v="Yes"/>
    <x v="1"/>
    <n v="12"/>
    <n v="1"/>
    <x v="2"/>
  </r>
  <r>
    <n v="1030"/>
    <x v="450"/>
    <s v="Mr. Brian Anderson"/>
    <n v="25"/>
    <x v="1"/>
    <x v="0"/>
    <d v="2025-04-24T00:00:00"/>
    <d v="2024-04-14T00:00:00"/>
    <s v="Adrienne Roberts"/>
    <x v="448"/>
    <s v="Orthopedics"/>
    <x v="1"/>
    <s v="‚Ç¨417.21"/>
    <s v="EUR"/>
    <n v="417.21"/>
    <n v="454.75889999999998"/>
    <s v="No"/>
    <x v="2"/>
    <n v="11"/>
    <n v="1"/>
    <x v="2"/>
  </r>
  <r>
    <n v="1059"/>
    <x v="451"/>
    <s v="Kayla Mccormick"/>
    <n v="84"/>
    <x v="0"/>
    <x v="0"/>
    <d v="2026-03-16T00:00:00"/>
    <d v="2024-12-04T00:00:00"/>
    <s v="Robert Burton"/>
    <x v="449"/>
    <s v="Neurology"/>
    <x v="2"/>
    <s v="$244.68"/>
    <s v="USD"/>
    <n v="244.68"/>
    <n v="244.68"/>
    <s v="Yes"/>
    <x v="1"/>
    <n v="13"/>
    <n v="1"/>
    <x v="0"/>
  </r>
  <r>
    <n v="1012"/>
    <x v="452"/>
    <s v="Mark Reeves"/>
    <n v="30"/>
    <x v="3"/>
    <x v="2"/>
    <d v="2026-01-08T00:00:00"/>
    <d v="2025-08-19T00:00:00"/>
    <s v="Mark Hill"/>
    <x v="450"/>
    <s v="Cardiology"/>
    <x v="0"/>
    <s v="$70.7"/>
    <s v="USD"/>
    <n v="70.7"/>
    <n v="70.7"/>
    <s v="Y"/>
    <x v="1"/>
    <n v="9"/>
    <n v="1"/>
    <x v="2"/>
  </r>
  <r>
    <n v="1074"/>
    <x v="453"/>
    <s v="Debra Short"/>
    <n v="64"/>
    <x v="4"/>
    <x v="1"/>
    <d v="2025-06-24T00:00:00"/>
    <d v="2024-10-06T00:00:00"/>
    <s v="Karla Baker"/>
    <x v="451"/>
    <s v="General"/>
    <x v="3"/>
    <s v="‚Ç¨386.37"/>
    <s v="EUR"/>
    <n v="386.37"/>
    <n v="421.14330000000001"/>
    <s v="No"/>
    <x v="2"/>
    <n v="17"/>
    <n v="1"/>
    <x v="1"/>
  </r>
  <r>
    <n v="1082"/>
    <x v="454"/>
    <s v="Melissa Richmond"/>
    <n v="33"/>
    <x v="4"/>
    <x v="1"/>
    <d v="2025-06-11T00:00:00"/>
    <d v="2025-02-19T00:00:00"/>
    <s v="Jasmin Holmes"/>
    <x v="452"/>
    <s v="Neurology"/>
    <x v="2"/>
    <s v="$387.75"/>
    <s v="USD"/>
    <n v="387.75"/>
    <n v="387.75"/>
    <s v="Yes"/>
    <x v="1"/>
    <n v="14"/>
    <n v="1"/>
    <x v="2"/>
  </r>
  <r>
    <n v="1009"/>
    <x v="455"/>
    <s v="Linda Murphy"/>
    <n v="63"/>
    <x v="4"/>
    <x v="1"/>
    <d v="2026-02-17T00:00:00"/>
    <d v="2026-01-11T00:00:00"/>
    <s v="Margaret Montoya"/>
    <x v="453"/>
    <s v="Cardiology"/>
    <x v="0"/>
    <s v="Rs176.68"/>
    <s v="INR"/>
    <n v="176.68"/>
    <n v="2.1201600000000003"/>
    <s v="N"/>
    <x v="2"/>
    <n v="9"/>
    <n v="1"/>
    <x v="1"/>
  </r>
  <r>
    <n v="1091"/>
    <x v="456"/>
    <s v="Michael Gonzales"/>
    <n v="86"/>
    <x v="4"/>
    <x v="1"/>
    <d v="2025-12-23T00:00:00"/>
    <d v="2024-11-24T00:00:00"/>
    <s v="Richard Torres"/>
    <x v="454"/>
    <s v="General"/>
    <x v="3"/>
    <s v="Rs491.64"/>
    <s v="INR"/>
    <n v="491.64"/>
    <n v="5.89968"/>
    <n v="0"/>
    <x v="0"/>
    <n v="9"/>
    <n v="1"/>
    <x v="0"/>
  </r>
  <r>
    <n v="1038"/>
    <x v="457"/>
    <s v="Samantha Garner"/>
    <n v="54"/>
    <x v="3"/>
    <x v="2"/>
    <d v="2025-06-16T00:00:00"/>
    <d v="2025-04-24T00:00:00"/>
    <s v="Jacob Hobbs"/>
    <x v="455"/>
    <s v="General"/>
    <x v="3"/>
    <s v="$325.91"/>
    <s v="USD"/>
    <n v="325.91000000000003"/>
    <n v="325.91000000000003"/>
    <n v="0"/>
    <x v="0"/>
    <n v="10"/>
    <n v="1"/>
    <x v="1"/>
  </r>
  <r>
    <n v="1037"/>
    <x v="458"/>
    <s v="David Reeves"/>
    <n v="52"/>
    <x v="3"/>
    <x v="2"/>
    <d v="2025-12-06T00:00:00"/>
    <d v="2025-01-19T00:00:00"/>
    <s v="Marc Copeland"/>
    <x v="456"/>
    <s v="General"/>
    <x v="3"/>
    <m/>
    <s v="N/A"/>
    <s v=""/>
    <s v="N/A"/>
    <s v="N"/>
    <x v="2"/>
    <n v="5"/>
    <n v="1"/>
    <x v="1"/>
  </r>
  <r>
    <n v="1053"/>
    <x v="459"/>
    <s v="Jennifer Schwartz"/>
    <n v="30"/>
    <x v="0"/>
    <x v="0"/>
    <d v="2025-12-31T00:00:00"/>
    <d v="2025-11-14T00:00:00"/>
    <s v="Tamara Smith"/>
    <x v="457"/>
    <s v="Cardiology"/>
    <x v="0"/>
    <s v="$280.21"/>
    <s v="USD"/>
    <n v="280.20999999999998"/>
    <n v="280.20999999999998"/>
    <s v="Y"/>
    <x v="1"/>
    <n v="14"/>
    <n v="1"/>
    <x v="2"/>
  </r>
  <r>
    <n v="1043"/>
    <x v="460"/>
    <s v="William Conley"/>
    <n v="28"/>
    <x v="3"/>
    <x v="2"/>
    <d v="2025-09-27T00:00:00"/>
    <d v="2025-06-19T00:00:00"/>
    <s v="Thomas Wallace"/>
    <x v="458"/>
    <s v="General"/>
    <x v="3"/>
    <s v="Rs88.29"/>
    <s v="INR"/>
    <n v="88.29"/>
    <n v="1.0594800000000002"/>
    <n v="0"/>
    <x v="0"/>
    <n v="12"/>
    <n v="1"/>
    <x v="2"/>
  </r>
  <r>
    <n v="1021"/>
    <x v="461"/>
    <s v="Kelly Ayers"/>
    <n v="53"/>
    <x v="4"/>
    <x v="1"/>
    <d v="2026-02-16T00:00:00"/>
    <d v="2025-04-04T00:00:00"/>
    <s v="Justin Taylor"/>
    <x v="459"/>
    <s v="Neurology"/>
    <x v="2"/>
    <s v="$443.75"/>
    <s v="USD"/>
    <n v="443.75"/>
    <n v="443.75"/>
    <s v="Y"/>
    <x v="1"/>
    <n v="16"/>
    <n v="1"/>
    <x v="1"/>
  </r>
  <r>
    <n v="1059"/>
    <x v="462"/>
    <s v="James Perry"/>
    <n v="57"/>
    <x v="2"/>
    <x v="1"/>
    <d v="2025-08-27T00:00:00"/>
    <d v="2024-04-05T00:00:00"/>
    <s v="Leonard Campbell"/>
    <x v="460"/>
    <s v="Cardiology"/>
    <x v="0"/>
    <s v="$385.61"/>
    <s v="USD"/>
    <n v="385.61"/>
    <n v="385.61"/>
    <s v="Yes"/>
    <x v="1"/>
    <n v="13"/>
    <n v="1"/>
    <x v="1"/>
  </r>
  <r>
    <n v="1038"/>
    <x v="463"/>
    <s v="Steven Phelps"/>
    <n v="19"/>
    <x v="0"/>
    <x v="0"/>
    <d v="2025-05-13T00:00:00"/>
    <d v="2024-07-18T00:00:00"/>
    <s v="Darren Williams"/>
    <x v="461"/>
    <s v="Cardiology"/>
    <x v="0"/>
    <s v="Rs350.5"/>
    <s v="INR"/>
    <n v="350.5"/>
    <n v="4.2060000000000004"/>
    <s v="Y"/>
    <x v="1"/>
    <n v="10"/>
    <n v="1"/>
    <x v="2"/>
  </r>
  <r>
    <n v="1065"/>
    <x v="464"/>
    <s v="Mark Daniels"/>
    <n v="75"/>
    <x v="2"/>
    <x v="1"/>
    <d v="2025-12-14T00:00:00"/>
    <d v="2024-05-30T00:00:00"/>
    <s v="Kimberly Pierce"/>
    <x v="462"/>
    <s v="Orthopedics"/>
    <x v="1"/>
    <s v="$255.56"/>
    <s v="USD"/>
    <n v="255.56"/>
    <n v="255.56"/>
    <n v="1"/>
    <x v="0"/>
    <n v="9"/>
    <n v="1"/>
    <x v="0"/>
  </r>
  <r>
    <n v="1031"/>
    <x v="465"/>
    <s v="Zachary Williams"/>
    <n v="33"/>
    <x v="3"/>
    <x v="2"/>
    <d v="2025-09-13T00:00:00"/>
    <d v="2024-07-02T00:00:00"/>
    <s v="Selena Brown"/>
    <x v="463"/>
    <s v="Orthopedics"/>
    <x v="1"/>
    <s v="¬£458.83"/>
    <s v="GBP"/>
    <n v="458.83"/>
    <n v="582.71410000000003"/>
    <n v="1"/>
    <x v="0"/>
    <n v="13"/>
    <n v="1"/>
    <x v="2"/>
  </r>
  <r>
    <n v="1018"/>
    <x v="466"/>
    <s v="Carly Ford"/>
    <n v="20"/>
    <x v="0"/>
    <x v="0"/>
    <d v="2025-07-23T00:00:00"/>
    <d v="2025-06-22T00:00:00"/>
    <s v="Scott Tran"/>
    <x v="464"/>
    <s v="Neurology"/>
    <x v="2"/>
    <s v="‚Ç¨138.29"/>
    <s v="EUR"/>
    <n v="138.29"/>
    <n v="150.73609999999999"/>
    <s v="N"/>
    <x v="2"/>
    <n v="14"/>
    <n v="1"/>
    <x v="2"/>
  </r>
  <r>
    <n v="1081"/>
    <x v="467"/>
    <s v="Elaine Williams"/>
    <n v="42"/>
    <x v="0"/>
    <x v="0"/>
    <d v="2026-03-15T00:00:00"/>
    <d v="2024-05-23T00:00:00"/>
    <s v="Daniel Carlson"/>
    <x v="465"/>
    <s v="Cardiology"/>
    <x v="0"/>
    <s v="Rs189.02"/>
    <s v="INR"/>
    <n v="189.02"/>
    <n v="2.26824"/>
    <s v="Yes"/>
    <x v="1"/>
    <n v="9"/>
    <n v="1"/>
    <x v="1"/>
  </r>
  <r>
    <n v="1098"/>
    <x v="468"/>
    <s v="Randy Wright"/>
    <n v="27"/>
    <x v="3"/>
    <x v="2"/>
    <d v="2025-08-14T00:00:00"/>
    <d v="2024-12-02T00:00:00"/>
    <s v="Jennifer Banks"/>
    <x v="466"/>
    <s v="Orthopedics"/>
    <x v="1"/>
    <s v="‚Ç¨272.47"/>
    <s v="EUR"/>
    <n v="272.47000000000003"/>
    <n v="296.99230000000006"/>
    <s v="No"/>
    <x v="2"/>
    <n v="12"/>
    <n v="1"/>
    <x v="2"/>
  </r>
  <r>
    <n v="1070"/>
    <x v="469"/>
    <s v="Charles Foley"/>
    <n v="56"/>
    <x v="4"/>
    <x v="1"/>
    <d v="2025-09-19T00:00:00"/>
    <d v="2024-09-28T00:00:00"/>
    <s v="Richard Arias"/>
    <x v="467"/>
    <s v="Cardiology"/>
    <x v="0"/>
    <s v="‚Ç¨450.37"/>
    <s v="EUR"/>
    <n v="450.37"/>
    <n v="490.90330000000006"/>
    <s v="Y"/>
    <x v="1"/>
    <n v="13"/>
    <n v="1"/>
    <x v="1"/>
  </r>
  <r>
    <n v="1093"/>
    <x v="470"/>
    <s v="Ryan Kennedy"/>
    <n v="81"/>
    <x v="3"/>
    <x v="2"/>
    <d v="2026-02-07T00:00:00"/>
    <d v="2024-06-27T00:00:00"/>
    <s v="Scott Shannon"/>
    <x v="468"/>
    <s v="General"/>
    <x v="3"/>
    <s v="$490.67"/>
    <s v="USD"/>
    <n v="490.67"/>
    <n v="490.67"/>
    <s v="Yes"/>
    <x v="1"/>
    <n v="11"/>
    <n v="1"/>
    <x v="0"/>
  </r>
  <r>
    <n v="1032"/>
    <x v="471"/>
    <s v="Stephen Cox"/>
    <n v="56"/>
    <x v="3"/>
    <x v="2"/>
    <d v="2025-09-27T00:00:00"/>
    <d v="2025-02-05T00:00:00"/>
    <s v="Joseph King"/>
    <x v="469"/>
    <s v="Cardiology"/>
    <x v="0"/>
    <s v="¬£99.17"/>
    <s v="GBP"/>
    <n v="99.17"/>
    <n v="125.94590000000001"/>
    <s v="No"/>
    <x v="2"/>
    <n v="7"/>
    <n v="1"/>
    <x v="1"/>
  </r>
  <r>
    <n v="1071"/>
    <x v="472"/>
    <s v="Jennifer Jackson"/>
    <n v="80"/>
    <x v="3"/>
    <x v="2"/>
    <d v="2025-07-29T00:00:00"/>
    <d v="2024-04-14T00:00:00"/>
    <s v="Frank Harrell"/>
    <x v="470"/>
    <s v="Neurology"/>
    <x v="2"/>
    <s v="$105.64"/>
    <s v="USD"/>
    <n v="105.64"/>
    <n v="105.64"/>
    <s v="No"/>
    <x v="2"/>
    <n v="10"/>
    <n v="1"/>
    <x v="0"/>
  </r>
  <r>
    <n v="1067"/>
    <x v="473"/>
    <s v="Jessica Wilson"/>
    <n v="72"/>
    <x v="3"/>
    <x v="2"/>
    <d v="2026-03-20T00:00:00"/>
    <d v="2024-07-13T00:00:00"/>
    <s v="Sharon Nash"/>
    <x v="471"/>
    <s v="Orthopedics"/>
    <x v="1"/>
    <s v="‚Ç¨437.18"/>
    <s v="EUR"/>
    <n v="437.18"/>
    <n v="476.52620000000002"/>
    <s v="N"/>
    <x v="2"/>
    <n v="9"/>
    <n v="1"/>
    <x v="0"/>
  </r>
  <r>
    <n v="1090"/>
    <x v="474"/>
    <s v="Brittany Wall"/>
    <n v="37"/>
    <x v="2"/>
    <x v="1"/>
    <d v="2026-02-28T00:00:00"/>
    <d v="2024-04-18T00:00:00"/>
    <s v="Willie Dean"/>
    <x v="472"/>
    <s v="General"/>
    <x v="3"/>
    <s v="Rs77.2"/>
    <s v="INR"/>
    <n v="77.2"/>
    <n v="0.9264"/>
    <n v="0"/>
    <x v="0"/>
    <n v="8"/>
    <n v="1"/>
    <x v="2"/>
  </r>
  <r>
    <n v="1027"/>
    <x v="475"/>
    <s v="Diane Adams"/>
    <n v="81"/>
    <x v="0"/>
    <x v="0"/>
    <d v="2025-12-30T00:00:00"/>
    <d v="2025-01-09T00:00:00"/>
    <s v="Andrew Carroll"/>
    <x v="473"/>
    <s v="General"/>
    <x v="3"/>
    <s v="‚Ç¨118.72"/>
    <s v="EUR"/>
    <n v="118.72"/>
    <n v="129.40479999999999"/>
    <n v="0"/>
    <x v="0"/>
    <n v="12"/>
    <n v="1"/>
    <x v="0"/>
  </r>
  <r>
    <n v="1073"/>
    <x v="476"/>
    <s v="Shawn Moon"/>
    <n v="52"/>
    <x v="4"/>
    <x v="1"/>
    <d v="2026-03-17T00:00:00"/>
    <d v="2025-10-20T00:00:00"/>
    <s v="Sheila Williams"/>
    <x v="474"/>
    <s v="Neurology"/>
    <x v="2"/>
    <s v="‚Ç¨155.69"/>
    <s v="EUR"/>
    <n v="155.69"/>
    <n v="169.7021"/>
    <s v="Y"/>
    <x v="1"/>
    <n v="11"/>
    <n v="1"/>
    <x v="1"/>
  </r>
  <r>
    <n v="1092"/>
    <x v="477"/>
    <s v="Sharon Lopez"/>
    <n v="79"/>
    <x v="3"/>
    <x v="2"/>
    <d v="2025-09-09T00:00:00"/>
    <d v="2025-02-02T00:00:00"/>
    <s v="Yolanda Richardson"/>
    <x v="475"/>
    <s v="Neurology"/>
    <x v="2"/>
    <s v="$487.57"/>
    <s v="USD"/>
    <n v="487.57"/>
    <n v="487.57"/>
    <s v="N"/>
    <x v="2"/>
    <n v="11"/>
    <n v="1"/>
    <x v="0"/>
  </r>
  <r>
    <n v="1083"/>
    <x v="478"/>
    <s v="Timothy Ramirez"/>
    <n v="56"/>
    <x v="1"/>
    <x v="0"/>
    <d v="2025-11-18T00:00:00"/>
    <d v="2025-02-07T00:00:00"/>
    <s v="Tiffany Shepherd"/>
    <x v="476"/>
    <s v="Cardiology"/>
    <x v="0"/>
    <s v="Rs412.44"/>
    <s v="INR"/>
    <n v="412.44"/>
    <n v="4.9492799999999999"/>
    <n v="0"/>
    <x v="0"/>
    <n v="7"/>
    <n v="1"/>
    <x v="1"/>
  </r>
  <r>
    <n v="1091"/>
    <x v="479"/>
    <s v="Daniel Marshall"/>
    <n v="74"/>
    <x v="4"/>
    <x v="1"/>
    <d v="2025-12-11T00:00:00"/>
    <d v="2025-04-23T00:00:00"/>
    <s v="Lisa Taylor"/>
    <x v="477"/>
    <s v="Cardiology"/>
    <x v="0"/>
    <s v="¬£297.5"/>
    <s v="GBP"/>
    <n v="297.5"/>
    <n v="377.82499999999999"/>
    <s v="Y"/>
    <x v="1"/>
    <n v="9"/>
    <n v="1"/>
    <x v="0"/>
  </r>
  <r>
    <n v="1057"/>
    <x v="480"/>
    <s v="Andre Pitts"/>
    <n v="60"/>
    <x v="0"/>
    <x v="0"/>
    <d v="2026-01-26T00:00:00"/>
    <d v="2024-09-30T00:00:00"/>
    <s v="Donna Sandoval"/>
    <x v="478"/>
    <s v="General"/>
    <x v="3"/>
    <s v="‚Ç¨481.4"/>
    <s v="EUR"/>
    <n v="481.4"/>
    <n v="524.726"/>
    <s v="Yes"/>
    <x v="1"/>
    <n v="7"/>
    <n v="1"/>
    <x v="1"/>
  </r>
  <r>
    <n v="1018"/>
    <x v="481"/>
    <s v="Mary Garcia"/>
    <n v="54"/>
    <x v="2"/>
    <x v="1"/>
    <d v="2025-10-21T00:00:00"/>
    <d v="2025-04-11T00:00:00"/>
    <s v="Brianna Ortega"/>
    <x v="479"/>
    <s v="General"/>
    <x v="3"/>
    <s v="$252.53"/>
    <s v="USD"/>
    <n v="252.53"/>
    <n v="252.53"/>
    <s v="Y"/>
    <x v="1"/>
    <n v="14"/>
    <n v="1"/>
    <x v="1"/>
  </r>
  <r>
    <n v="1002"/>
    <x v="482"/>
    <s v="Lawrence Ford"/>
    <n v="89"/>
    <x v="1"/>
    <x v="0"/>
    <d v="2025-07-09T00:00:00"/>
    <d v="2025-01-03T00:00:00"/>
    <s v="Randall Watts"/>
    <x v="480"/>
    <s v="Neurology"/>
    <x v="2"/>
    <s v="‚Ç¨167.8"/>
    <s v="EUR"/>
    <n v="167.8"/>
    <n v="182.90200000000002"/>
    <s v="Yes"/>
    <x v="1"/>
    <n v="7"/>
    <n v="1"/>
    <x v="0"/>
  </r>
  <r>
    <n v="1084"/>
    <x v="483"/>
    <s v="Monica Mcclure"/>
    <n v="84"/>
    <x v="3"/>
    <x v="2"/>
    <d v="2025-05-24T00:00:00"/>
    <d v="2024-05-10T00:00:00"/>
    <s v="Martha Byrd"/>
    <x v="481"/>
    <s v="General"/>
    <x v="3"/>
    <s v="Rs347.94"/>
    <s v="INR"/>
    <n v="347.94"/>
    <n v="4.1752799999999999"/>
    <n v="1"/>
    <x v="0"/>
    <n v="15"/>
    <n v="1"/>
    <x v="0"/>
  </r>
  <r>
    <n v="1005"/>
    <x v="484"/>
    <s v="Troy Richards"/>
    <n v="80"/>
    <x v="3"/>
    <x v="2"/>
    <d v="2025-05-16T00:00:00"/>
    <d v="2024-11-13T00:00:00"/>
    <s v="Thomas Baker"/>
    <x v="482"/>
    <s v="Neurology"/>
    <x v="2"/>
    <s v="¬£305.02"/>
    <s v="GBP"/>
    <n v="305.02"/>
    <n v="387.37539999999996"/>
    <s v="Y"/>
    <x v="1"/>
    <n v="13"/>
    <n v="1"/>
    <x v="0"/>
  </r>
  <r>
    <n v="1094"/>
    <x v="485"/>
    <s v="Anna Rowe"/>
    <n v="59"/>
    <x v="0"/>
    <x v="0"/>
    <d v="2026-02-26T00:00:00"/>
    <d v="2024-08-25T00:00:00"/>
    <s v="Judith Preston"/>
    <x v="483"/>
    <s v="Neurology"/>
    <x v="2"/>
    <s v="‚Ç¨83.61"/>
    <s v="EUR"/>
    <n v="83.61"/>
    <n v="91.134900000000002"/>
    <s v="No"/>
    <x v="2"/>
    <n v="8"/>
    <n v="1"/>
    <x v="1"/>
  </r>
  <r>
    <n v="1084"/>
    <x v="486"/>
    <s v="Michael Espinoza"/>
    <n v="55"/>
    <x v="0"/>
    <x v="0"/>
    <d v="2025-04-29T00:00:00"/>
    <d v="2024-12-06T00:00:00"/>
    <s v="Amber King"/>
    <x v="484"/>
    <s v="Neurology"/>
    <x v="2"/>
    <s v="¬£360.39"/>
    <s v="GBP"/>
    <n v="360.39"/>
    <n v="457.69529999999997"/>
    <s v="N"/>
    <x v="2"/>
    <n v="15"/>
    <n v="1"/>
    <x v="1"/>
  </r>
  <r>
    <n v="1044"/>
    <x v="487"/>
    <s v="Kenneth Dixon"/>
    <n v="68"/>
    <x v="4"/>
    <x v="1"/>
    <d v="2025-08-19T00:00:00"/>
    <d v="2025-01-31T00:00:00"/>
    <s v="Sandra Sloan"/>
    <x v="485"/>
    <s v="Orthopedics"/>
    <x v="1"/>
    <s v="‚Ç¨402.4"/>
    <s v="EUR"/>
    <n v="402.4"/>
    <n v="438.61599999999999"/>
    <s v="Yes"/>
    <x v="1"/>
    <n v="12"/>
    <n v="1"/>
    <x v="0"/>
  </r>
  <r>
    <n v="1067"/>
    <x v="488"/>
    <s v="Justin Ortiz"/>
    <n v="60"/>
    <x v="4"/>
    <x v="1"/>
    <d v="2025-11-08T00:00:00"/>
    <d v="2025-03-30T00:00:00"/>
    <s v="Russell Myers"/>
    <x v="486"/>
    <s v="Cardiology"/>
    <x v="0"/>
    <s v="¬£234.26"/>
    <s v="GBP"/>
    <n v="234.26"/>
    <n v="297.5102"/>
    <s v="N"/>
    <x v="2"/>
    <n v="9"/>
    <n v="1"/>
    <x v="1"/>
  </r>
  <r>
    <n v="1083"/>
    <x v="489"/>
    <s v="Melissa Wagner"/>
    <n v="59"/>
    <x v="4"/>
    <x v="1"/>
    <d v="2025-09-18T00:00:00"/>
    <d v="2024-06-15T00:00:00"/>
    <s v="Megan Garcia"/>
    <x v="487"/>
    <s v="Neurology"/>
    <x v="2"/>
    <s v="Rs219.5"/>
    <s v="INR"/>
    <n v="219.5"/>
    <n v="2.6339999999999999"/>
    <s v="Y"/>
    <x v="1"/>
    <n v="7"/>
    <n v="1"/>
    <x v="1"/>
  </r>
  <r>
    <n v="1017"/>
    <x v="490"/>
    <s v="Jamie Miller"/>
    <n v="84"/>
    <x v="1"/>
    <x v="0"/>
    <d v="2026-02-05T00:00:00"/>
    <d v="2024-05-28T00:00:00"/>
    <s v="Gloria Perez"/>
    <x v="488"/>
    <s v="Orthopedics"/>
    <x v="1"/>
    <s v="‚Ç¨191.19"/>
    <s v="EUR"/>
    <n v="191.19"/>
    <n v="208.39710000000002"/>
    <s v="N"/>
    <x v="2"/>
    <n v="8"/>
    <n v="1"/>
    <x v="0"/>
  </r>
  <r>
    <n v="1080"/>
    <x v="491"/>
    <s v="Cynthia Jones"/>
    <n v="38"/>
    <x v="3"/>
    <x v="2"/>
    <d v="2025-05-31T00:00:00"/>
    <d v="2024-05-26T00:00:00"/>
    <s v="Eugene Little"/>
    <x v="489"/>
    <s v="Orthopedics"/>
    <x v="1"/>
    <s v="Rs318.15"/>
    <s v="INR"/>
    <n v="318.14999999999998"/>
    <n v="3.8177999999999996"/>
    <n v="1"/>
    <x v="0"/>
    <n v="11"/>
    <n v="1"/>
    <x v="2"/>
  </r>
  <r>
    <n v="1089"/>
    <x v="492"/>
    <s v="Henry Quinn"/>
    <n v="23"/>
    <x v="1"/>
    <x v="0"/>
    <d v="2025-08-10T00:00:00"/>
    <d v="2025-04-22T00:00:00"/>
    <s v="Audrey Hansen"/>
    <x v="490"/>
    <s v="General"/>
    <x v="3"/>
    <s v="$350.0"/>
    <s v="USD"/>
    <n v="350"/>
    <n v="350"/>
    <n v="0"/>
    <x v="0"/>
    <n v="16"/>
    <n v="1"/>
    <x v="2"/>
  </r>
  <r>
    <n v="1070"/>
    <x v="493"/>
    <s v="Jake Robinson"/>
    <n v="62"/>
    <x v="0"/>
    <x v="0"/>
    <d v="2025-09-09T00:00:00"/>
    <d v="2024-11-25T00:00:00"/>
    <s v="Nathan Quinn"/>
    <x v="491"/>
    <s v="Cardiology"/>
    <x v="0"/>
    <s v="Rs178.28"/>
    <s v="INR"/>
    <n v="178.28"/>
    <n v="2.1393599999999999"/>
    <s v="Yes"/>
    <x v="1"/>
    <n v="13"/>
    <n v="1"/>
    <x v="1"/>
  </r>
  <r>
    <n v="1093"/>
    <x v="494"/>
    <s v="Kimberly Morrison"/>
    <n v="34"/>
    <x v="3"/>
    <x v="2"/>
    <d v="2026-03-04T00:00:00"/>
    <d v="2024-09-11T00:00:00"/>
    <s v="Brian Young"/>
    <x v="492"/>
    <s v="Orthopedics"/>
    <x v="1"/>
    <s v="$248.31"/>
    <s v="USD"/>
    <n v="248.31"/>
    <n v="248.31"/>
    <s v="Y"/>
    <x v="1"/>
    <n v="11"/>
    <n v="1"/>
    <x v="2"/>
  </r>
  <r>
    <n v="1088"/>
    <x v="495"/>
    <s v="Ricardo White"/>
    <n v="35"/>
    <x v="2"/>
    <x v="1"/>
    <d v="2025-10-27T00:00:00"/>
    <d v="2025-07-11T00:00:00"/>
    <s v="Tanya Barker"/>
    <x v="493"/>
    <s v="Cardiology"/>
    <x v="0"/>
    <s v="Rs352.72"/>
    <s v="INR"/>
    <n v="352.72"/>
    <n v="4.2326400000000008"/>
    <n v="1"/>
    <x v="0"/>
    <n v="16"/>
    <n v="1"/>
    <x v="2"/>
  </r>
  <r>
    <n v="1086"/>
    <x v="496"/>
    <s v="Cynthia Richard"/>
    <n v="36"/>
    <x v="4"/>
    <x v="1"/>
    <d v="2026-03-17T00:00:00"/>
    <d v="2024-08-25T00:00:00"/>
    <s v="Scott King"/>
    <x v="494"/>
    <s v="Orthopedics"/>
    <x v="1"/>
    <s v="‚Ç¨208.03"/>
    <s v="EUR"/>
    <n v="208.03"/>
    <n v="226.7527"/>
    <n v="0"/>
    <x v="0"/>
    <n v="9"/>
    <n v="1"/>
    <x v="2"/>
  </r>
  <r>
    <n v="1033"/>
    <x v="497"/>
    <s v="David Thompson"/>
    <n v="47"/>
    <x v="3"/>
    <x v="2"/>
    <d v="2025-12-03T00:00:00"/>
    <d v="2025-08-24T00:00:00"/>
    <s v="Derek Velazquez"/>
    <x v="495"/>
    <s v="Cardiology"/>
    <x v="0"/>
    <s v="¬£116.75"/>
    <s v="GBP"/>
    <n v="116.75"/>
    <n v="148.27250000000001"/>
    <s v="N"/>
    <x v="2"/>
    <n v="11"/>
    <n v="1"/>
    <x v="1"/>
  </r>
  <r>
    <n v="1023"/>
    <x v="498"/>
    <s v="Mary Moon"/>
    <n v="36"/>
    <x v="3"/>
    <x v="2"/>
    <d v="2025-10-13T00:00:00"/>
    <d v="2025-01-08T00:00:00"/>
    <s v="Ernest Rodriguez"/>
    <x v="496"/>
    <s v="Cardiology"/>
    <x v="0"/>
    <s v="‚Ç¨91.29"/>
    <s v="EUR"/>
    <n v="91.29"/>
    <n v="99.506100000000018"/>
    <s v="N"/>
    <x v="2"/>
    <n v="4"/>
    <n v="1"/>
    <x v="2"/>
  </r>
  <r>
    <n v="1053"/>
    <x v="499"/>
    <s v="John Gallagher"/>
    <n v="57"/>
    <x v="3"/>
    <x v="2"/>
    <d v="2025-06-28T00:00:00"/>
    <d v="2024-11-02T00:00:00"/>
    <s v="Kara Austin"/>
    <x v="497"/>
    <s v="Cardiology"/>
    <x v="0"/>
    <s v="‚Ç¨198.61"/>
    <s v="EUR"/>
    <n v="198.61"/>
    <n v="216.48490000000004"/>
    <s v="Yes"/>
    <x v="1"/>
    <n v="14"/>
    <n v="1"/>
    <x v="1"/>
  </r>
  <r>
    <n v="1040"/>
    <x v="500"/>
    <s v="Benjamin Allen"/>
    <n v="20"/>
    <x v="0"/>
    <x v="0"/>
    <d v="2025-11-22T00:00:00"/>
    <d v="2025-04-06T00:00:00"/>
    <s v="Richard Johnson"/>
    <x v="498"/>
    <s v="Cardiology"/>
    <x v="0"/>
    <s v="‚Ç¨257.17"/>
    <s v="EUR"/>
    <n v="257.17"/>
    <n v="280.31530000000004"/>
    <s v="No"/>
    <x v="2"/>
    <n v="13"/>
    <n v="1"/>
    <x v="2"/>
  </r>
  <r>
    <n v="1073"/>
    <x v="501"/>
    <s v="Abigail Holt"/>
    <n v="50"/>
    <x v="3"/>
    <x v="2"/>
    <d v="2025-09-11T00:00:00"/>
    <d v="2025-03-14T00:00:00"/>
    <s v="Jacob Mays"/>
    <x v="499"/>
    <s v="Neurology"/>
    <x v="2"/>
    <s v="$343.79"/>
    <s v="USD"/>
    <n v="343.79"/>
    <n v="343.79"/>
    <s v="Yes"/>
    <x v="1"/>
    <n v="11"/>
    <n v="1"/>
    <x v="1"/>
  </r>
  <r>
    <n v="1031"/>
    <x v="502"/>
    <s v="Katherine Rogers"/>
    <n v="50"/>
    <x v="1"/>
    <x v="0"/>
    <d v="2025-11-19T00:00:00"/>
    <d v="2025-01-15T00:00:00"/>
    <s v="Morgan Edwards"/>
    <x v="500"/>
    <s v="Orthopedics"/>
    <x v="1"/>
    <s v="$431.21"/>
    <s v="USD"/>
    <n v="431.21"/>
    <n v="431.21"/>
    <n v="1"/>
    <x v="0"/>
    <n v="13"/>
    <n v="1"/>
    <x v="1"/>
  </r>
  <r>
    <n v="1093"/>
    <x v="503"/>
    <s v="Jason Larson"/>
    <n v="66"/>
    <x v="1"/>
    <x v="0"/>
    <d v="2026-02-02T00:00:00"/>
    <d v="2025-02-14T00:00:00"/>
    <s v="Helen Davis"/>
    <x v="501"/>
    <s v="Neurology"/>
    <x v="2"/>
    <s v="¬£241.91"/>
    <s v="GBP"/>
    <n v="241.91"/>
    <n v="307.22570000000002"/>
    <n v="1"/>
    <x v="0"/>
    <n v="11"/>
    <n v="1"/>
    <x v="0"/>
  </r>
  <r>
    <n v="1029"/>
    <x v="504"/>
    <s v="Jesse Robertson"/>
    <n v="24"/>
    <x v="4"/>
    <x v="1"/>
    <d v="2025-07-27T00:00:00"/>
    <d v="2025-07-19T00:00:00"/>
    <s v="Rebecca Gross"/>
    <x v="502"/>
    <s v="Orthopedics"/>
    <x v="1"/>
    <s v="‚Ç¨95.25"/>
    <s v="EUR"/>
    <n v="95.25"/>
    <n v="103.82250000000001"/>
    <s v="Yes"/>
    <x v="1"/>
    <n v="8"/>
    <n v="1"/>
    <x v="2"/>
  </r>
  <r>
    <n v="1082"/>
    <x v="505"/>
    <s v="Tyler Trujillo"/>
    <n v="72"/>
    <x v="4"/>
    <x v="1"/>
    <d v="2025-12-11T00:00:00"/>
    <d v="2025-01-24T00:00:00"/>
    <s v="Andrea Walsh"/>
    <x v="503"/>
    <s v="Cardiology"/>
    <x v="0"/>
    <s v="¬£167.07"/>
    <s v="GBP"/>
    <n v="167.07"/>
    <n v="212.1789"/>
    <s v="No"/>
    <x v="2"/>
    <n v="14"/>
    <n v="1"/>
    <x v="0"/>
  </r>
  <r>
    <n v="1099"/>
    <x v="506"/>
    <s v="Travis Rodriguez"/>
    <n v="85"/>
    <x v="2"/>
    <x v="1"/>
    <d v="2025-10-20T00:00:00"/>
    <d v="2025-08-10T00:00:00"/>
    <s v="Richard Wagner"/>
    <x v="504"/>
    <s v="Neurology"/>
    <x v="2"/>
    <s v="‚Ç¨426.64"/>
    <s v="EUR"/>
    <n v="426.64"/>
    <n v="465.0376"/>
    <s v="Yes"/>
    <x v="1"/>
    <n v="7"/>
    <n v="1"/>
    <x v="0"/>
  </r>
  <r>
    <n v="1065"/>
    <x v="507"/>
    <s v="Darren Alvarado"/>
    <n v="38"/>
    <x v="2"/>
    <x v="1"/>
    <d v="2025-05-29T00:00:00"/>
    <d v="2025-05-13T00:00:00"/>
    <s v="Spencer Booth"/>
    <x v="505"/>
    <s v="Cardiology"/>
    <x v="0"/>
    <s v="‚Ç¨106.8"/>
    <s v="EUR"/>
    <n v="106.8"/>
    <n v="116.41200000000001"/>
    <n v="0"/>
    <x v="0"/>
    <n v="9"/>
    <n v="1"/>
    <x v="2"/>
  </r>
  <r>
    <n v="1041"/>
    <x v="508"/>
    <s v="Troy Marshall"/>
    <n v="67"/>
    <x v="0"/>
    <x v="0"/>
    <d v="2025-04-17T00:00:00"/>
    <d v="2024-09-15T00:00:00"/>
    <s v="Benjamin Robinson"/>
    <x v="506"/>
    <s v="Orthopedics"/>
    <x v="1"/>
    <s v="$478.18"/>
    <s v="USD"/>
    <n v="478.18"/>
    <n v="478.18"/>
    <n v="0"/>
    <x v="0"/>
    <n v="8"/>
    <n v="1"/>
    <x v="0"/>
  </r>
  <r>
    <n v="1003"/>
    <x v="509"/>
    <s v="Corey Turner"/>
    <n v="27"/>
    <x v="3"/>
    <x v="2"/>
    <d v="2025-06-05T00:00:00"/>
    <d v="2025-03-13T00:00:00"/>
    <s v="Heidi Baker"/>
    <x v="507"/>
    <s v="Orthopedics"/>
    <x v="1"/>
    <s v="Rs435.1"/>
    <s v="INR"/>
    <n v="435.1"/>
    <n v="5.2212000000000005"/>
    <s v="Yes"/>
    <x v="1"/>
    <n v="12"/>
    <n v="1"/>
    <x v="2"/>
  </r>
  <r>
    <n v="1038"/>
    <x v="510"/>
    <s v="Ashley Wright"/>
    <n v="45"/>
    <x v="0"/>
    <x v="0"/>
    <d v="2026-02-26T00:00:00"/>
    <d v="2025-06-03T00:00:00"/>
    <s v="Kristen Lopez"/>
    <x v="508"/>
    <s v="General"/>
    <x v="3"/>
    <s v="‚Ç¨403.22"/>
    <s v="EUR"/>
    <n v="403.22"/>
    <n v="439.50980000000004"/>
    <s v="Yes"/>
    <x v="1"/>
    <n v="10"/>
    <n v="1"/>
    <x v="1"/>
  </r>
  <r>
    <n v="1061"/>
    <x v="511"/>
    <s v="Jose Bauer"/>
    <n v="37"/>
    <x v="3"/>
    <x v="2"/>
    <d v="2025-10-17T00:00:00"/>
    <d v="2025-04-07T00:00:00"/>
    <s v="Reginald Barrett"/>
    <x v="509"/>
    <s v="Orthopedics"/>
    <x v="1"/>
    <s v="‚Ç¨390.81"/>
    <s v="EUR"/>
    <n v="390.81"/>
    <n v="425.98290000000003"/>
    <s v="No"/>
    <x v="2"/>
    <n v="8"/>
    <n v="1"/>
    <x v="2"/>
  </r>
  <r>
    <n v="1024"/>
    <x v="512"/>
    <s v="Jared Lester"/>
    <n v="26"/>
    <x v="2"/>
    <x v="1"/>
    <d v="2025-10-20T00:00:00"/>
    <d v="2024-09-09T00:00:00"/>
    <s v="David Espinoza"/>
    <x v="510"/>
    <s v="Orthopedics"/>
    <x v="1"/>
    <s v="¬£310.42"/>
    <s v="GBP"/>
    <n v="310.42"/>
    <n v="394.23340000000002"/>
    <s v="N"/>
    <x v="2"/>
    <n v="12"/>
    <n v="1"/>
    <x v="2"/>
  </r>
  <r>
    <n v="1017"/>
    <x v="513"/>
    <s v="Jeffrey Martinez"/>
    <n v="86"/>
    <x v="3"/>
    <x v="2"/>
    <d v="2026-02-09T00:00:00"/>
    <d v="2026-01-21T00:00:00"/>
    <s v="Michael Ross"/>
    <x v="511"/>
    <s v="Neurology"/>
    <x v="2"/>
    <s v="$469.3"/>
    <s v="USD"/>
    <n v="469.3"/>
    <n v="469.3"/>
    <n v="0"/>
    <x v="0"/>
    <n v="8"/>
    <n v="1"/>
    <x v="0"/>
  </r>
  <r>
    <n v="1010"/>
    <x v="514"/>
    <s v="Christopher Massey"/>
    <n v="82"/>
    <x v="4"/>
    <x v="1"/>
    <d v="2025-07-15T00:00:00"/>
    <d v="2025-05-19T00:00:00"/>
    <s v="William Moore"/>
    <x v="512"/>
    <s v="Orthopedics"/>
    <x v="1"/>
    <s v="‚Ç¨495.94"/>
    <s v="EUR"/>
    <n v="495.94"/>
    <n v="540.57460000000003"/>
    <s v="Y"/>
    <x v="1"/>
    <n v="10"/>
    <n v="1"/>
    <x v="0"/>
  </r>
  <r>
    <n v="1096"/>
    <x v="515"/>
    <s v="Erin Small"/>
    <n v="82"/>
    <x v="4"/>
    <x v="1"/>
    <d v="2025-05-15T00:00:00"/>
    <d v="2025-05-13T00:00:00"/>
    <s v="Jeff Lane"/>
    <x v="513"/>
    <s v="General"/>
    <x v="3"/>
    <s v="‚Ç¨403.87"/>
    <s v="EUR"/>
    <n v="403.87"/>
    <n v="440.21830000000006"/>
    <s v="No"/>
    <x v="2"/>
    <n v="4"/>
    <n v="1"/>
    <x v="0"/>
  </r>
  <r>
    <n v="1024"/>
    <x v="516"/>
    <s v="Pamela Dalton"/>
    <n v="18"/>
    <x v="2"/>
    <x v="1"/>
    <d v="2025-10-06T00:00:00"/>
    <d v="2024-11-28T00:00:00"/>
    <s v="Christopher Jones"/>
    <x v="514"/>
    <s v="Orthopedics"/>
    <x v="1"/>
    <s v="Rs466.56"/>
    <s v="INR"/>
    <n v="466.56"/>
    <n v="5.5987200000000001"/>
    <n v="0"/>
    <x v="0"/>
    <n v="12"/>
    <n v="1"/>
    <x v="2"/>
  </r>
  <r>
    <n v="1058"/>
    <x v="517"/>
    <s v="Rebecca Parrish"/>
    <n v="59"/>
    <x v="0"/>
    <x v="0"/>
    <d v="2026-03-15T00:00:00"/>
    <d v="2025-01-06T00:00:00"/>
    <s v="Jordan Shelton"/>
    <x v="515"/>
    <s v="Orthopedics"/>
    <x v="1"/>
    <s v="$163.52"/>
    <s v="USD"/>
    <n v="163.52000000000001"/>
    <n v="163.52000000000001"/>
    <s v="N"/>
    <x v="2"/>
    <n v="17"/>
    <n v="1"/>
    <x v="1"/>
  </r>
  <r>
    <n v="1068"/>
    <x v="518"/>
    <s v="Dominic Bell"/>
    <n v="37"/>
    <x v="4"/>
    <x v="1"/>
    <d v="2025-11-18T00:00:00"/>
    <d v="2024-11-18T00:00:00"/>
    <s v="April Castillo"/>
    <x v="516"/>
    <s v="Cardiology"/>
    <x v="0"/>
    <s v="Rs356.13"/>
    <s v="INR"/>
    <n v="356.13"/>
    <n v="4.2735599999999998"/>
    <s v="Yes"/>
    <x v="1"/>
    <n v="14"/>
    <n v="1"/>
    <x v="2"/>
  </r>
  <r>
    <n v="1013"/>
    <x v="519"/>
    <s v="Gregory Arellano"/>
    <n v="71"/>
    <x v="3"/>
    <x v="2"/>
    <d v="2025-08-05T00:00:00"/>
    <d v="2025-07-07T00:00:00"/>
    <s v="Natalie Smith"/>
    <x v="517"/>
    <s v="Orthopedics"/>
    <x v="1"/>
    <s v="$400.62"/>
    <s v="USD"/>
    <n v="400.62"/>
    <n v="400.62"/>
    <n v="0"/>
    <x v="0"/>
    <n v="10"/>
    <n v="1"/>
    <x v="0"/>
  </r>
  <r>
    <n v="1009"/>
    <x v="520"/>
    <s v="Laura Chan"/>
    <n v="49"/>
    <x v="3"/>
    <x v="2"/>
    <d v="2026-02-17T00:00:00"/>
    <d v="2026-01-16T00:00:00"/>
    <s v="Reginald Miller"/>
    <x v="518"/>
    <s v="Cardiology"/>
    <x v="0"/>
    <s v="$177.93"/>
    <s v="USD"/>
    <n v="177.93"/>
    <n v="177.93"/>
    <s v="N"/>
    <x v="2"/>
    <n v="9"/>
    <n v="1"/>
    <x v="1"/>
  </r>
  <r>
    <n v="1031"/>
    <x v="521"/>
    <s v="Michael Watkins"/>
    <n v="35"/>
    <x v="2"/>
    <x v="1"/>
    <d v="2025-07-06T00:00:00"/>
    <d v="2025-03-05T00:00:00"/>
    <s v="Brian Deleon"/>
    <x v="519"/>
    <s v="General"/>
    <x v="3"/>
    <s v="¬£313.04"/>
    <s v="GBP"/>
    <n v="313.04000000000002"/>
    <n v="397.56080000000003"/>
    <s v="Y"/>
    <x v="1"/>
    <n v="13"/>
    <n v="1"/>
    <x v="2"/>
  </r>
  <r>
    <n v="1043"/>
    <x v="522"/>
    <s v="Daniel Garrett"/>
    <n v="38"/>
    <x v="2"/>
    <x v="1"/>
    <d v="2026-01-28T00:00:00"/>
    <d v="2025-06-01T00:00:00"/>
    <s v="Francisco Steele"/>
    <x v="520"/>
    <s v="Neurology"/>
    <x v="2"/>
    <s v="¬£424.5"/>
    <s v="GBP"/>
    <n v="424.5"/>
    <n v="539.11500000000001"/>
    <n v="0"/>
    <x v="0"/>
    <n v="12"/>
    <n v="1"/>
    <x v="2"/>
  </r>
  <r>
    <n v="1072"/>
    <x v="523"/>
    <s v="Ronald Gonzalez"/>
    <n v="30"/>
    <x v="0"/>
    <x v="0"/>
    <d v="2026-01-25T00:00:00"/>
    <d v="2025-10-01T00:00:00"/>
    <s v="Crystal Mueller"/>
    <x v="521"/>
    <s v="General"/>
    <x v="3"/>
    <s v="Rs222.37"/>
    <s v="INR"/>
    <n v="222.37"/>
    <n v="2.6684399999999999"/>
    <n v="1"/>
    <x v="0"/>
    <n v="9"/>
    <n v="1"/>
    <x v="2"/>
  </r>
  <r>
    <n v="1055"/>
    <x v="524"/>
    <s v="Charles Green"/>
    <n v="80"/>
    <x v="0"/>
    <x v="0"/>
    <d v="2025-04-28T00:00:00"/>
    <d v="2024-03-30T00:00:00"/>
    <s v="Lisa Hoffman"/>
    <x v="522"/>
    <s v="Neurology"/>
    <x v="2"/>
    <s v="‚Ç¨349.49"/>
    <s v="EUR"/>
    <n v="349.49"/>
    <n v="380.94410000000005"/>
    <s v="N"/>
    <x v="2"/>
    <n v="5"/>
    <n v="1"/>
    <x v="0"/>
  </r>
  <r>
    <n v="1098"/>
    <x v="525"/>
    <s v="Allison Ramos"/>
    <n v="75"/>
    <x v="0"/>
    <x v="0"/>
    <d v="2025-12-28T00:00:00"/>
    <d v="2024-12-16T00:00:00"/>
    <s v="Chase Ford"/>
    <x v="523"/>
    <s v="Neurology"/>
    <x v="2"/>
    <s v="$482.2"/>
    <s v="USD"/>
    <n v="482.2"/>
    <n v="482.2"/>
    <n v="1"/>
    <x v="0"/>
    <n v="12"/>
    <n v="1"/>
    <x v="0"/>
  </r>
  <r>
    <n v="1072"/>
    <x v="526"/>
    <s v="Christopher Brown"/>
    <n v="49"/>
    <x v="1"/>
    <x v="0"/>
    <d v="2025-03-26T00:00:00"/>
    <d v="2025-01-02T00:00:00"/>
    <s v="Henry Moore"/>
    <x v="524"/>
    <s v="Cardiology"/>
    <x v="0"/>
    <s v="Rs92.08"/>
    <s v="INR"/>
    <n v="92.08"/>
    <n v="1.1049599999999999"/>
    <s v="N"/>
    <x v="2"/>
    <n v="9"/>
    <n v="1"/>
    <x v="1"/>
  </r>
  <r>
    <n v="1070"/>
    <x v="527"/>
    <s v="Barbara Holland"/>
    <n v="24"/>
    <x v="2"/>
    <x v="1"/>
    <d v="2026-01-30T00:00:00"/>
    <d v="2024-12-16T00:00:00"/>
    <s v="Chelsea Aguirre"/>
    <x v="525"/>
    <s v="General"/>
    <x v="3"/>
    <s v="‚Ç¨439.56"/>
    <s v="EUR"/>
    <n v="439.56"/>
    <n v="479.12040000000002"/>
    <s v="N"/>
    <x v="2"/>
    <n v="13"/>
    <n v="1"/>
    <x v="2"/>
  </r>
  <r>
    <n v="1061"/>
    <x v="528"/>
    <s v="Matthew Herrera"/>
    <n v="74"/>
    <x v="0"/>
    <x v="0"/>
    <d v="2025-09-01T00:00:00"/>
    <d v="2025-05-26T00:00:00"/>
    <s v="Cody Murray"/>
    <x v="526"/>
    <s v="General"/>
    <x v="3"/>
    <s v="Rs473.48"/>
    <s v="INR"/>
    <n v="473.48"/>
    <n v="5.6817600000000006"/>
    <s v="Yes"/>
    <x v="1"/>
    <n v="8"/>
    <n v="1"/>
    <x v="0"/>
  </r>
  <r>
    <n v="1059"/>
    <x v="529"/>
    <s v="Valerie Vaughn"/>
    <n v="35"/>
    <x v="3"/>
    <x v="2"/>
    <d v="2025-11-11T00:00:00"/>
    <d v="2024-07-18T00:00:00"/>
    <s v="Felicia Warner"/>
    <x v="527"/>
    <s v="Orthopedics"/>
    <x v="1"/>
    <m/>
    <s v="N/A"/>
    <s v=""/>
    <s v="N/A"/>
    <n v="0"/>
    <x v="0"/>
    <n v="13"/>
    <n v="1"/>
    <x v="2"/>
  </r>
  <r>
    <n v="1091"/>
    <x v="530"/>
    <s v="Tiffany Miller"/>
    <n v="85"/>
    <x v="3"/>
    <x v="2"/>
    <d v="2025-03-29T00:00:00"/>
    <d v="2025-03-07T00:00:00"/>
    <s v="Melissa Bradley"/>
    <x v="528"/>
    <s v="Cardiology"/>
    <x v="0"/>
    <s v="‚Ç¨151.02"/>
    <s v="EUR"/>
    <n v="151.02000000000001"/>
    <n v="164.61180000000002"/>
    <s v="No"/>
    <x v="2"/>
    <n v="9"/>
    <n v="1"/>
    <x v="0"/>
  </r>
  <r>
    <n v="1003"/>
    <x v="531"/>
    <s v="Cassandra Cain"/>
    <n v="64"/>
    <x v="0"/>
    <x v="0"/>
    <d v="2026-01-24T00:00:00"/>
    <d v="2025-02-08T00:00:00"/>
    <s v="Jessica Williams"/>
    <x v="529"/>
    <s v="Cardiology"/>
    <x v="0"/>
    <s v="Rs79.59"/>
    <s v="INR"/>
    <n v="79.59"/>
    <n v="0.95508000000000004"/>
    <n v="0"/>
    <x v="0"/>
    <n v="12"/>
    <n v="1"/>
    <x v="1"/>
  </r>
  <r>
    <n v="1087"/>
    <x v="532"/>
    <s v="Glen Arroyo"/>
    <n v="70"/>
    <x v="0"/>
    <x v="0"/>
    <d v="2025-09-12T00:00:00"/>
    <d v="2024-06-03T00:00:00"/>
    <s v="Christopher Schneider"/>
    <x v="530"/>
    <s v="Neurology"/>
    <x v="2"/>
    <s v="¬£167.31"/>
    <s v="GBP"/>
    <n v="167.31"/>
    <n v="212.4837"/>
    <s v="Y"/>
    <x v="1"/>
    <n v="8"/>
    <n v="1"/>
    <x v="0"/>
  </r>
  <r>
    <n v="1049"/>
    <x v="533"/>
    <s v="Kimberly Hill"/>
    <n v="37"/>
    <x v="3"/>
    <x v="2"/>
    <d v="2025-05-10T00:00:00"/>
    <d v="2024-08-26T00:00:00"/>
    <s v="Kenneth Long"/>
    <x v="531"/>
    <s v="Neurology"/>
    <x v="2"/>
    <s v="Rs194.81"/>
    <s v="INR"/>
    <n v="194.81"/>
    <n v="2.33772"/>
    <n v="0"/>
    <x v="0"/>
    <n v="8"/>
    <n v="1"/>
    <x v="2"/>
  </r>
  <r>
    <n v="1056"/>
    <x v="534"/>
    <s v="Erik Martinez"/>
    <n v="24"/>
    <x v="4"/>
    <x v="1"/>
    <d v="2025-10-28T00:00:00"/>
    <d v="2025-01-15T00:00:00"/>
    <s v="Jennifer Carroll"/>
    <x v="532"/>
    <s v="Cardiology"/>
    <x v="0"/>
    <s v="$97.67"/>
    <s v="USD"/>
    <n v="97.67"/>
    <n v="97.67"/>
    <s v="Yes"/>
    <x v="1"/>
    <n v="13"/>
    <n v="1"/>
    <x v="2"/>
  </r>
  <r>
    <n v="1057"/>
    <x v="535"/>
    <s v="Michael Bradley"/>
    <n v="86"/>
    <x v="3"/>
    <x v="2"/>
    <d v="2025-06-11T00:00:00"/>
    <d v="2024-09-28T00:00:00"/>
    <s v="Carl Gomez"/>
    <x v="533"/>
    <s v="Orthopedics"/>
    <x v="1"/>
    <s v="¬£254.91"/>
    <s v="GBP"/>
    <n v="254.91"/>
    <n v="323.73570000000001"/>
    <s v="No"/>
    <x v="2"/>
    <n v="7"/>
    <n v="1"/>
    <x v="0"/>
  </r>
  <r>
    <n v="1054"/>
    <x v="536"/>
    <s v="Rebecca Carey DDS"/>
    <n v="57"/>
    <x v="2"/>
    <x v="1"/>
    <d v="2025-10-09T00:00:00"/>
    <d v="2025-03-17T00:00:00"/>
    <s v="David Carter"/>
    <x v="534"/>
    <s v="Neurology"/>
    <x v="2"/>
    <s v="$169.09"/>
    <s v="USD"/>
    <n v="169.09"/>
    <n v="169.09"/>
    <s v="No"/>
    <x v="2"/>
    <n v="12"/>
    <n v="1"/>
    <x v="1"/>
  </r>
  <r>
    <n v="1040"/>
    <x v="537"/>
    <s v="Tammy Nelson"/>
    <n v="20"/>
    <x v="3"/>
    <x v="2"/>
    <d v="2025-08-21T00:00:00"/>
    <d v="2024-04-15T00:00:00"/>
    <s v="Angel Aguilar"/>
    <x v="535"/>
    <s v="Cardiology"/>
    <x v="0"/>
    <m/>
    <s v="N/A"/>
    <s v=""/>
    <s v="N/A"/>
    <n v="0"/>
    <x v="0"/>
    <n v="13"/>
    <n v="1"/>
    <x v="2"/>
  </r>
  <r>
    <n v="1059"/>
    <x v="538"/>
    <s v="Heidi Alvarez"/>
    <n v="88"/>
    <x v="4"/>
    <x v="1"/>
    <d v="2025-07-30T00:00:00"/>
    <d v="2025-06-30T00:00:00"/>
    <s v="Jeremy Wilson"/>
    <x v="536"/>
    <s v="General"/>
    <x v="3"/>
    <s v="Rs94.19"/>
    <s v="INR"/>
    <n v="94.19"/>
    <n v="1.13028"/>
    <s v="Y"/>
    <x v="1"/>
    <n v="13"/>
    <n v="1"/>
    <x v="0"/>
  </r>
  <r>
    <n v="1035"/>
    <x v="539"/>
    <s v="Robert Edwards"/>
    <n v="84"/>
    <x v="3"/>
    <x v="2"/>
    <d v="2025-10-09T00:00:00"/>
    <d v="2025-05-10T00:00:00"/>
    <s v="Ashley Gonzalez"/>
    <x v="537"/>
    <s v="Orthopedics"/>
    <x v="1"/>
    <s v="¬£84.87"/>
    <s v="GBP"/>
    <n v="84.87"/>
    <n v="107.78490000000001"/>
    <s v="No"/>
    <x v="2"/>
    <n v="9"/>
    <n v="1"/>
    <x v="0"/>
  </r>
  <r>
    <n v="1086"/>
    <x v="540"/>
    <s v="Bryan Fritz"/>
    <n v="86"/>
    <x v="0"/>
    <x v="0"/>
    <d v="2025-08-03T00:00:00"/>
    <d v="2025-02-19T00:00:00"/>
    <s v="Kelsey Hernandez"/>
    <x v="538"/>
    <s v="Orthopedics"/>
    <x v="1"/>
    <s v="$338.43"/>
    <s v="USD"/>
    <n v="338.43"/>
    <n v="338.43"/>
    <s v="Y"/>
    <x v="1"/>
    <n v="9"/>
    <n v="1"/>
    <x v="0"/>
  </r>
  <r>
    <n v="1050"/>
    <x v="541"/>
    <s v="Donald Reed"/>
    <n v="60"/>
    <x v="1"/>
    <x v="0"/>
    <d v="2025-05-06T00:00:00"/>
    <d v="2024-10-11T00:00:00"/>
    <s v="Danny Webster"/>
    <x v="539"/>
    <s v="General"/>
    <x v="3"/>
    <s v="$453.66"/>
    <s v="USD"/>
    <n v="453.66"/>
    <n v="453.66"/>
    <s v="Y"/>
    <x v="1"/>
    <n v="12"/>
    <n v="1"/>
    <x v="1"/>
  </r>
  <r>
    <n v="1024"/>
    <x v="542"/>
    <s v="Alejandra Perkins"/>
    <n v="72"/>
    <x v="3"/>
    <x v="2"/>
    <d v="2025-08-03T00:00:00"/>
    <d v="2025-04-11T00:00:00"/>
    <s v="Daniel Dickerson"/>
    <x v="540"/>
    <s v="Orthopedics"/>
    <x v="1"/>
    <m/>
    <s v="N/A"/>
    <s v=""/>
    <s v="N/A"/>
    <s v="Y"/>
    <x v="1"/>
    <n v="12"/>
    <n v="1"/>
    <x v="0"/>
  </r>
  <r>
    <n v="1046"/>
    <x v="543"/>
    <s v="Jonathan Drake"/>
    <n v="76"/>
    <x v="2"/>
    <x v="1"/>
    <d v="2026-01-06T00:00:00"/>
    <d v="2025-03-16T00:00:00"/>
    <s v="Andrew Johnson"/>
    <x v="541"/>
    <s v="Cardiology"/>
    <x v="0"/>
    <s v="¬£328.88"/>
    <s v="GBP"/>
    <n v="328.88"/>
    <n v="417.67759999999998"/>
    <n v="1"/>
    <x v="0"/>
    <n v="8"/>
    <n v="1"/>
    <x v="0"/>
  </r>
  <r>
    <n v="1051"/>
    <x v="544"/>
    <s v="Sandra Wood"/>
    <n v="81"/>
    <x v="4"/>
    <x v="1"/>
    <d v="2026-02-03T00:00:00"/>
    <d v="2025-09-29T00:00:00"/>
    <s v="Brian Armstrong"/>
    <x v="542"/>
    <s v="Neurology"/>
    <x v="2"/>
    <s v="¬£51.93"/>
    <s v="GBP"/>
    <n v="51.93"/>
    <n v="65.951099999999997"/>
    <n v="0"/>
    <x v="0"/>
    <n v="9"/>
    <n v="1"/>
    <x v="0"/>
  </r>
  <r>
    <n v="1014"/>
    <x v="545"/>
    <s v="Alexis Moody"/>
    <n v="81"/>
    <x v="1"/>
    <x v="0"/>
    <d v="2025-05-29T00:00:00"/>
    <d v="2024-06-11T00:00:00"/>
    <s v="Jennifer Reyes"/>
    <x v="543"/>
    <s v="Orthopedics"/>
    <x v="1"/>
    <s v="Rs201.8"/>
    <s v="INR"/>
    <n v="201.8"/>
    <n v="2.4216000000000002"/>
    <s v="Y"/>
    <x v="1"/>
    <n v="10"/>
    <n v="1"/>
    <x v="0"/>
  </r>
  <r>
    <n v="1059"/>
    <x v="546"/>
    <s v="Carol Williams"/>
    <n v="75"/>
    <x v="0"/>
    <x v="0"/>
    <d v="2025-04-15T00:00:00"/>
    <d v="2024-06-01T00:00:00"/>
    <s v="Joshua Gomez"/>
    <x v="544"/>
    <s v="Cardiology"/>
    <x v="0"/>
    <s v="$129.1"/>
    <s v="USD"/>
    <n v="129.1"/>
    <n v="129.1"/>
    <s v="Y"/>
    <x v="1"/>
    <n v="13"/>
    <n v="1"/>
    <x v="0"/>
  </r>
  <r>
    <n v="1040"/>
    <x v="547"/>
    <s v="Kimberly Adkins"/>
    <n v="77"/>
    <x v="4"/>
    <x v="1"/>
    <d v="2025-12-15T00:00:00"/>
    <d v="2024-08-19T00:00:00"/>
    <s v="Tamara Rivera"/>
    <x v="545"/>
    <s v="Cardiology"/>
    <x v="0"/>
    <m/>
    <s v="N/A"/>
    <s v=""/>
    <s v="N/A"/>
    <n v="0"/>
    <x v="0"/>
    <n v="13"/>
    <n v="1"/>
    <x v="0"/>
  </r>
  <r>
    <n v="1092"/>
    <x v="548"/>
    <s v="Tracie Jefferson"/>
    <n v="74"/>
    <x v="0"/>
    <x v="0"/>
    <d v="2025-07-24T00:00:00"/>
    <d v="2025-04-24T00:00:00"/>
    <s v="Margaret Robinson"/>
    <x v="546"/>
    <s v="General"/>
    <x v="3"/>
    <s v="$153.53"/>
    <s v="USD"/>
    <n v="153.53"/>
    <n v="153.53"/>
    <s v="Y"/>
    <x v="1"/>
    <n v="11"/>
    <n v="1"/>
    <x v="0"/>
  </r>
  <r>
    <n v="1010"/>
    <x v="549"/>
    <s v="Aaron Young"/>
    <n v="60"/>
    <x v="2"/>
    <x v="1"/>
    <d v="2026-01-26T00:00:00"/>
    <d v="2024-05-09T00:00:00"/>
    <s v="Wendy Cochran"/>
    <x v="547"/>
    <s v="Cardiology"/>
    <x v="0"/>
    <s v="Rs222.33"/>
    <s v="INR"/>
    <n v="222.33"/>
    <n v="2.6679600000000003"/>
    <n v="1"/>
    <x v="0"/>
    <n v="10"/>
    <n v="1"/>
    <x v="1"/>
  </r>
  <r>
    <n v="1032"/>
    <x v="550"/>
    <s v="Terry Dennis"/>
    <n v="28"/>
    <x v="2"/>
    <x v="1"/>
    <d v="2025-07-14T00:00:00"/>
    <d v="2024-08-16T00:00:00"/>
    <s v="Kelsey Scott"/>
    <x v="548"/>
    <s v="Neurology"/>
    <x v="2"/>
    <s v="Rs403.78"/>
    <s v="INR"/>
    <n v="403.78"/>
    <n v="4.8453599999999994"/>
    <s v="Yes"/>
    <x v="1"/>
    <n v="7"/>
    <n v="1"/>
    <x v="2"/>
  </r>
  <r>
    <n v="1020"/>
    <x v="551"/>
    <s v="Michael Newman MD"/>
    <n v="45"/>
    <x v="1"/>
    <x v="0"/>
    <d v="2025-11-29T00:00:00"/>
    <d v="2025-08-31T00:00:00"/>
    <s v="Ronald Santos"/>
    <x v="549"/>
    <s v="General"/>
    <x v="3"/>
    <s v="$343.21"/>
    <s v="USD"/>
    <n v="343.21"/>
    <n v="343.21"/>
    <n v="0"/>
    <x v="0"/>
    <n v="10"/>
    <n v="1"/>
    <x v="1"/>
  </r>
  <r>
    <n v="1020"/>
    <x v="552"/>
    <s v="Kristin Terry"/>
    <n v="50"/>
    <x v="2"/>
    <x v="1"/>
    <d v="2025-08-18T00:00:00"/>
    <d v="2025-05-17T00:00:00"/>
    <s v="Michael Brown"/>
    <x v="550"/>
    <s v="Neurology"/>
    <x v="2"/>
    <s v="¬£67.97"/>
    <s v="GBP"/>
    <n v="67.97"/>
    <n v="86.321899999999999"/>
    <n v="1"/>
    <x v="0"/>
    <n v="10"/>
    <n v="1"/>
    <x v="1"/>
  </r>
  <r>
    <n v="1017"/>
    <x v="553"/>
    <s v="Nicole Green"/>
    <n v="55"/>
    <x v="4"/>
    <x v="1"/>
    <d v="2025-07-18T00:00:00"/>
    <d v="2024-07-06T00:00:00"/>
    <s v="Charles Owens"/>
    <x v="551"/>
    <s v="General"/>
    <x v="3"/>
    <s v="Rs365.21"/>
    <s v="INR"/>
    <n v="365.21"/>
    <n v="4.3825199999999995"/>
    <s v="No"/>
    <x v="2"/>
    <n v="8"/>
    <n v="1"/>
    <x v="1"/>
  </r>
  <r>
    <n v="1007"/>
    <x v="554"/>
    <s v="Tina Cook"/>
    <n v="25"/>
    <x v="0"/>
    <x v="0"/>
    <d v="2025-12-05T00:00:00"/>
    <d v="2024-09-28T00:00:00"/>
    <s v="Paul Allen"/>
    <x v="552"/>
    <s v="Neurology"/>
    <x v="2"/>
    <s v="¬£269.53"/>
    <s v="GBP"/>
    <n v="269.52999999999997"/>
    <n v="342.30309999999997"/>
    <n v="1"/>
    <x v="0"/>
    <n v="3"/>
    <n v="1"/>
    <x v="2"/>
  </r>
  <r>
    <n v="1084"/>
    <x v="555"/>
    <s v="Robin Donovan"/>
    <n v="69"/>
    <x v="2"/>
    <x v="1"/>
    <d v="2025-03-27T00:00:00"/>
    <d v="2024-08-04T00:00:00"/>
    <s v="Brian Brown"/>
    <x v="553"/>
    <s v="General"/>
    <x v="3"/>
    <s v="$163.58"/>
    <s v="USD"/>
    <n v="163.58000000000001"/>
    <n v="163.58000000000001"/>
    <s v="N"/>
    <x v="2"/>
    <n v="15"/>
    <n v="1"/>
    <x v="0"/>
  </r>
  <r>
    <n v="1005"/>
    <x v="556"/>
    <s v="Bryan Meyers"/>
    <n v="84"/>
    <x v="0"/>
    <x v="0"/>
    <d v="2026-01-05T00:00:00"/>
    <d v="2025-07-11T00:00:00"/>
    <s v="Michael Trevino"/>
    <x v="554"/>
    <s v="Cardiology"/>
    <x v="0"/>
    <s v="Rs499.36"/>
    <s v="INR"/>
    <n v="499.36"/>
    <n v="5.9923200000000003"/>
    <s v="N"/>
    <x v="2"/>
    <n v="13"/>
    <n v="1"/>
    <x v="0"/>
  </r>
  <r>
    <n v="1011"/>
    <x v="557"/>
    <s v="Deanna Manning"/>
    <n v="50"/>
    <x v="0"/>
    <x v="0"/>
    <d v="2025-11-14T00:00:00"/>
    <d v="2025-09-14T00:00:00"/>
    <s v="Austin Stout"/>
    <x v="555"/>
    <s v="Cardiology"/>
    <x v="0"/>
    <s v="Rs101.37"/>
    <s v="INR"/>
    <n v="101.37"/>
    <n v="1.2164400000000002"/>
    <n v="0"/>
    <x v="0"/>
    <n v="7"/>
    <n v="1"/>
    <x v="1"/>
  </r>
  <r>
    <n v="1085"/>
    <x v="558"/>
    <s v="Linda Miller"/>
    <n v="28"/>
    <x v="0"/>
    <x v="0"/>
    <d v="2026-03-08T00:00:00"/>
    <d v="2024-12-08T00:00:00"/>
    <s v="Patricia White"/>
    <x v="556"/>
    <s v="Orthopedics"/>
    <x v="1"/>
    <m/>
    <s v="N/A"/>
    <s v=""/>
    <s v="N/A"/>
    <n v="0"/>
    <x v="0"/>
    <n v="12"/>
    <n v="1"/>
    <x v="2"/>
  </r>
  <r>
    <n v="1005"/>
    <x v="559"/>
    <s v="Kathryn Bell"/>
    <n v="24"/>
    <x v="0"/>
    <x v="0"/>
    <d v="2025-06-13T00:00:00"/>
    <d v="2024-06-06T00:00:00"/>
    <s v="Andre Carter"/>
    <x v="557"/>
    <s v="Cardiology"/>
    <x v="0"/>
    <s v="¬£442.72"/>
    <s v="GBP"/>
    <n v="442.72"/>
    <n v="562.25440000000003"/>
    <s v="N"/>
    <x v="2"/>
    <n v="13"/>
    <n v="1"/>
    <x v="2"/>
  </r>
  <r>
    <n v="1079"/>
    <x v="560"/>
    <s v="Patrick Ewing"/>
    <n v="52"/>
    <x v="2"/>
    <x v="1"/>
    <d v="2025-11-16T00:00:00"/>
    <d v="2025-03-24T00:00:00"/>
    <s v="Alexander Jackson"/>
    <x v="558"/>
    <s v="Cardiology"/>
    <x v="0"/>
    <s v="¬£224.89"/>
    <s v="GBP"/>
    <n v="224.89"/>
    <n v="285.6103"/>
    <n v="0"/>
    <x v="0"/>
    <n v="4"/>
    <n v="1"/>
    <x v="1"/>
  </r>
  <r>
    <n v="1090"/>
    <x v="561"/>
    <s v="Steven Henderson"/>
    <n v="53"/>
    <x v="3"/>
    <x v="2"/>
    <d v="2026-02-15T00:00:00"/>
    <d v="2025-04-27T00:00:00"/>
    <s v="Nicole Martinez"/>
    <x v="559"/>
    <s v="Orthopedics"/>
    <x v="1"/>
    <s v="Rs163.4"/>
    <s v="INR"/>
    <n v="163.4"/>
    <n v="1.9608000000000001"/>
    <s v="Y"/>
    <x v="1"/>
    <n v="8"/>
    <n v="1"/>
    <x v="1"/>
  </r>
  <r>
    <n v="1068"/>
    <x v="562"/>
    <s v="Michael Marquez"/>
    <n v="59"/>
    <x v="3"/>
    <x v="2"/>
    <d v="2025-07-28T00:00:00"/>
    <d v="2024-07-19T00:00:00"/>
    <s v="Mr. Curtis Ortiz"/>
    <x v="560"/>
    <s v="Cardiology"/>
    <x v="0"/>
    <s v="‚Ç¨202.98"/>
    <s v="EUR"/>
    <n v="202.98"/>
    <n v="221.2482"/>
    <s v="N"/>
    <x v="2"/>
    <n v="14"/>
    <n v="1"/>
    <x v="1"/>
  </r>
  <r>
    <n v="1047"/>
    <x v="563"/>
    <s v="Brittany Thompson"/>
    <n v="31"/>
    <x v="0"/>
    <x v="0"/>
    <d v="2025-04-05T00:00:00"/>
    <d v="2024-05-08T00:00:00"/>
    <s v="Wendy Davis"/>
    <x v="561"/>
    <s v="Cardiology"/>
    <x v="0"/>
    <s v="Rs257.1"/>
    <s v="INR"/>
    <n v="257.10000000000002"/>
    <n v="3.0852000000000004"/>
    <s v="N"/>
    <x v="2"/>
    <n v="17"/>
    <n v="1"/>
    <x v="2"/>
  </r>
  <r>
    <n v="1009"/>
    <x v="564"/>
    <s v="Tracy Perez"/>
    <n v="74"/>
    <x v="4"/>
    <x v="1"/>
    <d v="2026-03-19T00:00:00"/>
    <d v="2025-11-26T00:00:00"/>
    <s v="Lauren Rosario"/>
    <x v="562"/>
    <s v="Cardiology"/>
    <x v="0"/>
    <s v="‚Ç¨466.87"/>
    <s v="EUR"/>
    <n v="466.87"/>
    <n v="508.88830000000002"/>
    <s v="No"/>
    <x v="2"/>
    <n v="9"/>
    <n v="1"/>
    <x v="0"/>
  </r>
  <r>
    <n v="1084"/>
    <x v="565"/>
    <s v="Morgan Torres"/>
    <n v="83"/>
    <x v="2"/>
    <x v="1"/>
    <d v="2026-02-02T00:00:00"/>
    <d v="2025-07-29T00:00:00"/>
    <s v="April Lyons"/>
    <x v="563"/>
    <s v="General"/>
    <x v="3"/>
    <m/>
    <s v="N/A"/>
    <s v=""/>
    <s v="N/A"/>
    <n v="0"/>
    <x v="0"/>
    <n v="15"/>
    <n v="1"/>
    <x v="0"/>
  </r>
  <r>
    <n v="1016"/>
    <x v="566"/>
    <s v="Jessica Price"/>
    <n v="31"/>
    <x v="3"/>
    <x v="2"/>
    <d v="2025-10-27T00:00:00"/>
    <d v="2025-03-12T00:00:00"/>
    <s v="Justin Rice"/>
    <x v="564"/>
    <s v="Orthopedics"/>
    <x v="1"/>
    <s v="‚Ç¨490.78"/>
    <s v="EUR"/>
    <n v="490.78"/>
    <n v="534.9502"/>
    <s v="Y"/>
    <x v="1"/>
    <n v="15"/>
    <n v="1"/>
    <x v="2"/>
  </r>
  <r>
    <n v="1068"/>
    <x v="567"/>
    <s v="Kayla Williams"/>
    <n v="63"/>
    <x v="4"/>
    <x v="1"/>
    <d v="2025-10-02T00:00:00"/>
    <d v="2024-06-06T00:00:00"/>
    <s v="Aaron Cooper"/>
    <x v="565"/>
    <s v="General"/>
    <x v="3"/>
    <s v="Rs217.86"/>
    <s v="INR"/>
    <n v="217.86"/>
    <n v="2.6143200000000002"/>
    <s v="N"/>
    <x v="2"/>
    <n v="14"/>
    <n v="1"/>
    <x v="1"/>
  </r>
  <r>
    <n v="1048"/>
    <x v="568"/>
    <s v="Victoria Young"/>
    <n v="47"/>
    <x v="1"/>
    <x v="0"/>
    <d v="2025-08-06T00:00:00"/>
    <d v="2025-07-21T00:00:00"/>
    <s v="Lauren Whitaker"/>
    <x v="566"/>
    <s v="Neurology"/>
    <x v="2"/>
    <s v="$174.04"/>
    <s v="USD"/>
    <n v="174.04"/>
    <n v="174.04"/>
    <s v="Yes"/>
    <x v="1"/>
    <n v="8"/>
    <n v="1"/>
    <x v="1"/>
  </r>
  <r>
    <n v="1080"/>
    <x v="569"/>
    <s v="Roger Hatfield"/>
    <n v="52"/>
    <x v="2"/>
    <x v="1"/>
    <d v="2025-08-12T00:00:00"/>
    <d v="2025-01-22T00:00:00"/>
    <s v="Victoria Lopez"/>
    <x v="567"/>
    <s v="Orthopedics"/>
    <x v="1"/>
    <s v="‚Ç¨196.21"/>
    <s v="EUR"/>
    <n v="196.21"/>
    <n v="213.86890000000002"/>
    <s v="No"/>
    <x v="2"/>
    <n v="11"/>
    <n v="1"/>
    <x v="1"/>
  </r>
  <r>
    <n v="1030"/>
    <x v="570"/>
    <s v="Robert Lewis"/>
    <n v="66"/>
    <x v="0"/>
    <x v="0"/>
    <d v="2025-10-23T00:00:00"/>
    <d v="2024-05-25T00:00:00"/>
    <s v="Samantha Cameron"/>
    <x v="568"/>
    <s v="Cardiology"/>
    <x v="0"/>
    <s v="Rs490.08"/>
    <s v="INR"/>
    <n v="490.08"/>
    <n v="5.88096"/>
    <s v="Y"/>
    <x v="1"/>
    <n v="11"/>
    <n v="1"/>
    <x v="0"/>
  </r>
  <r>
    <n v="1003"/>
    <x v="571"/>
    <s v="Jeremiah Perez"/>
    <n v="48"/>
    <x v="4"/>
    <x v="1"/>
    <d v="2025-07-25T00:00:00"/>
    <d v="2025-01-14T00:00:00"/>
    <s v="Michael Black"/>
    <x v="569"/>
    <s v="Orthopedics"/>
    <x v="1"/>
    <s v="$91.94"/>
    <s v="USD"/>
    <n v="91.94"/>
    <n v="91.94"/>
    <s v="N"/>
    <x v="2"/>
    <n v="12"/>
    <n v="1"/>
    <x v="1"/>
  </r>
  <r>
    <n v="1047"/>
    <x v="572"/>
    <s v="Haley Mcintosh"/>
    <n v="74"/>
    <x v="3"/>
    <x v="2"/>
    <d v="2025-10-19T00:00:00"/>
    <d v="2024-08-07T00:00:00"/>
    <s v="Amanda Boyd"/>
    <x v="570"/>
    <s v="Orthopedics"/>
    <x v="1"/>
    <s v="‚Ç¨484.82"/>
    <s v="EUR"/>
    <n v="484.82"/>
    <n v="528.4538"/>
    <n v="1"/>
    <x v="0"/>
    <n v="17"/>
    <n v="1"/>
    <x v="0"/>
  </r>
  <r>
    <n v="1075"/>
    <x v="573"/>
    <s v="Kathy Rhodes"/>
    <n v="72"/>
    <x v="3"/>
    <x v="2"/>
    <d v="2025-06-16T00:00:00"/>
    <d v="2024-08-23T00:00:00"/>
    <s v="Rachel Bright"/>
    <x v="571"/>
    <s v="Neurology"/>
    <x v="2"/>
    <s v="$175.26"/>
    <s v="USD"/>
    <n v="175.26"/>
    <n v="175.26"/>
    <n v="1"/>
    <x v="0"/>
    <n v="11"/>
    <n v="1"/>
    <x v="0"/>
  </r>
  <r>
    <n v="1072"/>
    <x v="574"/>
    <s v="Louis Craig"/>
    <n v="49"/>
    <x v="3"/>
    <x v="2"/>
    <d v="2025-04-13T00:00:00"/>
    <d v="2024-10-05T00:00:00"/>
    <s v="Rachel Wood"/>
    <x v="572"/>
    <s v="Orthopedics"/>
    <x v="1"/>
    <s v="Rs484.93"/>
    <s v="INR"/>
    <n v="484.93"/>
    <n v="5.8191600000000001"/>
    <s v="N"/>
    <x v="2"/>
    <n v="9"/>
    <n v="1"/>
    <x v="1"/>
  </r>
  <r>
    <n v="1001"/>
    <x v="575"/>
    <s v="Jenny Black"/>
    <n v="33"/>
    <x v="1"/>
    <x v="0"/>
    <d v="2025-11-14T00:00:00"/>
    <d v="2025-09-06T00:00:00"/>
    <s v="Jamie Nunez"/>
    <x v="573"/>
    <s v="Neurology"/>
    <x v="2"/>
    <s v="$381.93"/>
    <s v="USD"/>
    <n v="381.93"/>
    <n v="381.93"/>
    <s v="No"/>
    <x v="2"/>
    <n v="12"/>
    <n v="1"/>
    <x v="2"/>
  </r>
  <r>
    <n v="1009"/>
    <x v="576"/>
    <s v="Sarah Davis"/>
    <n v="61"/>
    <x v="3"/>
    <x v="2"/>
    <d v="2026-01-01T00:00:00"/>
    <d v="2025-08-14T00:00:00"/>
    <s v="Rebecca Thompson"/>
    <x v="574"/>
    <s v="General"/>
    <x v="3"/>
    <s v="Rs402.6"/>
    <s v="INR"/>
    <n v="402.6"/>
    <n v="4.8311999999999999"/>
    <s v="N"/>
    <x v="2"/>
    <n v="9"/>
    <n v="1"/>
    <x v="1"/>
  </r>
  <r>
    <n v="1016"/>
    <x v="577"/>
    <s v="Heidi Sosa"/>
    <n v="29"/>
    <x v="4"/>
    <x v="1"/>
    <d v="2025-11-10T00:00:00"/>
    <d v="2025-05-17T00:00:00"/>
    <s v="Nancy Wilson"/>
    <x v="575"/>
    <s v="Cardiology"/>
    <x v="0"/>
    <s v="Rs241.81"/>
    <s v="INR"/>
    <n v="241.81"/>
    <n v="2.9017200000000001"/>
    <s v="Y"/>
    <x v="1"/>
    <n v="15"/>
    <n v="1"/>
    <x v="2"/>
  </r>
  <r>
    <n v="1092"/>
    <x v="578"/>
    <s v="Dalton Rodriguez"/>
    <n v="54"/>
    <x v="3"/>
    <x v="2"/>
    <d v="2025-08-01T00:00:00"/>
    <d v="2024-05-07T00:00:00"/>
    <s v="Erica Sanchez"/>
    <x v="576"/>
    <s v="General"/>
    <x v="3"/>
    <s v="Rs467.2"/>
    <s v="INR"/>
    <n v="467.2"/>
    <n v="5.6063999999999998"/>
    <n v="1"/>
    <x v="0"/>
    <n v="11"/>
    <n v="1"/>
    <x v="1"/>
  </r>
  <r>
    <n v="1001"/>
    <x v="579"/>
    <s v="Jacqueline West"/>
    <n v="70"/>
    <x v="4"/>
    <x v="1"/>
    <d v="2026-01-19T00:00:00"/>
    <d v="2025-01-17T00:00:00"/>
    <s v="Steven Walker"/>
    <x v="577"/>
    <s v="General"/>
    <x v="3"/>
    <s v="¬£148.74"/>
    <s v="GBP"/>
    <n v="148.74"/>
    <n v="188.89980000000003"/>
    <s v="Y"/>
    <x v="1"/>
    <n v="12"/>
    <n v="1"/>
    <x v="0"/>
  </r>
  <r>
    <n v="1063"/>
    <x v="580"/>
    <s v="Sherri Barry"/>
    <n v="48"/>
    <x v="4"/>
    <x v="1"/>
    <d v="2025-08-29T00:00:00"/>
    <d v="2024-04-15T00:00:00"/>
    <s v="Janet Schultz"/>
    <x v="578"/>
    <s v="Neurology"/>
    <x v="2"/>
    <s v="¬£109.72"/>
    <s v="GBP"/>
    <n v="109.72"/>
    <n v="139.34440000000001"/>
    <s v="No"/>
    <x v="2"/>
    <n v="11"/>
    <n v="1"/>
    <x v="1"/>
  </r>
  <r>
    <n v="1061"/>
    <x v="581"/>
    <s v="Lydia Russell"/>
    <n v="67"/>
    <x v="2"/>
    <x v="1"/>
    <d v="2025-11-16T00:00:00"/>
    <d v="2024-12-31T00:00:00"/>
    <s v="Matthew Clark"/>
    <x v="579"/>
    <s v="General"/>
    <x v="3"/>
    <s v="¬£477.53"/>
    <s v="GBP"/>
    <n v="477.53"/>
    <n v="606.46309999999994"/>
    <n v="1"/>
    <x v="0"/>
    <n v="8"/>
    <n v="1"/>
    <x v="0"/>
  </r>
  <r>
    <n v="1036"/>
    <x v="582"/>
    <s v="Alexander Hammond"/>
    <n v="41"/>
    <x v="4"/>
    <x v="1"/>
    <d v="2025-06-29T00:00:00"/>
    <d v="2024-09-21T00:00:00"/>
    <s v="Tara Moore"/>
    <x v="580"/>
    <s v="Cardiology"/>
    <x v="0"/>
    <s v="‚Ç¨286.71"/>
    <s v="EUR"/>
    <n v="286.70999999999998"/>
    <n v="312.51389999999998"/>
    <s v="N"/>
    <x v="2"/>
    <n v="14"/>
    <n v="1"/>
    <x v="1"/>
  </r>
  <r>
    <n v="1015"/>
    <x v="583"/>
    <s v="Nichole Anderson"/>
    <n v="87"/>
    <x v="3"/>
    <x v="2"/>
    <d v="2025-05-10T00:00:00"/>
    <d v="2025-02-06T00:00:00"/>
    <s v="Richard Vega"/>
    <x v="581"/>
    <s v="Cardiology"/>
    <x v="0"/>
    <s v="¬£316.89"/>
    <s v="GBP"/>
    <n v="316.89"/>
    <n v="402.45029999999997"/>
    <s v="Yes"/>
    <x v="1"/>
    <n v="17"/>
    <n v="1"/>
    <x v="0"/>
  </r>
  <r>
    <n v="1069"/>
    <x v="584"/>
    <s v="Jacqueline Peters"/>
    <n v="40"/>
    <x v="3"/>
    <x v="2"/>
    <d v="2025-12-09T00:00:00"/>
    <d v="2025-10-11T00:00:00"/>
    <s v="Adam Jensen"/>
    <x v="582"/>
    <s v="General"/>
    <x v="3"/>
    <s v="‚Ç¨266.74"/>
    <s v="EUR"/>
    <n v="266.74"/>
    <n v="290.74660000000006"/>
    <s v="Yes"/>
    <x v="1"/>
    <n v="10"/>
    <n v="1"/>
    <x v="1"/>
  </r>
  <r>
    <n v="1029"/>
    <x v="585"/>
    <s v="Kelly Hodge"/>
    <n v="55"/>
    <x v="4"/>
    <x v="1"/>
    <d v="2025-10-15T00:00:00"/>
    <d v="2025-05-28T00:00:00"/>
    <s v="Terry Jones"/>
    <x v="583"/>
    <s v="Orthopedics"/>
    <x v="1"/>
    <s v="¬£175.09"/>
    <s v="GBP"/>
    <n v="175.09"/>
    <n v="222.36430000000001"/>
    <s v="No"/>
    <x v="2"/>
    <n v="8"/>
    <n v="1"/>
    <x v="1"/>
  </r>
  <r>
    <n v="1037"/>
    <x v="586"/>
    <s v="Brandi Boyd"/>
    <n v="90"/>
    <x v="3"/>
    <x v="2"/>
    <d v="2025-12-08T00:00:00"/>
    <d v="2024-08-06T00:00:00"/>
    <s v="Mary Jacobson"/>
    <x v="584"/>
    <s v="Cardiology"/>
    <x v="0"/>
    <s v="Rs96.2"/>
    <s v="INR"/>
    <n v="96.2"/>
    <n v="1.1544000000000001"/>
    <s v="N"/>
    <x v="2"/>
    <n v="5"/>
    <n v="1"/>
    <x v="0"/>
  </r>
  <r>
    <n v="1071"/>
    <x v="587"/>
    <s v="David Jones"/>
    <n v="25"/>
    <x v="0"/>
    <x v="0"/>
    <d v="2026-02-24T00:00:00"/>
    <d v="2025-11-21T00:00:00"/>
    <s v="Dakota Fleming"/>
    <x v="585"/>
    <s v="General"/>
    <x v="3"/>
    <s v="Rs443.12"/>
    <s v="INR"/>
    <n v="443.12"/>
    <n v="5.3174400000000004"/>
    <n v="0"/>
    <x v="0"/>
    <n v="10"/>
    <n v="1"/>
    <x v="2"/>
  </r>
  <r>
    <n v="1023"/>
    <x v="588"/>
    <s v="Zachary Lewis"/>
    <n v="46"/>
    <x v="0"/>
    <x v="0"/>
    <d v="2026-02-07T00:00:00"/>
    <d v="2024-12-19T00:00:00"/>
    <s v="Gary Washington"/>
    <x v="586"/>
    <s v="Neurology"/>
    <x v="2"/>
    <s v="$351.94"/>
    <s v="USD"/>
    <n v="351.94"/>
    <n v="351.94"/>
    <n v="1"/>
    <x v="0"/>
    <n v="4"/>
    <n v="1"/>
    <x v="1"/>
  </r>
  <r>
    <n v="1074"/>
    <x v="589"/>
    <s v="Andrea Anderson"/>
    <n v="75"/>
    <x v="3"/>
    <x v="2"/>
    <d v="2025-08-15T00:00:00"/>
    <d v="2024-06-16T00:00:00"/>
    <s v="Mary Burgess"/>
    <x v="587"/>
    <s v="Neurology"/>
    <x v="2"/>
    <s v="$59.55"/>
    <s v="USD"/>
    <n v="59.55"/>
    <n v="59.55"/>
    <s v="Y"/>
    <x v="1"/>
    <n v="17"/>
    <n v="1"/>
    <x v="0"/>
  </r>
  <r>
    <n v="1039"/>
    <x v="590"/>
    <s v="Shawn Castillo"/>
    <n v="68"/>
    <x v="4"/>
    <x v="1"/>
    <d v="2025-05-02T00:00:00"/>
    <d v="2025-02-15T00:00:00"/>
    <s v="Jennifer Carroll"/>
    <x v="532"/>
    <s v="Orthopedics"/>
    <x v="1"/>
    <s v="¬£339.57"/>
    <s v="GBP"/>
    <n v="339.57"/>
    <n v="431.25389999999999"/>
    <s v="No"/>
    <x v="2"/>
    <n v="8"/>
    <n v="1"/>
    <x v="0"/>
  </r>
  <r>
    <n v="1071"/>
    <x v="591"/>
    <s v="Jerry Holmes"/>
    <n v="88"/>
    <x v="2"/>
    <x v="1"/>
    <d v="2025-12-05T00:00:00"/>
    <d v="2024-08-02T00:00:00"/>
    <s v="Kim Daniels"/>
    <x v="588"/>
    <s v="Neurology"/>
    <x v="2"/>
    <s v="Rs344.57"/>
    <s v="INR"/>
    <n v="344.57"/>
    <n v="4.1348399999999996"/>
    <s v="Y"/>
    <x v="1"/>
    <n v="10"/>
    <n v="1"/>
    <x v="0"/>
  </r>
  <r>
    <n v="1039"/>
    <x v="592"/>
    <s v="Kimberly Diaz"/>
    <n v="47"/>
    <x v="1"/>
    <x v="0"/>
    <d v="2025-06-19T00:00:00"/>
    <d v="2024-05-07T00:00:00"/>
    <s v="David Guzman"/>
    <x v="589"/>
    <s v="Orthopedics"/>
    <x v="1"/>
    <s v="$197.72"/>
    <s v="USD"/>
    <n v="197.72"/>
    <n v="197.72"/>
    <s v="Y"/>
    <x v="1"/>
    <n v="8"/>
    <n v="1"/>
    <x v="1"/>
  </r>
  <r>
    <n v="1082"/>
    <x v="593"/>
    <s v="Katherine Olson"/>
    <n v="57"/>
    <x v="3"/>
    <x v="2"/>
    <d v="2025-11-04T00:00:00"/>
    <d v="2025-03-21T00:00:00"/>
    <s v="Larry Roberts"/>
    <x v="590"/>
    <s v="Cardiology"/>
    <x v="0"/>
    <s v="¬£202.68"/>
    <s v="GBP"/>
    <n v="202.68"/>
    <n v="257.40360000000004"/>
    <n v="0"/>
    <x v="0"/>
    <n v="14"/>
    <n v="1"/>
    <x v="1"/>
  </r>
  <r>
    <n v="1084"/>
    <x v="594"/>
    <s v="Nathaniel White"/>
    <n v="71"/>
    <x v="2"/>
    <x v="1"/>
    <d v="2025-04-20T00:00:00"/>
    <d v="2024-07-31T00:00:00"/>
    <s v="Andrew Clark"/>
    <x v="591"/>
    <s v="Cardiology"/>
    <x v="0"/>
    <s v="$95.4"/>
    <s v="USD"/>
    <n v="95.4"/>
    <n v="95.4"/>
    <s v="N"/>
    <x v="2"/>
    <n v="15"/>
    <n v="1"/>
    <x v="0"/>
  </r>
  <r>
    <n v="1089"/>
    <x v="595"/>
    <s v="Robert Garcia"/>
    <n v="68"/>
    <x v="0"/>
    <x v="0"/>
    <d v="2025-04-03T00:00:00"/>
    <d v="2024-08-06T00:00:00"/>
    <s v="Eric Lewis"/>
    <x v="592"/>
    <s v="Orthopedics"/>
    <x v="1"/>
    <s v="‚Ç¨245.84"/>
    <s v="EUR"/>
    <n v="245.84"/>
    <n v="267.96560000000005"/>
    <n v="0"/>
    <x v="0"/>
    <n v="16"/>
    <n v="1"/>
    <x v="0"/>
  </r>
  <r>
    <n v="1031"/>
    <x v="596"/>
    <s v="John Gonzalez"/>
    <n v="44"/>
    <x v="2"/>
    <x v="1"/>
    <d v="2026-01-19T00:00:00"/>
    <d v="2024-06-14T00:00:00"/>
    <s v="Richard Medina"/>
    <x v="593"/>
    <s v="Orthopedics"/>
    <x v="1"/>
    <s v="‚Ç¨284.66"/>
    <s v="EUR"/>
    <n v="284.66000000000003"/>
    <n v="310.27940000000007"/>
    <s v="N"/>
    <x v="2"/>
    <n v="13"/>
    <n v="1"/>
    <x v="1"/>
  </r>
  <r>
    <n v="1053"/>
    <x v="597"/>
    <s v="Peter Pierce"/>
    <n v="70"/>
    <x v="4"/>
    <x v="1"/>
    <d v="2025-12-21T00:00:00"/>
    <d v="2025-08-07T00:00:00"/>
    <s v="Deborah Snyder"/>
    <x v="594"/>
    <s v="Neurology"/>
    <x v="2"/>
    <s v="Rs389.49"/>
    <s v="INR"/>
    <n v="389.49"/>
    <n v="4.6738800000000005"/>
    <s v="No"/>
    <x v="2"/>
    <n v="14"/>
    <n v="1"/>
    <x v="0"/>
  </r>
  <r>
    <n v="1048"/>
    <x v="598"/>
    <s v="Elizabeth Russo"/>
    <n v="67"/>
    <x v="4"/>
    <x v="1"/>
    <d v="2025-07-03T00:00:00"/>
    <d v="2024-07-30T00:00:00"/>
    <s v="Connie Martinez"/>
    <x v="595"/>
    <s v="Neurology"/>
    <x v="2"/>
    <m/>
    <s v="N/A"/>
    <s v=""/>
    <s v="N/A"/>
    <s v="Yes"/>
    <x v="1"/>
    <n v="8"/>
    <n v="1"/>
    <x v="0"/>
  </r>
  <r>
    <n v="1075"/>
    <x v="599"/>
    <s v="Jacqueline Collins"/>
    <n v="67"/>
    <x v="0"/>
    <x v="0"/>
    <d v="2025-06-12T00:00:00"/>
    <d v="2025-05-18T00:00:00"/>
    <s v="Paul Parker"/>
    <x v="596"/>
    <s v="Neurology"/>
    <x v="2"/>
    <s v="$161.5"/>
    <s v="USD"/>
    <n v="161.5"/>
    <n v="161.5"/>
    <s v="No"/>
    <x v="2"/>
    <n v="11"/>
    <n v="1"/>
    <x v="0"/>
  </r>
  <r>
    <n v="1033"/>
    <x v="600"/>
    <s v="Mckenzie Mccarty"/>
    <n v="38"/>
    <x v="3"/>
    <x v="2"/>
    <d v="2025-05-19T00:00:00"/>
    <d v="2024-07-20T00:00:00"/>
    <s v="Larry Smith"/>
    <x v="597"/>
    <s v="Orthopedics"/>
    <x v="1"/>
    <s v="¬£68.36"/>
    <s v="GBP"/>
    <n v="68.36"/>
    <n v="86.8172"/>
    <n v="0"/>
    <x v="0"/>
    <n v="11"/>
    <n v="1"/>
    <x v="2"/>
  </r>
  <r>
    <n v="1054"/>
    <x v="601"/>
    <s v="Samuel Thomas"/>
    <n v="82"/>
    <x v="4"/>
    <x v="1"/>
    <d v="2025-06-16T00:00:00"/>
    <d v="2024-04-01T00:00:00"/>
    <s v="Donna Johnson"/>
    <x v="598"/>
    <s v="General"/>
    <x v="3"/>
    <s v="¬£332.15"/>
    <s v="GBP"/>
    <n v="332.15"/>
    <n v="421.83049999999997"/>
    <s v="Yes"/>
    <x v="1"/>
    <n v="12"/>
    <n v="1"/>
    <x v="0"/>
  </r>
  <r>
    <n v="1020"/>
    <x v="602"/>
    <s v="Robert Williams"/>
    <n v="53"/>
    <x v="4"/>
    <x v="1"/>
    <d v="2025-07-24T00:00:00"/>
    <d v="2025-02-03T00:00:00"/>
    <s v="Jessica Chandler"/>
    <x v="599"/>
    <s v="Neurology"/>
    <x v="2"/>
    <s v="¬£294.14"/>
    <s v="GBP"/>
    <n v="294.14"/>
    <n v="373.55779999999999"/>
    <s v="Y"/>
    <x v="1"/>
    <n v="10"/>
    <n v="1"/>
    <x v="1"/>
  </r>
  <r>
    <n v="1006"/>
    <x v="603"/>
    <s v="Brent Thompson"/>
    <n v="33"/>
    <x v="3"/>
    <x v="2"/>
    <d v="2025-05-03T00:00:00"/>
    <d v="2024-11-23T00:00:00"/>
    <s v="Pamela Cunningham"/>
    <x v="600"/>
    <s v="Orthopedics"/>
    <x v="1"/>
    <s v="‚Ç¨202.54"/>
    <s v="EUR"/>
    <n v="202.54"/>
    <n v="220.76860000000002"/>
    <n v="0"/>
    <x v="0"/>
    <n v="8"/>
    <n v="1"/>
    <x v="2"/>
  </r>
  <r>
    <n v="1100"/>
    <x v="604"/>
    <s v="Ms. Kristen Johnson"/>
    <n v="60"/>
    <x v="4"/>
    <x v="1"/>
    <d v="2026-02-15T00:00:00"/>
    <d v="2024-04-14T00:00:00"/>
    <s v="Susan Griffin"/>
    <x v="601"/>
    <s v="Neurology"/>
    <x v="2"/>
    <s v="Rs455.57"/>
    <s v="INR"/>
    <n v="455.57"/>
    <n v="5.4668400000000004"/>
    <s v="Y"/>
    <x v="1"/>
    <n v="8"/>
    <n v="1"/>
    <x v="1"/>
  </r>
  <r>
    <n v="1061"/>
    <x v="605"/>
    <s v="Darlene Clark"/>
    <n v="65"/>
    <x v="4"/>
    <x v="1"/>
    <d v="2025-11-09T00:00:00"/>
    <d v="2024-11-16T00:00:00"/>
    <s v="Thomas Williams"/>
    <x v="602"/>
    <s v="Neurology"/>
    <x v="2"/>
    <s v="¬£378.58"/>
    <s v="GBP"/>
    <n v="378.58"/>
    <n v="480.79660000000001"/>
    <s v="N"/>
    <x v="2"/>
    <n v="8"/>
    <n v="1"/>
    <x v="0"/>
  </r>
  <r>
    <n v="1040"/>
    <x v="606"/>
    <s v="Jessica Williams"/>
    <n v="49"/>
    <x v="1"/>
    <x v="0"/>
    <d v="2025-06-21T00:00:00"/>
    <d v="2024-10-08T00:00:00"/>
    <s v="Corey King"/>
    <x v="603"/>
    <s v="General"/>
    <x v="3"/>
    <s v="¬£110.44"/>
    <s v="GBP"/>
    <n v="110.44"/>
    <n v="140.25880000000001"/>
    <s v="N"/>
    <x v="2"/>
    <n v="13"/>
    <n v="1"/>
    <x v="1"/>
  </r>
  <r>
    <n v="1010"/>
    <x v="607"/>
    <s v="Lauren Burns"/>
    <n v="23"/>
    <x v="0"/>
    <x v="0"/>
    <d v="2025-04-12T00:00:00"/>
    <d v="2024-09-13T00:00:00"/>
    <s v="Amy Baxter"/>
    <x v="604"/>
    <s v="Cardiology"/>
    <x v="0"/>
    <s v="¬£274.12"/>
    <s v="GBP"/>
    <n v="274.12"/>
    <n v="348.13240000000002"/>
    <n v="0"/>
    <x v="0"/>
    <n v="10"/>
    <n v="1"/>
    <x v="2"/>
  </r>
  <r>
    <n v="1030"/>
    <x v="608"/>
    <s v="Jesse Wood"/>
    <n v="69"/>
    <x v="4"/>
    <x v="1"/>
    <d v="2026-01-02T00:00:00"/>
    <d v="2024-09-23T00:00:00"/>
    <s v="Deborah Vasquez"/>
    <x v="605"/>
    <s v="Neurology"/>
    <x v="2"/>
    <s v="Rs224.83"/>
    <s v="INR"/>
    <n v="224.83"/>
    <n v="2.6979600000000001"/>
    <s v="Y"/>
    <x v="1"/>
    <n v="11"/>
    <n v="1"/>
    <x v="0"/>
  </r>
  <r>
    <n v="1093"/>
    <x v="609"/>
    <s v="James Price"/>
    <n v="72"/>
    <x v="4"/>
    <x v="1"/>
    <d v="2025-06-20T00:00:00"/>
    <d v="2024-09-18T00:00:00"/>
    <s v="Jessica Garcia"/>
    <x v="606"/>
    <s v="General"/>
    <x v="3"/>
    <s v="$194.55"/>
    <s v="USD"/>
    <n v="194.55"/>
    <n v="194.55"/>
    <s v="Y"/>
    <x v="1"/>
    <n v="11"/>
    <n v="1"/>
    <x v="0"/>
  </r>
  <r>
    <n v="1008"/>
    <x v="610"/>
    <s v="Darryl Murphy"/>
    <n v="82"/>
    <x v="4"/>
    <x v="1"/>
    <d v="2026-03-03T00:00:00"/>
    <d v="2024-11-03T00:00:00"/>
    <s v="Christian Chapman"/>
    <x v="607"/>
    <s v="Cardiology"/>
    <x v="0"/>
    <s v="‚Ç¨207.23"/>
    <s v="EUR"/>
    <n v="207.23"/>
    <n v="225.88070000000002"/>
    <n v="0"/>
    <x v="0"/>
    <n v="11"/>
    <n v="1"/>
    <x v="0"/>
  </r>
  <r>
    <n v="1087"/>
    <x v="611"/>
    <s v="Maria Boyd"/>
    <n v="69"/>
    <x v="0"/>
    <x v="0"/>
    <d v="2025-10-02T00:00:00"/>
    <d v="2025-02-23T00:00:00"/>
    <s v="Mike Miller"/>
    <x v="608"/>
    <s v="Cardiology"/>
    <x v="0"/>
    <s v="‚Ç¨464.96"/>
    <s v="EUR"/>
    <n v="464.96"/>
    <n v="506.8064"/>
    <s v="Y"/>
    <x v="1"/>
    <n v="8"/>
    <n v="1"/>
    <x v="0"/>
  </r>
  <r>
    <n v="1008"/>
    <x v="612"/>
    <s v="Jacqueline Howell"/>
    <n v="30"/>
    <x v="2"/>
    <x v="1"/>
    <d v="2026-02-21T00:00:00"/>
    <d v="2025-05-23T00:00:00"/>
    <s v="Felicia Smith"/>
    <x v="609"/>
    <s v="Cardiology"/>
    <x v="0"/>
    <s v="¬£316.64"/>
    <s v="GBP"/>
    <n v="316.64"/>
    <n v="402.13279999999997"/>
    <s v="Y"/>
    <x v="1"/>
    <n v="11"/>
    <n v="1"/>
    <x v="2"/>
  </r>
  <r>
    <n v="1090"/>
    <x v="613"/>
    <s v="Tracy Smith"/>
    <n v="30"/>
    <x v="0"/>
    <x v="0"/>
    <d v="2025-05-24T00:00:00"/>
    <d v="2024-07-05T00:00:00"/>
    <s v="Amber Baxter"/>
    <x v="610"/>
    <s v="Neurology"/>
    <x v="2"/>
    <s v="Rs139.49"/>
    <s v="INR"/>
    <n v="139.49"/>
    <n v="1.67388"/>
    <n v="1"/>
    <x v="0"/>
    <n v="8"/>
    <n v="1"/>
    <x v="2"/>
  </r>
  <r>
    <n v="1047"/>
    <x v="614"/>
    <s v="Victoria Perry"/>
    <n v="39"/>
    <x v="3"/>
    <x v="2"/>
    <d v="2026-03-26T00:00:00"/>
    <d v="2025-08-24T00:00:00"/>
    <s v="Heather Garcia"/>
    <x v="611"/>
    <s v="Neurology"/>
    <x v="2"/>
    <s v="‚Ç¨447.23"/>
    <s v="EUR"/>
    <n v="447.23"/>
    <n v="487.48070000000007"/>
    <s v="No"/>
    <x v="2"/>
    <n v="17"/>
    <n v="1"/>
    <x v="2"/>
  </r>
  <r>
    <n v="1077"/>
    <x v="615"/>
    <s v="Pamela Davis"/>
    <n v="78"/>
    <x v="3"/>
    <x v="2"/>
    <d v="2025-12-19T00:00:00"/>
    <d v="2025-09-15T00:00:00"/>
    <s v="Antonio Galloway"/>
    <x v="612"/>
    <s v="Orthopedics"/>
    <x v="1"/>
    <s v="‚Ç¨320.38"/>
    <s v="EUR"/>
    <n v="320.38"/>
    <n v="349.21420000000001"/>
    <n v="1"/>
    <x v="0"/>
    <n v="10"/>
    <n v="1"/>
    <x v="0"/>
  </r>
  <r>
    <n v="1055"/>
    <x v="616"/>
    <s v="Stephanie Carr"/>
    <n v="70"/>
    <x v="0"/>
    <x v="0"/>
    <d v="2025-08-26T00:00:00"/>
    <d v="2024-12-19T00:00:00"/>
    <s v="David Colon"/>
    <x v="613"/>
    <s v="Orthopedics"/>
    <x v="1"/>
    <s v="$212.66"/>
    <s v="USD"/>
    <n v="212.66"/>
    <n v="212.66"/>
    <n v="0"/>
    <x v="0"/>
    <n v="5"/>
    <n v="1"/>
    <x v="0"/>
  </r>
  <r>
    <n v="1073"/>
    <x v="617"/>
    <s v="Carrie Davis"/>
    <n v="50"/>
    <x v="3"/>
    <x v="2"/>
    <d v="2026-01-19T00:00:00"/>
    <d v="2024-04-01T00:00:00"/>
    <s v="Michael Jones"/>
    <x v="614"/>
    <s v="Neurology"/>
    <x v="2"/>
    <s v="Rs390.86"/>
    <s v="INR"/>
    <n v="390.86"/>
    <n v="4.6903199999999998"/>
    <n v="0"/>
    <x v="0"/>
    <n v="11"/>
    <n v="1"/>
    <x v="1"/>
  </r>
  <r>
    <n v="1016"/>
    <x v="618"/>
    <s v="Pamela Young"/>
    <n v="40"/>
    <x v="3"/>
    <x v="2"/>
    <d v="2025-05-30T00:00:00"/>
    <d v="2025-05-23T00:00:00"/>
    <s v="Yvonne Richardson"/>
    <x v="615"/>
    <s v="Orthopedics"/>
    <x v="1"/>
    <s v="$136.23"/>
    <s v="USD"/>
    <n v="136.22999999999999"/>
    <n v="136.22999999999999"/>
    <n v="1"/>
    <x v="0"/>
    <n v="15"/>
    <n v="1"/>
    <x v="1"/>
  </r>
  <r>
    <n v="1018"/>
    <x v="619"/>
    <s v="Leonard Clark"/>
    <n v="56"/>
    <x v="0"/>
    <x v="0"/>
    <d v="2026-02-28T00:00:00"/>
    <d v="2025-02-08T00:00:00"/>
    <s v="Robert Foster"/>
    <x v="616"/>
    <s v="Cardiology"/>
    <x v="0"/>
    <s v="Rs68.8"/>
    <s v="INR"/>
    <n v="68.8"/>
    <n v="0.8256"/>
    <n v="1"/>
    <x v="0"/>
    <n v="14"/>
    <n v="1"/>
    <x v="1"/>
  </r>
  <r>
    <n v="1035"/>
    <x v="620"/>
    <s v="Michele Perry"/>
    <n v="90"/>
    <x v="3"/>
    <x v="2"/>
    <d v="2025-08-07T00:00:00"/>
    <d v="2024-12-23T00:00:00"/>
    <s v="Leslie Gomez"/>
    <x v="617"/>
    <s v="Neurology"/>
    <x v="2"/>
    <s v="‚Ç¨79.41"/>
    <s v="EUR"/>
    <n v="79.41"/>
    <n v="86.556899999999999"/>
    <n v="0"/>
    <x v="0"/>
    <n v="9"/>
    <n v="1"/>
    <x v="0"/>
  </r>
  <r>
    <n v="1032"/>
    <x v="621"/>
    <s v="Ryan Tucker"/>
    <n v="89"/>
    <x v="4"/>
    <x v="1"/>
    <d v="2026-02-18T00:00:00"/>
    <d v="2024-11-03T00:00:00"/>
    <s v="Barbara Owens"/>
    <x v="618"/>
    <s v="Orthopedics"/>
    <x v="1"/>
    <s v="Rs224.61"/>
    <s v="INR"/>
    <n v="224.61"/>
    <n v="2.6953200000000002"/>
    <s v="N"/>
    <x v="2"/>
    <n v="7"/>
    <n v="1"/>
    <x v="0"/>
  </r>
  <r>
    <n v="1024"/>
    <x v="622"/>
    <s v="Kelsey Rice"/>
    <n v="20"/>
    <x v="2"/>
    <x v="1"/>
    <d v="2025-11-16T00:00:00"/>
    <d v="2024-11-19T00:00:00"/>
    <s v="Darren Jensen"/>
    <x v="619"/>
    <s v="General"/>
    <x v="3"/>
    <s v="$190.44"/>
    <s v="USD"/>
    <n v="190.44"/>
    <n v="190.44"/>
    <s v="N"/>
    <x v="2"/>
    <n v="12"/>
    <n v="1"/>
    <x v="2"/>
  </r>
  <r>
    <n v="1044"/>
    <x v="623"/>
    <s v="Monique Daniels"/>
    <n v="25"/>
    <x v="1"/>
    <x v="0"/>
    <d v="2026-03-08T00:00:00"/>
    <d v="2025-11-11T00:00:00"/>
    <s v="Alexander Brown"/>
    <x v="620"/>
    <s v="General"/>
    <x v="3"/>
    <s v="$316.64"/>
    <s v="USD"/>
    <n v="316.64"/>
    <n v="316.64"/>
    <s v="Y"/>
    <x v="1"/>
    <n v="12"/>
    <n v="1"/>
    <x v="2"/>
  </r>
  <r>
    <n v="1085"/>
    <x v="624"/>
    <s v="Joseph Mcmillan"/>
    <n v="67"/>
    <x v="0"/>
    <x v="0"/>
    <d v="2025-05-20T00:00:00"/>
    <d v="2025-03-20T00:00:00"/>
    <s v="Frederick Nielsen"/>
    <x v="621"/>
    <s v="Orthopedics"/>
    <x v="1"/>
    <s v="Rs308.59"/>
    <s v="INR"/>
    <n v="308.58999999999997"/>
    <n v="3.7030799999999999"/>
    <s v="N"/>
    <x v="2"/>
    <n v="12"/>
    <n v="1"/>
    <x v="0"/>
  </r>
  <r>
    <n v="1089"/>
    <x v="625"/>
    <s v="Miss Christine Lopez"/>
    <n v="75"/>
    <x v="0"/>
    <x v="0"/>
    <d v="2025-11-30T00:00:00"/>
    <d v="2025-06-05T00:00:00"/>
    <s v="Cynthia Turner"/>
    <x v="622"/>
    <s v="Cardiology"/>
    <x v="0"/>
    <s v="$414.58"/>
    <s v="USD"/>
    <n v="414.58"/>
    <n v="414.58"/>
    <s v="Yes"/>
    <x v="1"/>
    <n v="16"/>
    <n v="1"/>
    <x v="0"/>
  </r>
  <r>
    <n v="1064"/>
    <x v="626"/>
    <s v="Christy Nunez"/>
    <n v="54"/>
    <x v="3"/>
    <x v="2"/>
    <d v="2025-07-11T00:00:00"/>
    <d v="2024-06-25T00:00:00"/>
    <s v="Theresa Parker"/>
    <x v="623"/>
    <s v="Cardiology"/>
    <x v="0"/>
    <s v="‚Ç¨338.24"/>
    <s v="EUR"/>
    <n v="338.24"/>
    <n v="368.68160000000006"/>
    <s v="Y"/>
    <x v="1"/>
    <n v="5"/>
    <n v="1"/>
    <x v="1"/>
  </r>
  <r>
    <n v="1077"/>
    <x v="627"/>
    <s v="Jeff Lynch"/>
    <n v="57"/>
    <x v="1"/>
    <x v="0"/>
    <d v="2025-12-04T00:00:00"/>
    <d v="2024-10-12T00:00:00"/>
    <s v="Joseph Gibbs"/>
    <x v="624"/>
    <s v="Neurology"/>
    <x v="2"/>
    <s v="‚Ç¨53.35"/>
    <s v="EUR"/>
    <n v="53.35"/>
    <n v="58.151500000000006"/>
    <s v="N"/>
    <x v="2"/>
    <n v="10"/>
    <n v="1"/>
    <x v="1"/>
  </r>
  <r>
    <n v="1092"/>
    <x v="628"/>
    <s v="James Mendez"/>
    <n v="89"/>
    <x v="1"/>
    <x v="0"/>
    <d v="2025-07-02T00:00:00"/>
    <d v="2025-04-08T00:00:00"/>
    <s v="Jackie Brooks"/>
    <x v="625"/>
    <s v="General"/>
    <x v="3"/>
    <s v="$186.43"/>
    <s v="USD"/>
    <n v="186.43"/>
    <n v="186.43"/>
    <s v="No"/>
    <x v="2"/>
    <n v="11"/>
    <n v="1"/>
    <x v="0"/>
  </r>
  <r>
    <n v="1084"/>
    <x v="629"/>
    <s v="Kelly Hess"/>
    <n v="42"/>
    <x v="0"/>
    <x v="0"/>
    <d v="2025-05-19T00:00:00"/>
    <d v="2024-11-07T00:00:00"/>
    <s v="Seth Benson"/>
    <x v="626"/>
    <s v="General"/>
    <x v="3"/>
    <s v="Rs268.93"/>
    <s v="INR"/>
    <n v="268.93"/>
    <n v="3.22716"/>
    <n v="0"/>
    <x v="0"/>
    <n v="15"/>
    <n v="1"/>
    <x v="1"/>
  </r>
  <r>
    <n v="1044"/>
    <x v="630"/>
    <s v="Sandra Wilson"/>
    <n v="79"/>
    <x v="3"/>
    <x v="2"/>
    <d v="2025-12-23T00:00:00"/>
    <d v="2025-02-19T00:00:00"/>
    <s v="Cheryl Adams"/>
    <x v="627"/>
    <s v="General"/>
    <x v="3"/>
    <s v="‚Ç¨322.0"/>
    <s v="EUR"/>
    <n v="322"/>
    <n v="350.98"/>
    <n v="1"/>
    <x v="0"/>
    <n v="12"/>
    <n v="1"/>
    <x v="0"/>
  </r>
  <r>
    <n v="1080"/>
    <x v="631"/>
    <s v="Jennifer Williams"/>
    <n v="80"/>
    <x v="2"/>
    <x v="1"/>
    <d v="2026-01-04T00:00:00"/>
    <d v="2025-10-18T00:00:00"/>
    <s v="Emily Barnes"/>
    <x v="628"/>
    <s v="General"/>
    <x v="3"/>
    <s v="$498.84"/>
    <s v="USD"/>
    <n v="498.84"/>
    <n v="498.84"/>
    <s v="N"/>
    <x v="2"/>
    <n v="11"/>
    <n v="1"/>
    <x v="0"/>
  </r>
  <r>
    <n v="1097"/>
    <x v="632"/>
    <s v="Kathryn Green"/>
    <n v="86"/>
    <x v="3"/>
    <x v="2"/>
    <d v="2025-05-01T00:00:00"/>
    <d v="2024-08-19T00:00:00"/>
    <s v="Robert Moreno"/>
    <x v="629"/>
    <s v="Cardiology"/>
    <x v="0"/>
    <s v="Rs415.78"/>
    <s v="INR"/>
    <n v="415.78"/>
    <n v="4.9893599999999996"/>
    <s v="Yes"/>
    <x v="1"/>
    <n v="10"/>
    <n v="1"/>
    <x v="0"/>
  </r>
  <r>
    <n v="1035"/>
    <x v="633"/>
    <s v="Holly Potter"/>
    <n v="75"/>
    <x v="4"/>
    <x v="1"/>
    <d v="2025-11-21T00:00:00"/>
    <d v="2025-01-02T00:00:00"/>
    <s v="Christina Mitchell"/>
    <x v="630"/>
    <s v="General"/>
    <x v="3"/>
    <s v="Rs274.5"/>
    <s v="INR"/>
    <n v="274.5"/>
    <n v="3.294"/>
    <s v="Yes"/>
    <x v="1"/>
    <n v="9"/>
    <n v="1"/>
    <x v="0"/>
  </r>
  <r>
    <n v="1069"/>
    <x v="634"/>
    <s v="Catherine Stein"/>
    <n v="23"/>
    <x v="3"/>
    <x v="2"/>
    <d v="2025-10-14T00:00:00"/>
    <d v="2025-02-08T00:00:00"/>
    <s v="Donald Jacobson"/>
    <x v="631"/>
    <s v="Neurology"/>
    <x v="2"/>
    <s v="¬£368.24"/>
    <s v="GBP"/>
    <n v="368.24"/>
    <n v="467.66480000000001"/>
    <n v="1"/>
    <x v="0"/>
    <n v="10"/>
    <n v="1"/>
    <x v="2"/>
  </r>
  <r>
    <n v="1016"/>
    <x v="635"/>
    <s v="Wendy Andrews"/>
    <n v="46"/>
    <x v="2"/>
    <x v="1"/>
    <d v="2025-06-18T00:00:00"/>
    <d v="2024-10-19T00:00:00"/>
    <s v="Kimberly Wilcox"/>
    <x v="632"/>
    <s v="Orthopedics"/>
    <x v="1"/>
    <s v="Rs353.07"/>
    <s v="INR"/>
    <n v="353.07"/>
    <n v="4.2368399999999999"/>
    <n v="1"/>
    <x v="0"/>
    <n v="15"/>
    <n v="1"/>
    <x v="1"/>
  </r>
  <r>
    <n v="1098"/>
    <x v="636"/>
    <s v="Richard Alexander"/>
    <n v="29"/>
    <x v="1"/>
    <x v="0"/>
    <d v="2025-11-09T00:00:00"/>
    <d v="2025-07-16T00:00:00"/>
    <s v="Monica Torres"/>
    <x v="633"/>
    <s v="Cardiology"/>
    <x v="0"/>
    <s v="¬£358.68"/>
    <s v="GBP"/>
    <n v="358.68"/>
    <n v="455.52359999999999"/>
    <n v="0"/>
    <x v="0"/>
    <n v="12"/>
    <n v="1"/>
    <x v="2"/>
  </r>
  <r>
    <n v="1012"/>
    <x v="637"/>
    <s v="Javier Hawkins"/>
    <n v="38"/>
    <x v="2"/>
    <x v="1"/>
    <d v="2026-02-01T00:00:00"/>
    <d v="2024-04-16T00:00:00"/>
    <s v="Debra Fields"/>
    <x v="634"/>
    <s v="Orthopedics"/>
    <x v="1"/>
    <s v="$427.54"/>
    <s v="USD"/>
    <n v="427.54"/>
    <n v="427.54"/>
    <s v="N"/>
    <x v="2"/>
    <n v="9"/>
    <n v="1"/>
    <x v="2"/>
  </r>
  <r>
    <n v="1100"/>
    <x v="638"/>
    <s v="Sonya Wheeler"/>
    <n v="60"/>
    <x v="0"/>
    <x v="0"/>
    <d v="2025-09-07T00:00:00"/>
    <d v="2024-04-13T00:00:00"/>
    <s v="Adam Carlson"/>
    <x v="635"/>
    <s v="Orthopedics"/>
    <x v="1"/>
    <s v="Rs433.05"/>
    <s v="INR"/>
    <n v="433.05"/>
    <n v="5.1966000000000001"/>
    <s v="Yes"/>
    <x v="1"/>
    <n v="8"/>
    <n v="1"/>
    <x v="1"/>
  </r>
  <r>
    <n v="1021"/>
    <x v="639"/>
    <s v="Jessica Castillo"/>
    <n v="37"/>
    <x v="3"/>
    <x v="2"/>
    <d v="2025-09-18T00:00:00"/>
    <d v="2024-11-17T00:00:00"/>
    <s v="Bryan Newton"/>
    <x v="636"/>
    <s v="Cardiology"/>
    <x v="0"/>
    <s v="‚Ç¨436.91"/>
    <s v="EUR"/>
    <n v="436.91"/>
    <n v="476.23190000000005"/>
    <s v="No"/>
    <x v="2"/>
    <n v="16"/>
    <n v="1"/>
    <x v="2"/>
  </r>
  <r>
    <n v="1078"/>
    <x v="640"/>
    <s v="Courtney Powell"/>
    <n v="82"/>
    <x v="3"/>
    <x v="2"/>
    <d v="2026-01-24T00:00:00"/>
    <d v="2024-10-03T00:00:00"/>
    <s v="Kelly Hardin"/>
    <x v="637"/>
    <s v="Orthopedics"/>
    <x v="1"/>
    <s v="‚Ç¨252.53"/>
    <s v="EUR"/>
    <n v="252.53"/>
    <n v="275.2577"/>
    <n v="0"/>
    <x v="0"/>
    <n v="8"/>
    <n v="1"/>
    <x v="0"/>
  </r>
  <r>
    <n v="1094"/>
    <x v="641"/>
    <s v="Crystal Oneal"/>
    <n v="60"/>
    <x v="3"/>
    <x v="2"/>
    <d v="2025-08-19T00:00:00"/>
    <d v="2025-01-23T00:00:00"/>
    <s v="Harold Gray"/>
    <x v="638"/>
    <s v="Neurology"/>
    <x v="2"/>
    <s v="$421.74"/>
    <s v="USD"/>
    <n v="421.74"/>
    <n v="421.74"/>
    <s v="Y"/>
    <x v="1"/>
    <n v="8"/>
    <n v="1"/>
    <x v="1"/>
  </r>
  <r>
    <n v="1022"/>
    <x v="642"/>
    <s v="Alison Robinson"/>
    <n v="83"/>
    <x v="4"/>
    <x v="1"/>
    <d v="2025-09-15T00:00:00"/>
    <d v="2024-12-23T00:00:00"/>
    <s v="Jose Thomas"/>
    <x v="639"/>
    <s v="Orthopedics"/>
    <x v="1"/>
    <s v="¬£175.6"/>
    <s v="GBP"/>
    <n v="175.6"/>
    <n v="223.012"/>
    <s v="No"/>
    <x v="2"/>
    <n v="9"/>
    <n v="1"/>
    <x v="0"/>
  </r>
  <r>
    <n v="1056"/>
    <x v="643"/>
    <s v="Justin White"/>
    <n v="82"/>
    <x v="2"/>
    <x v="1"/>
    <d v="2026-01-04T00:00:00"/>
    <d v="2025-04-16T00:00:00"/>
    <s v="Jose Jackson"/>
    <x v="640"/>
    <s v="Neurology"/>
    <x v="2"/>
    <s v="Rs203.05"/>
    <s v="INR"/>
    <n v="203.05"/>
    <n v="2.4366000000000003"/>
    <n v="0"/>
    <x v="0"/>
    <n v="13"/>
    <n v="1"/>
    <x v="0"/>
  </r>
  <r>
    <n v="1066"/>
    <x v="644"/>
    <s v="Linda Ryan"/>
    <n v="76"/>
    <x v="4"/>
    <x v="1"/>
    <d v="2025-10-31T00:00:00"/>
    <d v="2024-06-27T00:00:00"/>
    <s v="Sandra Johns"/>
    <x v="641"/>
    <s v="General"/>
    <x v="3"/>
    <s v="¬£123.13"/>
    <s v="GBP"/>
    <n v="123.13"/>
    <n v="156.3751"/>
    <n v="1"/>
    <x v="0"/>
    <n v="11"/>
    <n v="1"/>
    <x v="0"/>
  </r>
  <r>
    <n v="1088"/>
    <x v="645"/>
    <s v="Meghan Evans"/>
    <n v="79"/>
    <x v="3"/>
    <x v="2"/>
    <d v="2025-11-21T00:00:00"/>
    <d v="2025-09-11T00:00:00"/>
    <s v="Courtney Yang"/>
    <x v="642"/>
    <s v="Orthopedics"/>
    <x v="1"/>
    <s v="$337.15"/>
    <s v="USD"/>
    <n v="337.15"/>
    <n v="337.15"/>
    <s v="No"/>
    <x v="2"/>
    <n v="16"/>
    <n v="1"/>
    <x v="0"/>
  </r>
  <r>
    <n v="1001"/>
    <x v="646"/>
    <s v="Tiffany Stone"/>
    <n v="27"/>
    <x v="0"/>
    <x v="0"/>
    <d v="2025-08-18T00:00:00"/>
    <d v="2025-05-23T00:00:00"/>
    <s v="Henry Kelley"/>
    <x v="643"/>
    <s v="Neurology"/>
    <x v="2"/>
    <s v="‚Ç¨180.76"/>
    <s v="EUR"/>
    <n v="180.76"/>
    <n v="197.0284"/>
    <n v="0"/>
    <x v="0"/>
    <n v="12"/>
    <n v="1"/>
    <x v="2"/>
  </r>
  <r>
    <n v="1076"/>
    <x v="647"/>
    <s v="Melanie Hernandez"/>
    <n v="19"/>
    <x v="3"/>
    <x v="2"/>
    <d v="2026-02-22T00:00:00"/>
    <d v="2025-06-12T00:00:00"/>
    <s v="Adam Anderson"/>
    <x v="644"/>
    <s v="Orthopedics"/>
    <x v="1"/>
    <s v="$445.97"/>
    <s v="USD"/>
    <n v="445.97"/>
    <n v="445.97"/>
    <s v="Y"/>
    <x v="1"/>
    <n v="6"/>
    <n v="1"/>
    <x v="2"/>
  </r>
  <r>
    <n v="1019"/>
    <x v="648"/>
    <s v="Gabriel Yang"/>
    <n v="41"/>
    <x v="4"/>
    <x v="1"/>
    <d v="2025-10-31T00:00:00"/>
    <d v="2024-07-10T00:00:00"/>
    <s v="Justin Thomas"/>
    <x v="645"/>
    <s v="Neurology"/>
    <x v="2"/>
    <s v="¬£236.58"/>
    <s v="GBP"/>
    <n v="236.58"/>
    <n v="300.45660000000004"/>
    <n v="0"/>
    <x v="0"/>
    <n v="6"/>
    <n v="1"/>
    <x v="1"/>
  </r>
  <r>
    <n v="1005"/>
    <x v="649"/>
    <s v="Nicole Garcia"/>
    <n v="55"/>
    <x v="1"/>
    <x v="0"/>
    <d v="2025-08-07T00:00:00"/>
    <d v="2024-04-06T00:00:00"/>
    <s v="Guy Vaughn"/>
    <x v="646"/>
    <s v="Cardiology"/>
    <x v="0"/>
    <s v="$125.33"/>
    <s v="USD"/>
    <n v="125.33"/>
    <n v="125.33"/>
    <n v="0"/>
    <x v="0"/>
    <n v="13"/>
    <n v="1"/>
    <x v="1"/>
  </r>
  <r>
    <n v="1030"/>
    <x v="650"/>
    <s v="Jenny Martin"/>
    <n v="59"/>
    <x v="4"/>
    <x v="1"/>
    <d v="2025-11-30T00:00:00"/>
    <d v="2025-08-01T00:00:00"/>
    <s v="Andrew Terry"/>
    <x v="647"/>
    <s v="Orthopedics"/>
    <x v="1"/>
    <s v="‚Ç¨394.58"/>
    <s v="EUR"/>
    <n v="394.58"/>
    <n v="430.09219999999999"/>
    <n v="1"/>
    <x v="0"/>
    <n v="11"/>
    <n v="1"/>
    <x v="1"/>
  </r>
  <r>
    <n v="1088"/>
    <x v="651"/>
    <s v="Audrey Irwin"/>
    <n v="55"/>
    <x v="1"/>
    <x v="0"/>
    <d v="2025-11-22T00:00:00"/>
    <d v="2024-09-09T00:00:00"/>
    <s v="Michael Murphy"/>
    <x v="648"/>
    <s v="Orthopedics"/>
    <x v="1"/>
    <s v="‚Ç¨96.12"/>
    <s v="EUR"/>
    <n v="96.12"/>
    <n v="104.77080000000001"/>
    <n v="0"/>
    <x v="0"/>
    <n v="16"/>
    <n v="1"/>
    <x v="1"/>
  </r>
  <r>
    <n v="1018"/>
    <x v="652"/>
    <s v="Bryan Armstrong"/>
    <n v="68"/>
    <x v="4"/>
    <x v="1"/>
    <d v="2025-04-22T00:00:00"/>
    <d v="2025-04-03T00:00:00"/>
    <s v="Robert Escobar"/>
    <x v="649"/>
    <s v="Neurology"/>
    <x v="2"/>
    <s v="Rs305.01"/>
    <s v="INR"/>
    <n v="305.01"/>
    <n v="3.66012"/>
    <n v="0"/>
    <x v="0"/>
    <n v="14"/>
    <n v="1"/>
    <x v="0"/>
  </r>
  <r>
    <n v="1092"/>
    <x v="653"/>
    <s v="Lisa Hill"/>
    <n v="68"/>
    <x v="0"/>
    <x v="0"/>
    <d v="2025-06-23T00:00:00"/>
    <d v="2024-10-24T00:00:00"/>
    <s v="Mia Boyd"/>
    <x v="650"/>
    <s v="Cardiology"/>
    <x v="0"/>
    <s v="$169.01"/>
    <s v="USD"/>
    <n v="169.01"/>
    <n v="169.01"/>
    <s v="N"/>
    <x v="2"/>
    <n v="11"/>
    <n v="1"/>
    <x v="0"/>
  </r>
  <r>
    <n v="1030"/>
    <x v="654"/>
    <s v="Susan Delgado"/>
    <n v="39"/>
    <x v="4"/>
    <x v="1"/>
    <d v="2025-11-18T00:00:00"/>
    <d v="2025-11-04T00:00:00"/>
    <s v="Paula Mann"/>
    <x v="651"/>
    <s v="Neurology"/>
    <x v="2"/>
    <s v="‚Ç¨304.86"/>
    <s v="EUR"/>
    <n v="304.86"/>
    <n v="332.29740000000004"/>
    <n v="0"/>
    <x v="0"/>
    <n v="11"/>
    <n v="1"/>
    <x v="2"/>
  </r>
  <r>
    <n v="1089"/>
    <x v="655"/>
    <s v="Bradley Myers"/>
    <n v="63"/>
    <x v="2"/>
    <x v="1"/>
    <d v="2025-11-09T00:00:00"/>
    <d v="2024-12-08T00:00:00"/>
    <s v="Mark Barrett"/>
    <x v="652"/>
    <s v="Neurology"/>
    <x v="2"/>
    <s v="Rs426.51"/>
    <s v="INR"/>
    <n v="426.51"/>
    <n v="5.1181200000000002"/>
    <n v="1"/>
    <x v="0"/>
    <n v="16"/>
    <n v="1"/>
    <x v="1"/>
  </r>
  <r>
    <n v="1043"/>
    <x v="656"/>
    <s v="Derek Smith"/>
    <n v="82"/>
    <x v="3"/>
    <x v="2"/>
    <d v="2025-05-23T00:00:00"/>
    <d v="2024-10-18T00:00:00"/>
    <s v="Jeremy Burton"/>
    <x v="653"/>
    <s v="Cardiology"/>
    <x v="0"/>
    <s v="$215.76"/>
    <s v="USD"/>
    <n v="215.76"/>
    <n v="215.76"/>
    <s v="N"/>
    <x v="2"/>
    <n v="12"/>
    <n v="1"/>
    <x v="0"/>
  </r>
  <r>
    <n v="1021"/>
    <x v="657"/>
    <s v="Taylor Farley"/>
    <n v="25"/>
    <x v="0"/>
    <x v="0"/>
    <d v="2025-10-01T00:00:00"/>
    <d v="2024-09-01T00:00:00"/>
    <s v="Christy Lewis"/>
    <x v="654"/>
    <s v="Cardiology"/>
    <x v="0"/>
    <s v="$184.11"/>
    <s v="USD"/>
    <n v="184.11"/>
    <n v="184.11"/>
    <s v="Y"/>
    <x v="1"/>
    <n v="16"/>
    <n v="1"/>
    <x v="2"/>
  </r>
  <r>
    <n v="1086"/>
    <x v="658"/>
    <s v="Richard Richardson"/>
    <n v="80"/>
    <x v="3"/>
    <x v="2"/>
    <d v="2025-11-24T00:00:00"/>
    <d v="2024-12-29T00:00:00"/>
    <s v="Robin Hebert"/>
    <x v="655"/>
    <s v="Cardiology"/>
    <x v="0"/>
    <s v="Rs226.12"/>
    <s v="INR"/>
    <n v="226.12"/>
    <n v="2.7134400000000003"/>
    <n v="1"/>
    <x v="0"/>
    <n v="9"/>
    <n v="1"/>
    <x v="0"/>
  </r>
  <r>
    <n v="1016"/>
    <x v="659"/>
    <s v="Ryan Rodriguez"/>
    <n v="53"/>
    <x v="0"/>
    <x v="0"/>
    <d v="2025-05-29T00:00:00"/>
    <d v="2025-02-22T00:00:00"/>
    <s v="Eric Kennedy"/>
    <x v="656"/>
    <s v="Orthopedics"/>
    <x v="1"/>
    <s v="Rs277.5"/>
    <s v="INR"/>
    <n v="277.5"/>
    <n v="3.33"/>
    <s v="Yes"/>
    <x v="1"/>
    <n v="15"/>
    <n v="1"/>
    <x v="1"/>
  </r>
  <r>
    <n v="1050"/>
    <x v="660"/>
    <s v="Jeremy Coleman"/>
    <n v="83"/>
    <x v="2"/>
    <x v="1"/>
    <d v="2025-09-11T00:00:00"/>
    <d v="2024-09-03T00:00:00"/>
    <s v="David Riley"/>
    <x v="657"/>
    <s v="Neurology"/>
    <x v="2"/>
    <s v="Rs63.99"/>
    <s v="INR"/>
    <n v="63.99"/>
    <n v="0.76788000000000001"/>
    <s v="N"/>
    <x v="2"/>
    <n v="12"/>
    <n v="1"/>
    <x v="0"/>
  </r>
  <r>
    <n v="1079"/>
    <x v="661"/>
    <s v="Alexander Williams"/>
    <n v="85"/>
    <x v="0"/>
    <x v="0"/>
    <d v="2026-03-20T00:00:00"/>
    <d v="2025-10-08T00:00:00"/>
    <s v="Erin Chandler"/>
    <x v="658"/>
    <s v="Orthopedics"/>
    <x v="1"/>
    <s v="Rs85.56"/>
    <s v="INR"/>
    <n v="85.56"/>
    <n v="1.0267200000000001"/>
    <s v="N"/>
    <x v="2"/>
    <n v="4"/>
    <n v="1"/>
    <x v="0"/>
  </r>
  <r>
    <n v="1027"/>
    <x v="662"/>
    <s v="Steven Richards"/>
    <n v="26"/>
    <x v="3"/>
    <x v="2"/>
    <d v="2026-03-23T00:00:00"/>
    <d v="2025-01-11T00:00:00"/>
    <s v="Zachary Hamilton"/>
    <x v="659"/>
    <s v="Orthopedics"/>
    <x v="1"/>
    <s v="‚Ç¨237.1"/>
    <s v="EUR"/>
    <n v="237.1"/>
    <n v="258.43900000000002"/>
    <s v="N"/>
    <x v="2"/>
    <n v="12"/>
    <n v="1"/>
    <x v="2"/>
  </r>
  <r>
    <n v="1070"/>
    <x v="663"/>
    <s v="Toni Morris DDS"/>
    <n v="30"/>
    <x v="1"/>
    <x v="0"/>
    <d v="2025-12-01T00:00:00"/>
    <d v="2024-07-16T00:00:00"/>
    <s v="Robin Medina"/>
    <x v="660"/>
    <s v="Orthopedics"/>
    <x v="1"/>
    <s v="‚Ç¨250.69"/>
    <s v="EUR"/>
    <n v="250.69"/>
    <n v="273.25210000000004"/>
    <s v="No"/>
    <x v="2"/>
    <n v="13"/>
    <n v="1"/>
    <x v="2"/>
  </r>
  <r>
    <n v="1013"/>
    <x v="664"/>
    <s v="Zachary Allen"/>
    <n v="21"/>
    <x v="0"/>
    <x v="0"/>
    <d v="2026-02-24T00:00:00"/>
    <d v="2025-06-04T00:00:00"/>
    <s v="Justin Smith"/>
    <x v="661"/>
    <s v="Neurology"/>
    <x v="2"/>
    <m/>
    <s v="N/A"/>
    <s v=""/>
    <s v="N/A"/>
    <s v="Yes"/>
    <x v="1"/>
    <n v="10"/>
    <n v="1"/>
    <x v="2"/>
  </r>
  <r>
    <n v="1027"/>
    <x v="665"/>
    <s v="Mary Wilson"/>
    <n v="27"/>
    <x v="0"/>
    <x v="0"/>
    <d v="2025-07-04T00:00:00"/>
    <d v="2025-03-17T00:00:00"/>
    <s v="Misty Higgins"/>
    <x v="662"/>
    <s v="Orthopedics"/>
    <x v="1"/>
    <s v="$421.57"/>
    <s v="USD"/>
    <n v="421.57"/>
    <n v="421.57"/>
    <n v="1"/>
    <x v="0"/>
    <n v="12"/>
    <n v="1"/>
    <x v="2"/>
  </r>
  <r>
    <n v="1087"/>
    <x v="666"/>
    <s v="Nicole Shepard"/>
    <n v="28"/>
    <x v="3"/>
    <x v="2"/>
    <d v="2026-03-23T00:00:00"/>
    <d v="2024-04-01T00:00:00"/>
    <s v="Mr. Ricky Le"/>
    <x v="663"/>
    <s v="Cardiology"/>
    <x v="0"/>
    <s v="‚Ç¨77.79"/>
    <s v="EUR"/>
    <n v="77.790000000000006"/>
    <n v="84.791100000000014"/>
    <n v="1"/>
    <x v="0"/>
    <n v="8"/>
    <n v="1"/>
    <x v="2"/>
  </r>
  <r>
    <n v="1081"/>
    <x v="667"/>
    <s v="Trevor Anderson"/>
    <n v="32"/>
    <x v="1"/>
    <x v="0"/>
    <d v="2025-07-06T00:00:00"/>
    <d v="2025-04-10T00:00:00"/>
    <s v="Kenneth Johnson"/>
    <x v="664"/>
    <s v="Neurology"/>
    <x v="2"/>
    <s v="‚Ç¨156.32"/>
    <s v="EUR"/>
    <n v="156.32"/>
    <n v="170.3888"/>
    <s v="Y"/>
    <x v="1"/>
    <n v="9"/>
    <n v="1"/>
    <x v="2"/>
  </r>
  <r>
    <n v="1053"/>
    <x v="668"/>
    <s v="Robert Wade"/>
    <n v="87"/>
    <x v="4"/>
    <x v="1"/>
    <d v="2026-02-07T00:00:00"/>
    <d v="2024-07-11T00:00:00"/>
    <s v="Phillip Shelton"/>
    <x v="665"/>
    <s v="Orthopedics"/>
    <x v="1"/>
    <s v="$249.74"/>
    <s v="USD"/>
    <n v="249.74"/>
    <n v="249.74"/>
    <s v="Y"/>
    <x v="1"/>
    <n v="14"/>
    <n v="1"/>
    <x v="0"/>
  </r>
  <r>
    <n v="1051"/>
    <x v="669"/>
    <s v="Oscar Luna"/>
    <n v="72"/>
    <x v="0"/>
    <x v="0"/>
    <d v="2026-03-05T00:00:00"/>
    <d v="2025-03-26T00:00:00"/>
    <s v="John Stewart"/>
    <x v="666"/>
    <s v="General"/>
    <x v="3"/>
    <s v="$126.56"/>
    <s v="USD"/>
    <n v="126.56"/>
    <n v="126.56"/>
    <s v="Yes"/>
    <x v="1"/>
    <n v="9"/>
    <n v="1"/>
    <x v="0"/>
  </r>
  <r>
    <n v="1098"/>
    <x v="670"/>
    <s v="Lance Hobbs"/>
    <n v="59"/>
    <x v="3"/>
    <x v="2"/>
    <d v="2025-10-10T00:00:00"/>
    <d v="2024-08-18T00:00:00"/>
    <s v="Mr. James Brown"/>
    <x v="667"/>
    <s v="General"/>
    <x v="3"/>
    <s v="$143.32"/>
    <s v="USD"/>
    <n v="143.32"/>
    <n v="143.32"/>
    <s v="N"/>
    <x v="2"/>
    <n v="12"/>
    <n v="1"/>
    <x v="1"/>
  </r>
  <r>
    <n v="1009"/>
    <x v="671"/>
    <s v="Misty Wells"/>
    <n v="64"/>
    <x v="2"/>
    <x v="1"/>
    <d v="2025-07-31T00:00:00"/>
    <d v="2024-08-23T00:00:00"/>
    <s v="Debra Booker"/>
    <x v="668"/>
    <s v="Neurology"/>
    <x v="2"/>
    <s v="¬£353.8"/>
    <s v="GBP"/>
    <n v="353.8"/>
    <n v="449.32600000000002"/>
    <s v="Y"/>
    <x v="1"/>
    <n v="9"/>
    <n v="1"/>
    <x v="1"/>
  </r>
  <r>
    <n v="1021"/>
    <x v="672"/>
    <s v="Adam Mcdonald"/>
    <n v="28"/>
    <x v="0"/>
    <x v="0"/>
    <d v="2025-08-15T00:00:00"/>
    <d v="2024-11-17T00:00:00"/>
    <s v="David Schmidt"/>
    <x v="669"/>
    <s v="Cardiology"/>
    <x v="0"/>
    <s v="¬£174.54"/>
    <s v="GBP"/>
    <n v="174.54"/>
    <n v="221.66579999999999"/>
    <s v="Yes"/>
    <x v="1"/>
    <n v="16"/>
    <n v="1"/>
    <x v="2"/>
  </r>
  <r>
    <n v="1046"/>
    <x v="673"/>
    <s v="David Mann"/>
    <n v="68"/>
    <x v="4"/>
    <x v="1"/>
    <d v="2026-03-16T00:00:00"/>
    <d v="2024-05-06T00:00:00"/>
    <s v="Donald Ferguson"/>
    <x v="670"/>
    <s v="Orthopedics"/>
    <x v="1"/>
    <s v="¬£217.77"/>
    <s v="GBP"/>
    <n v="217.77"/>
    <n v="276.56790000000001"/>
    <s v="Y"/>
    <x v="1"/>
    <n v="8"/>
    <n v="1"/>
    <x v="0"/>
  </r>
  <r>
    <n v="1044"/>
    <x v="674"/>
    <s v="Daniel White"/>
    <n v="67"/>
    <x v="4"/>
    <x v="1"/>
    <d v="2025-04-12T00:00:00"/>
    <d v="2024-07-13T00:00:00"/>
    <s v="Chad Johnson"/>
    <x v="671"/>
    <s v="Neurology"/>
    <x v="2"/>
    <s v="Rs277.51"/>
    <s v="INR"/>
    <n v="277.51"/>
    <n v="3.33012"/>
    <s v="N"/>
    <x v="2"/>
    <n v="12"/>
    <n v="1"/>
    <x v="0"/>
  </r>
  <r>
    <n v="1058"/>
    <x v="675"/>
    <s v="Steven Gonzalez"/>
    <n v="37"/>
    <x v="3"/>
    <x v="2"/>
    <d v="2026-02-04T00:00:00"/>
    <d v="2025-11-10T00:00:00"/>
    <s v="Jonathan Daniels"/>
    <x v="672"/>
    <s v="Orthopedics"/>
    <x v="1"/>
    <s v="¬£259.19"/>
    <s v="GBP"/>
    <n v="259.19"/>
    <n v="329.17129999999997"/>
    <s v="Y"/>
    <x v="1"/>
    <n v="17"/>
    <n v="1"/>
    <x v="2"/>
  </r>
  <r>
    <n v="1004"/>
    <x v="676"/>
    <s v="Samuel Harrison"/>
    <n v="53"/>
    <x v="3"/>
    <x v="2"/>
    <d v="2025-08-09T00:00:00"/>
    <d v="2024-07-06T00:00:00"/>
    <s v="Hunter Powell"/>
    <x v="673"/>
    <s v="Neurology"/>
    <x v="2"/>
    <s v="Rs492.92"/>
    <s v="INR"/>
    <n v="492.92"/>
    <n v="5.9150400000000003"/>
    <s v="Yes"/>
    <x v="1"/>
    <n v="9"/>
    <n v="1"/>
    <x v="1"/>
  </r>
  <r>
    <n v="1088"/>
    <x v="677"/>
    <s v="Bethany Williams"/>
    <n v="21"/>
    <x v="2"/>
    <x v="1"/>
    <d v="2025-11-12T00:00:00"/>
    <d v="2025-04-22T00:00:00"/>
    <s v="Kayla Woods"/>
    <x v="674"/>
    <s v="Neurology"/>
    <x v="2"/>
    <s v="‚Ç¨51.38"/>
    <s v="EUR"/>
    <n v="51.38"/>
    <n v="56.004200000000004"/>
    <n v="0"/>
    <x v="0"/>
    <n v="16"/>
    <n v="1"/>
    <x v="2"/>
  </r>
  <r>
    <n v="1035"/>
    <x v="678"/>
    <s v="Eddie Tate"/>
    <n v="53"/>
    <x v="2"/>
    <x v="1"/>
    <d v="2026-01-26T00:00:00"/>
    <d v="2024-09-27T00:00:00"/>
    <s v="Paul Johnson"/>
    <x v="675"/>
    <s v="Neurology"/>
    <x v="2"/>
    <s v="Rs374.03"/>
    <s v="INR"/>
    <n v="374.03"/>
    <n v="4.4883600000000001"/>
    <n v="1"/>
    <x v="0"/>
    <n v="9"/>
    <n v="1"/>
    <x v="1"/>
  </r>
  <r>
    <n v="1025"/>
    <x v="679"/>
    <s v="Christopher Trujillo"/>
    <n v="69"/>
    <x v="4"/>
    <x v="1"/>
    <d v="2025-04-06T00:00:00"/>
    <d v="2024-07-28T00:00:00"/>
    <s v="Keith Smith"/>
    <x v="676"/>
    <s v="Orthopedics"/>
    <x v="1"/>
    <s v="¬£175.33"/>
    <s v="GBP"/>
    <n v="175.33"/>
    <n v="222.66910000000001"/>
    <n v="0"/>
    <x v="0"/>
    <n v="9"/>
    <n v="1"/>
    <x v="0"/>
  </r>
  <r>
    <n v="1068"/>
    <x v="680"/>
    <s v="Sarah Thompson"/>
    <n v="25"/>
    <x v="1"/>
    <x v="0"/>
    <d v="2026-02-11T00:00:00"/>
    <d v="2025-06-20T00:00:00"/>
    <s v="Ruth Shaw"/>
    <x v="677"/>
    <s v="Neurology"/>
    <x v="2"/>
    <s v="¬£129.25"/>
    <s v="GBP"/>
    <n v="129.25"/>
    <n v="164.14750000000001"/>
    <n v="0"/>
    <x v="0"/>
    <n v="14"/>
    <n v="1"/>
    <x v="2"/>
  </r>
  <r>
    <n v="1014"/>
    <x v="681"/>
    <s v="Bradley Jones"/>
    <n v="61"/>
    <x v="3"/>
    <x v="2"/>
    <d v="2025-07-14T00:00:00"/>
    <d v="2024-12-22T00:00:00"/>
    <s v="Douglas Patton"/>
    <x v="678"/>
    <s v="Cardiology"/>
    <x v="0"/>
    <s v="Rs257.41"/>
    <s v="INR"/>
    <n v="257.41000000000003"/>
    <n v="3.0889200000000003"/>
    <n v="1"/>
    <x v="0"/>
    <n v="10"/>
    <n v="1"/>
    <x v="1"/>
  </r>
  <r>
    <n v="1059"/>
    <x v="682"/>
    <s v="Emma Ferrell"/>
    <n v="23"/>
    <x v="4"/>
    <x v="1"/>
    <d v="2025-09-10T00:00:00"/>
    <d v="2024-04-23T00:00:00"/>
    <s v="David Bradford"/>
    <x v="679"/>
    <s v="General"/>
    <x v="3"/>
    <s v="‚Ç¨337.48"/>
    <s v="EUR"/>
    <n v="337.48"/>
    <n v="367.85320000000007"/>
    <s v="Y"/>
    <x v="1"/>
    <n v="13"/>
    <n v="1"/>
    <x v="2"/>
  </r>
  <r>
    <n v="1021"/>
    <x v="683"/>
    <s v="Michael Garcia"/>
    <n v="61"/>
    <x v="1"/>
    <x v="0"/>
    <d v="2026-03-04T00:00:00"/>
    <d v="2025-08-10T00:00:00"/>
    <s v="Barbara Mack"/>
    <x v="680"/>
    <s v="Neurology"/>
    <x v="2"/>
    <s v="‚Ç¨310.15"/>
    <s v="EUR"/>
    <n v="310.14999999999998"/>
    <n v="338.06349999999998"/>
    <s v="Yes"/>
    <x v="1"/>
    <n v="16"/>
    <n v="1"/>
    <x v="1"/>
  </r>
  <r>
    <n v="1029"/>
    <x v="684"/>
    <s v="Darlene Hodge"/>
    <n v="69"/>
    <x v="4"/>
    <x v="1"/>
    <d v="2025-05-27T00:00:00"/>
    <d v="2025-04-20T00:00:00"/>
    <s v="Amanda Cruz"/>
    <x v="681"/>
    <s v="Orthopedics"/>
    <x v="1"/>
    <s v="‚Ç¨63.14"/>
    <s v="EUR"/>
    <n v="63.14"/>
    <n v="68.822600000000008"/>
    <s v="N"/>
    <x v="2"/>
    <n v="8"/>
    <n v="1"/>
    <x v="0"/>
  </r>
  <r>
    <n v="1005"/>
    <x v="685"/>
    <s v="Katherine Rios"/>
    <n v="23"/>
    <x v="3"/>
    <x v="2"/>
    <d v="2025-12-24T00:00:00"/>
    <d v="2025-01-05T00:00:00"/>
    <s v="Elizabeth Foster"/>
    <x v="682"/>
    <s v="Orthopedics"/>
    <x v="1"/>
    <s v="$265.67"/>
    <s v="USD"/>
    <n v="265.67"/>
    <n v="265.67"/>
    <s v="N"/>
    <x v="2"/>
    <n v="13"/>
    <n v="1"/>
    <x v="2"/>
  </r>
  <r>
    <n v="1094"/>
    <x v="686"/>
    <s v="Jennifer Shaffer"/>
    <n v="59"/>
    <x v="3"/>
    <x v="2"/>
    <d v="2025-06-08T00:00:00"/>
    <d v="2024-12-26T00:00:00"/>
    <s v="Brittany Watson"/>
    <x v="683"/>
    <s v="Orthopedics"/>
    <x v="1"/>
    <s v="$382.64"/>
    <s v="USD"/>
    <n v="382.64"/>
    <n v="382.64"/>
    <s v="Y"/>
    <x v="1"/>
    <n v="8"/>
    <n v="1"/>
    <x v="1"/>
  </r>
  <r>
    <n v="1065"/>
    <x v="687"/>
    <s v="Leslie Newman"/>
    <n v="80"/>
    <x v="1"/>
    <x v="0"/>
    <d v="2025-05-11T00:00:00"/>
    <d v="2024-10-22T00:00:00"/>
    <s v="Lindsey Mendoza"/>
    <x v="684"/>
    <s v="Cardiology"/>
    <x v="0"/>
    <s v="Rs125.35"/>
    <s v="INR"/>
    <n v="125.35"/>
    <n v="1.5042"/>
    <n v="0"/>
    <x v="0"/>
    <n v="9"/>
    <n v="1"/>
    <x v="0"/>
  </r>
  <r>
    <n v="1058"/>
    <x v="688"/>
    <s v="Alejandro Romero"/>
    <n v="27"/>
    <x v="4"/>
    <x v="1"/>
    <d v="2025-07-25T00:00:00"/>
    <d v="2024-08-28T00:00:00"/>
    <s v="Karen Hancock"/>
    <x v="685"/>
    <s v="Orthopedics"/>
    <x v="1"/>
    <s v="¬£206.69"/>
    <s v="GBP"/>
    <n v="206.69"/>
    <n v="262.49630000000002"/>
    <s v="No"/>
    <x v="2"/>
    <n v="17"/>
    <n v="1"/>
    <x v="2"/>
  </r>
  <r>
    <n v="1076"/>
    <x v="689"/>
    <s v="Ashley Peterson"/>
    <n v="39"/>
    <x v="0"/>
    <x v="0"/>
    <d v="2025-05-30T00:00:00"/>
    <d v="2025-05-06T00:00:00"/>
    <s v="Kyle Mcintyre"/>
    <x v="686"/>
    <s v="General"/>
    <x v="3"/>
    <s v="¬£358.45"/>
    <s v="GBP"/>
    <n v="358.45"/>
    <n v="455.23149999999998"/>
    <s v="Yes"/>
    <x v="1"/>
    <n v="6"/>
    <n v="1"/>
    <x v="2"/>
  </r>
  <r>
    <n v="1073"/>
    <x v="690"/>
    <s v="Steven Wallace"/>
    <n v="52"/>
    <x v="4"/>
    <x v="1"/>
    <d v="2025-09-25T00:00:00"/>
    <d v="2025-01-11T00:00:00"/>
    <s v="Katherine Martin"/>
    <x v="687"/>
    <s v="Cardiology"/>
    <x v="0"/>
    <s v="‚Ç¨496.62"/>
    <s v="EUR"/>
    <n v="496.62"/>
    <n v="541.31580000000008"/>
    <n v="0"/>
    <x v="0"/>
    <n v="11"/>
    <n v="1"/>
    <x v="1"/>
  </r>
  <r>
    <n v="1054"/>
    <x v="691"/>
    <s v="Lindsey Sullivan MD"/>
    <n v="66"/>
    <x v="4"/>
    <x v="1"/>
    <d v="2025-04-08T00:00:00"/>
    <d v="2025-01-02T00:00:00"/>
    <s v="David Barnett"/>
    <x v="688"/>
    <s v="Orthopedics"/>
    <x v="1"/>
    <s v="Rs290.47"/>
    <s v="INR"/>
    <n v="290.47000000000003"/>
    <n v="3.4856400000000005"/>
    <n v="1"/>
    <x v="0"/>
    <n v="12"/>
    <n v="1"/>
    <x v="0"/>
  </r>
  <r>
    <n v="1020"/>
    <x v="692"/>
    <s v="William Wilson"/>
    <n v="52"/>
    <x v="4"/>
    <x v="1"/>
    <d v="2026-02-16T00:00:00"/>
    <d v="2025-03-14T00:00:00"/>
    <s v="Jacob Bernard"/>
    <x v="689"/>
    <s v="General"/>
    <x v="3"/>
    <s v="‚Ç¨346.4"/>
    <s v="EUR"/>
    <n v="346.4"/>
    <n v="377.57600000000002"/>
    <n v="0"/>
    <x v="0"/>
    <n v="10"/>
    <n v="1"/>
    <x v="1"/>
  </r>
  <r>
    <n v="1087"/>
    <x v="693"/>
    <s v="Kenneth Cox"/>
    <n v="78"/>
    <x v="4"/>
    <x v="1"/>
    <d v="2026-01-22T00:00:00"/>
    <d v="2025-06-07T00:00:00"/>
    <s v="Brian Walker"/>
    <x v="690"/>
    <s v="General"/>
    <x v="3"/>
    <s v="$123.28"/>
    <s v="USD"/>
    <n v="123.28"/>
    <n v="123.28"/>
    <s v="No"/>
    <x v="2"/>
    <n v="8"/>
    <n v="1"/>
    <x v="0"/>
  </r>
  <r>
    <n v="1012"/>
    <x v="694"/>
    <s v="Susan Winters"/>
    <n v="45"/>
    <x v="3"/>
    <x v="2"/>
    <d v="2025-07-25T00:00:00"/>
    <d v="2024-08-31T00:00:00"/>
    <s v="Christopher Simpson"/>
    <x v="691"/>
    <s v="Orthopedics"/>
    <x v="1"/>
    <s v="$353.09"/>
    <s v="USD"/>
    <n v="353.09"/>
    <n v="353.09"/>
    <s v="No"/>
    <x v="2"/>
    <n v="9"/>
    <n v="1"/>
    <x v="1"/>
  </r>
  <r>
    <n v="1085"/>
    <x v="695"/>
    <s v="Marissa Randall"/>
    <n v="30"/>
    <x v="4"/>
    <x v="1"/>
    <d v="2025-12-23T00:00:00"/>
    <d v="2024-06-12T00:00:00"/>
    <s v="Kent Cannon"/>
    <x v="692"/>
    <s v="Neurology"/>
    <x v="2"/>
    <s v="Rs299.12"/>
    <s v="INR"/>
    <n v="299.12"/>
    <n v="3.5894400000000002"/>
    <n v="1"/>
    <x v="0"/>
    <n v="12"/>
    <n v="1"/>
    <x v="2"/>
  </r>
  <r>
    <n v="1012"/>
    <x v="696"/>
    <s v="Lydia Davis"/>
    <n v="30"/>
    <x v="1"/>
    <x v="0"/>
    <d v="2025-12-03T00:00:00"/>
    <d v="2024-05-18T00:00:00"/>
    <s v="Brian Rodriguez"/>
    <x v="693"/>
    <s v="Neurology"/>
    <x v="2"/>
    <s v="‚Ç¨286.79"/>
    <s v="EUR"/>
    <n v="286.79000000000002"/>
    <n v="312.60110000000003"/>
    <n v="1"/>
    <x v="0"/>
    <n v="9"/>
    <n v="1"/>
    <x v="2"/>
  </r>
  <r>
    <n v="1063"/>
    <x v="697"/>
    <s v="Jason Kennedy"/>
    <n v="46"/>
    <x v="2"/>
    <x v="1"/>
    <d v="2025-10-18T00:00:00"/>
    <d v="2024-10-03T00:00:00"/>
    <s v="Robert Fowler"/>
    <x v="694"/>
    <s v="Orthopedics"/>
    <x v="1"/>
    <s v="‚Ç¨330.76"/>
    <s v="EUR"/>
    <n v="330.76"/>
    <n v="360.52840000000003"/>
    <s v="N"/>
    <x v="2"/>
    <n v="11"/>
    <n v="1"/>
    <x v="1"/>
  </r>
  <r>
    <n v="1046"/>
    <x v="698"/>
    <s v="Melissa Brown"/>
    <n v="28"/>
    <x v="3"/>
    <x v="2"/>
    <d v="2025-04-20T00:00:00"/>
    <d v="2024-08-01T00:00:00"/>
    <s v="Bill Brown"/>
    <x v="695"/>
    <s v="Orthopedics"/>
    <x v="1"/>
    <s v="‚Ç¨69.76"/>
    <s v="EUR"/>
    <n v="69.760000000000005"/>
    <n v="76.03840000000001"/>
    <s v="Y"/>
    <x v="1"/>
    <n v="8"/>
    <n v="1"/>
    <x v="2"/>
  </r>
  <r>
    <n v="1031"/>
    <x v="699"/>
    <s v="Shannon Vargas"/>
    <n v="57"/>
    <x v="3"/>
    <x v="2"/>
    <d v="2025-05-31T00:00:00"/>
    <d v="2025-02-14T00:00:00"/>
    <s v="Brian Caldwell"/>
    <x v="696"/>
    <s v="Orthopedics"/>
    <x v="1"/>
    <s v="$341.11"/>
    <s v="USD"/>
    <n v="341.11"/>
    <n v="341.11"/>
    <s v="No"/>
    <x v="2"/>
    <n v="13"/>
    <n v="1"/>
    <x v="1"/>
  </r>
  <r>
    <n v="1098"/>
    <x v="700"/>
    <s v="Jennifer Dorsey"/>
    <n v="27"/>
    <x v="3"/>
    <x v="2"/>
    <d v="2026-02-10T00:00:00"/>
    <d v="2025-06-29T00:00:00"/>
    <s v="Michael Stanley"/>
    <x v="697"/>
    <s v="General"/>
    <x v="3"/>
    <s v="$147.08"/>
    <s v="USD"/>
    <n v="147.08000000000001"/>
    <n v="147.08000000000001"/>
    <s v="N"/>
    <x v="2"/>
    <n v="12"/>
    <n v="1"/>
    <x v="2"/>
  </r>
  <r>
    <n v="1021"/>
    <x v="701"/>
    <s v="Gary Simpson"/>
    <n v="63"/>
    <x v="4"/>
    <x v="1"/>
    <d v="2025-07-05T00:00:00"/>
    <d v="2025-06-21T00:00:00"/>
    <s v="Veronica Chen"/>
    <x v="698"/>
    <s v="Neurology"/>
    <x v="2"/>
    <s v="$462.6"/>
    <s v="USD"/>
    <n v="462.6"/>
    <n v="462.6"/>
    <n v="1"/>
    <x v="0"/>
    <n v="16"/>
    <n v="1"/>
    <x v="1"/>
  </r>
  <r>
    <n v="1085"/>
    <x v="702"/>
    <s v="Nicole Adams"/>
    <n v="25"/>
    <x v="1"/>
    <x v="0"/>
    <d v="2025-10-13T00:00:00"/>
    <d v="2025-03-13T00:00:00"/>
    <s v="Krystal Krueger"/>
    <x v="699"/>
    <s v="General"/>
    <x v="3"/>
    <s v="‚Ç¨357.53"/>
    <s v="EUR"/>
    <n v="357.53"/>
    <n v="389.70769999999999"/>
    <s v="Yes"/>
    <x v="1"/>
    <n v="12"/>
    <n v="1"/>
    <x v="2"/>
  </r>
  <r>
    <n v="1015"/>
    <x v="703"/>
    <s v="Gary Ramos"/>
    <n v="84"/>
    <x v="3"/>
    <x v="2"/>
    <d v="2026-03-25T00:00:00"/>
    <d v="2025-08-31T00:00:00"/>
    <s v="Gregory Riley"/>
    <x v="700"/>
    <s v="Cardiology"/>
    <x v="0"/>
    <s v="Rs353.35"/>
    <s v="INR"/>
    <n v="353.35"/>
    <n v="4.2402000000000006"/>
    <n v="1"/>
    <x v="0"/>
    <n v="17"/>
    <n v="1"/>
    <x v="0"/>
  </r>
  <r>
    <n v="1015"/>
    <x v="704"/>
    <s v="Veronica Shaw"/>
    <n v="86"/>
    <x v="3"/>
    <x v="2"/>
    <d v="2025-09-22T00:00:00"/>
    <d v="2024-07-15T00:00:00"/>
    <s v="Michael Franco"/>
    <x v="701"/>
    <s v="Orthopedics"/>
    <x v="1"/>
    <s v="¬£174.42"/>
    <s v="GBP"/>
    <n v="174.42"/>
    <n v="221.51339999999999"/>
    <s v="Yes"/>
    <x v="1"/>
    <n v="17"/>
    <n v="1"/>
    <x v="0"/>
  </r>
  <r>
    <n v="1008"/>
    <x v="705"/>
    <s v="Lisa Smith"/>
    <n v="40"/>
    <x v="3"/>
    <x v="2"/>
    <d v="2025-10-30T00:00:00"/>
    <d v="2024-07-31T00:00:00"/>
    <s v="Daniel Beck"/>
    <x v="702"/>
    <s v="Orthopedics"/>
    <x v="1"/>
    <s v="Rs449.41"/>
    <s v="INR"/>
    <n v="449.41"/>
    <n v="5.3929200000000002"/>
    <s v="N"/>
    <x v="2"/>
    <n v="11"/>
    <n v="1"/>
    <x v="1"/>
  </r>
  <r>
    <n v="1080"/>
    <x v="706"/>
    <s v="Eric Lawson"/>
    <n v="78"/>
    <x v="4"/>
    <x v="1"/>
    <d v="2026-02-02T00:00:00"/>
    <d v="2025-11-14T00:00:00"/>
    <s v="Andrew Webb"/>
    <x v="703"/>
    <s v="Cardiology"/>
    <x v="0"/>
    <s v="$179.07"/>
    <s v="USD"/>
    <n v="179.07"/>
    <n v="179.07"/>
    <s v="No"/>
    <x v="2"/>
    <n v="11"/>
    <n v="1"/>
    <x v="0"/>
  </r>
  <r>
    <n v="1067"/>
    <x v="707"/>
    <s v="Vanessa Wright"/>
    <n v="28"/>
    <x v="4"/>
    <x v="1"/>
    <d v="2026-01-07T00:00:00"/>
    <d v="2025-08-23T00:00:00"/>
    <s v="Virginia Sharp"/>
    <x v="704"/>
    <s v="Cardiology"/>
    <x v="0"/>
    <s v="Rs344.67"/>
    <s v="INR"/>
    <n v="344.67"/>
    <n v="4.1360400000000004"/>
    <s v="Y"/>
    <x v="1"/>
    <n v="9"/>
    <n v="1"/>
    <x v="2"/>
  </r>
  <r>
    <n v="1043"/>
    <x v="708"/>
    <s v="Edward Thomas"/>
    <n v="80"/>
    <x v="1"/>
    <x v="0"/>
    <d v="2025-09-28T00:00:00"/>
    <d v="2024-08-30T00:00:00"/>
    <s v="Teresa Medina"/>
    <x v="705"/>
    <s v="Neurology"/>
    <x v="2"/>
    <s v="$84.72"/>
    <s v="USD"/>
    <n v="84.72"/>
    <n v="84.72"/>
    <n v="1"/>
    <x v="0"/>
    <n v="12"/>
    <n v="1"/>
    <x v="0"/>
  </r>
  <r>
    <n v="1058"/>
    <x v="709"/>
    <s v="Cassandra Peterson"/>
    <n v="34"/>
    <x v="4"/>
    <x v="1"/>
    <d v="2025-04-23T00:00:00"/>
    <d v="2024-12-08T00:00:00"/>
    <s v="Mary Sanchez"/>
    <x v="706"/>
    <s v="Orthopedics"/>
    <x v="1"/>
    <m/>
    <s v="N/A"/>
    <s v=""/>
    <s v="N/A"/>
    <n v="1"/>
    <x v="0"/>
    <n v="17"/>
    <n v="1"/>
    <x v="2"/>
  </r>
  <r>
    <n v="1001"/>
    <x v="710"/>
    <s v="Ellen Stevens"/>
    <n v="35"/>
    <x v="4"/>
    <x v="1"/>
    <d v="2025-07-14T00:00:00"/>
    <d v="2024-07-02T00:00:00"/>
    <s v="Charles Wells"/>
    <x v="707"/>
    <s v="Orthopedics"/>
    <x v="1"/>
    <s v="¬£479.79"/>
    <s v="GBP"/>
    <n v="479.79"/>
    <n v="609.33330000000001"/>
    <n v="0"/>
    <x v="0"/>
    <n v="12"/>
    <n v="1"/>
    <x v="2"/>
  </r>
  <r>
    <n v="1012"/>
    <x v="711"/>
    <s v="Shawn Mendoza"/>
    <n v="36"/>
    <x v="3"/>
    <x v="2"/>
    <d v="2026-03-25T00:00:00"/>
    <d v="2024-05-03T00:00:00"/>
    <s v="Erin Walton"/>
    <x v="708"/>
    <s v="Cardiology"/>
    <x v="0"/>
    <s v="‚Ç¨77.99"/>
    <s v="EUR"/>
    <n v="77.989999999999995"/>
    <n v="85.009100000000004"/>
    <s v="N"/>
    <x v="2"/>
    <n v="9"/>
    <n v="1"/>
    <x v="2"/>
  </r>
  <r>
    <n v="1066"/>
    <x v="712"/>
    <s v="Sandra Hill"/>
    <n v="65"/>
    <x v="4"/>
    <x v="1"/>
    <d v="2025-08-10T00:00:00"/>
    <d v="2025-01-06T00:00:00"/>
    <s v="Julie May"/>
    <x v="709"/>
    <s v="Orthopedics"/>
    <x v="1"/>
    <s v="Rs113.2"/>
    <s v="INR"/>
    <n v="113.2"/>
    <n v="1.3584000000000001"/>
    <s v="Yes"/>
    <x v="1"/>
    <n v="11"/>
    <n v="1"/>
    <x v="0"/>
  </r>
  <r>
    <n v="1015"/>
    <x v="713"/>
    <s v="Oscar Hunt"/>
    <n v="29"/>
    <x v="4"/>
    <x v="1"/>
    <d v="2025-06-11T00:00:00"/>
    <d v="2024-07-02T00:00:00"/>
    <s v="Michael Mason"/>
    <x v="710"/>
    <s v="Cardiology"/>
    <x v="0"/>
    <s v="¬£363.04"/>
    <s v="GBP"/>
    <n v="363.04"/>
    <n v="461.06080000000003"/>
    <s v="Y"/>
    <x v="1"/>
    <n v="17"/>
    <n v="1"/>
    <x v="2"/>
  </r>
  <r>
    <n v="1024"/>
    <x v="714"/>
    <s v="Tristan Booth"/>
    <n v="22"/>
    <x v="3"/>
    <x v="2"/>
    <d v="2025-07-10T00:00:00"/>
    <d v="2024-07-16T00:00:00"/>
    <s v="Alicia Hall"/>
    <x v="711"/>
    <s v="Neurology"/>
    <x v="2"/>
    <s v="$477.72"/>
    <s v="USD"/>
    <n v="477.72"/>
    <n v="477.72"/>
    <n v="0"/>
    <x v="0"/>
    <n v="12"/>
    <n v="1"/>
    <x v="2"/>
  </r>
  <r>
    <n v="1013"/>
    <x v="715"/>
    <s v="Ashlee Warren"/>
    <n v="69"/>
    <x v="4"/>
    <x v="1"/>
    <d v="2026-01-21T00:00:00"/>
    <d v="2024-06-01T00:00:00"/>
    <s v="Cynthia Cruz"/>
    <x v="712"/>
    <s v="General"/>
    <x v="3"/>
    <s v="Rs289.74"/>
    <s v="INR"/>
    <n v="289.74"/>
    <n v="3.47688"/>
    <n v="1"/>
    <x v="0"/>
    <n v="10"/>
    <n v="1"/>
    <x v="0"/>
  </r>
  <r>
    <n v="1024"/>
    <x v="716"/>
    <s v="Alexander Vega"/>
    <n v="35"/>
    <x v="2"/>
    <x v="1"/>
    <d v="2025-08-17T00:00:00"/>
    <d v="2025-08-06T00:00:00"/>
    <s v="Karen Gomez"/>
    <x v="713"/>
    <s v="Neurology"/>
    <x v="2"/>
    <s v="$270.15"/>
    <s v="USD"/>
    <n v="270.14999999999998"/>
    <n v="270.14999999999998"/>
    <n v="1"/>
    <x v="0"/>
    <n v="12"/>
    <n v="1"/>
    <x v="2"/>
  </r>
  <r>
    <n v="1061"/>
    <x v="717"/>
    <s v="Breanna Lewis"/>
    <n v="59"/>
    <x v="1"/>
    <x v="0"/>
    <d v="2025-10-12T00:00:00"/>
    <d v="2025-06-15T00:00:00"/>
    <s v="Jerry Tucker"/>
    <x v="714"/>
    <s v="Orthopedics"/>
    <x v="1"/>
    <s v="¬£155.98"/>
    <s v="GBP"/>
    <n v="155.97999999999999"/>
    <n v="198.09459999999999"/>
    <s v="Y"/>
    <x v="1"/>
    <n v="8"/>
    <n v="1"/>
    <x v="1"/>
  </r>
  <r>
    <n v="1095"/>
    <x v="718"/>
    <s v="Jackie Lane"/>
    <n v="56"/>
    <x v="3"/>
    <x v="2"/>
    <d v="2025-06-04T00:00:00"/>
    <d v="2024-05-29T00:00:00"/>
    <s v="Jackie Harper"/>
    <x v="715"/>
    <s v="Cardiology"/>
    <x v="0"/>
    <s v="Rs335.27"/>
    <s v="INR"/>
    <n v="335.27"/>
    <n v="4.0232399999999995"/>
    <s v="Y"/>
    <x v="1"/>
    <n v="12"/>
    <n v="1"/>
    <x v="1"/>
  </r>
  <r>
    <n v="1048"/>
    <x v="719"/>
    <s v="Shawn Cordova"/>
    <n v="67"/>
    <x v="4"/>
    <x v="1"/>
    <d v="2025-11-27T00:00:00"/>
    <d v="2024-07-30T00:00:00"/>
    <s v="Wendy Mcguire"/>
    <x v="716"/>
    <s v="Neurology"/>
    <x v="2"/>
    <s v="Rs285.22"/>
    <s v="INR"/>
    <n v="285.22000000000003"/>
    <n v="3.4226400000000003"/>
    <s v="No"/>
    <x v="2"/>
    <n v="8"/>
    <n v="1"/>
    <x v="0"/>
  </r>
  <r>
    <n v="1033"/>
    <x v="720"/>
    <s v="Christina Macdonald"/>
    <n v="64"/>
    <x v="1"/>
    <x v="0"/>
    <d v="2025-09-16T00:00:00"/>
    <d v="2025-01-23T00:00:00"/>
    <s v="Samuel Ramirez"/>
    <x v="717"/>
    <s v="General"/>
    <x v="3"/>
    <s v="Rs91.36"/>
    <s v="INR"/>
    <n v="91.36"/>
    <n v="1.09632"/>
    <n v="1"/>
    <x v="0"/>
    <n v="11"/>
    <n v="1"/>
    <x v="1"/>
  </r>
  <r>
    <n v="1085"/>
    <x v="721"/>
    <s v="Dylan Jones"/>
    <n v="22"/>
    <x v="0"/>
    <x v="0"/>
    <d v="2025-10-02T00:00:00"/>
    <d v="2025-07-04T00:00:00"/>
    <s v="Katherine Small"/>
    <x v="718"/>
    <s v="General"/>
    <x v="3"/>
    <s v="Rs498.58"/>
    <s v="INR"/>
    <n v="498.58"/>
    <n v="5.9829600000000003"/>
    <n v="0"/>
    <x v="0"/>
    <n v="12"/>
    <n v="1"/>
    <x v="2"/>
  </r>
  <r>
    <n v="1003"/>
    <x v="722"/>
    <s v="Christine Herring"/>
    <n v="89"/>
    <x v="0"/>
    <x v="0"/>
    <d v="2025-12-22T00:00:00"/>
    <d v="2025-03-08T00:00:00"/>
    <s v="Kristin Hartman"/>
    <x v="719"/>
    <s v="General"/>
    <x v="3"/>
    <s v="‚Ç¨453.73"/>
    <s v="EUR"/>
    <n v="453.73"/>
    <n v="494.56570000000005"/>
    <s v="Yes"/>
    <x v="1"/>
    <n v="12"/>
    <n v="1"/>
    <x v="0"/>
  </r>
  <r>
    <n v="1030"/>
    <x v="723"/>
    <s v="Brandon Carter"/>
    <n v="72"/>
    <x v="1"/>
    <x v="0"/>
    <d v="2025-05-10T00:00:00"/>
    <d v="2025-02-27T00:00:00"/>
    <s v="James Aguilar"/>
    <x v="408"/>
    <s v="Neurology"/>
    <x v="2"/>
    <s v="¬£218.54"/>
    <s v="GBP"/>
    <n v="218.54"/>
    <n v="277.54579999999999"/>
    <s v="No"/>
    <x v="2"/>
    <n v="11"/>
    <n v="1"/>
    <x v="0"/>
  </r>
  <r>
    <n v="1083"/>
    <x v="724"/>
    <s v="Lori Dean"/>
    <n v="40"/>
    <x v="0"/>
    <x v="0"/>
    <d v="2025-11-05T00:00:00"/>
    <d v="2024-08-15T00:00:00"/>
    <s v="Theresa Williams"/>
    <x v="720"/>
    <s v="Orthopedics"/>
    <x v="1"/>
    <s v="Rs312.26"/>
    <s v="INR"/>
    <n v="312.26"/>
    <n v="3.7471199999999998"/>
    <n v="0"/>
    <x v="0"/>
    <n v="7"/>
    <n v="1"/>
    <x v="1"/>
  </r>
  <r>
    <n v="1004"/>
    <x v="725"/>
    <s v="Deborah Robinson"/>
    <n v="36"/>
    <x v="3"/>
    <x v="2"/>
    <d v="2026-01-25T00:00:00"/>
    <d v="2024-10-30T00:00:00"/>
    <s v="Joseph Bell"/>
    <x v="721"/>
    <s v="Cardiology"/>
    <x v="0"/>
    <s v="‚Ç¨159.21"/>
    <s v="EUR"/>
    <n v="159.21"/>
    <n v="173.53890000000001"/>
    <s v="Yes"/>
    <x v="1"/>
    <n v="9"/>
    <n v="1"/>
    <x v="2"/>
  </r>
  <r>
    <n v="1051"/>
    <x v="726"/>
    <s v="Jason Tate"/>
    <n v="71"/>
    <x v="0"/>
    <x v="0"/>
    <d v="2026-01-27T00:00:00"/>
    <d v="2025-03-07T00:00:00"/>
    <s v="Kimberly Young"/>
    <x v="722"/>
    <s v="Cardiology"/>
    <x v="0"/>
    <s v="‚Ç¨484.79"/>
    <s v="EUR"/>
    <n v="484.79"/>
    <n v="528.42110000000002"/>
    <n v="1"/>
    <x v="0"/>
    <n v="9"/>
    <n v="1"/>
    <x v="0"/>
  </r>
  <r>
    <n v="1059"/>
    <x v="727"/>
    <s v="Jill Mcconnell"/>
    <n v="81"/>
    <x v="0"/>
    <x v="0"/>
    <d v="2025-03-28T00:00:00"/>
    <d v="2025-02-16T00:00:00"/>
    <s v="Jessica Miller"/>
    <x v="723"/>
    <s v="Cardiology"/>
    <x v="0"/>
    <s v="Rs475.35"/>
    <s v="INR"/>
    <n v="475.35"/>
    <n v="5.7042000000000002"/>
    <s v="No"/>
    <x v="2"/>
    <n v="13"/>
    <n v="1"/>
    <x v="0"/>
  </r>
  <r>
    <n v="1044"/>
    <x v="728"/>
    <s v="Kyle Barnes Jr."/>
    <n v="21"/>
    <x v="3"/>
    <x v="2"/>
    <d v="2025-04-18T00:00:00"/>
    <d v="2024-09-24T00:00:00"/>
    <s v="Donna Peters"/>
    <x v="724"/>
    <s v="General"/>
    <x v="3"/>
    <s v="$156.1"/>
    <s v="USD"/>
    <n v="156.1"/>
    <n v="156.1"/>
    <s v="Y"/>
    <x v="1"/>
    <n v="12"/>
    <n v="1"/>
    <x v="2"/>
  </r>
  <r>
    <n v="1068"/>
    <x v="729"/>
    <s v="Regina Smith"/>
    <n v="87"/>
    <x v="3"/>
    <x v="2"/>
    <d v="2025-08-30T00:00:00"/>
    <d v="2024-12-15T00:00:00"/>
    <s v="Donna Orr"/>
    <x v="725"/>
    <s v="General"/>
    <x v="3"/>
    <s v="$246.13"/>
    <s v="USD"/>
    <n v="246.13"/>
    <n v="246.13"/>
    <s v="N"/>
    <x v="2"/>
    <n v="14"/>
    <n v="1"/>
    <x v="0"/>
  </r>
  <r>
    <n v="1024"/>
    <x v="730"/>
    <s v="Jeffrey Warren"/>
    <n v="60"/>
    <x v="0"/>
    <x v="0"/>
    <d v="2025-07-20T00:00:00"/>
    <d v="2024-11-21T00:00:00"/>
    <s v="Mrs. Michelle Reed"/>
    <x v="726"/>
    <s v="Cardiology"/>
    <x v="0"/>
    <s v="Rs340.54"/>
    <s v="INR"/>
    <n v="340.54"/>
    <n v="4.0864799999999999"/>
    <s v="No"/>
    <x v="2"/>
    <n v="12"/>
    <n v="1"/>
    <x v="1"/>
  </r>
  <r>
    <n v="1010"/>
    <x v="731"/>
    <s v="Andre Crosby"/>
    <n v="72"/>
    <x v="1"/>
    <x v="0"/>
    <d v="2026-02-16T00:00:00"/>
    <d v="2024-07-07T00:00:00"/>
    <s v="Douglas Smith"/>
    <x v="727"/>
    <s v="General"/>
    <x v="3"/>
    <s v="$235.81"/>
    <s v="USD"/>
    <n v="235.81"/>
    <n v="235.81"/>
    <s v="No"/>
    <x v="2"/>
    <n v="10"/>
    <n v="1"/>
    <x v="0"/>
  </r>
  <r>
    <n v="1099"/>
    <x v="732"/>
    <s v="Jessica Maldonado DDS"/>
    <n v="25"/>
    <x v="3"/>
    <x v="2"/>
    <d v="2025-04-21T00:00:00"/>
    <d v="2024-09-20T00:00:00"/>
    <s v="Kelly Thomas"/>
    <x v="728"/>
    <s v="Cardiology"/>
    <x v="0"/>
    <s v="¬£166.21"/>
    <s v="GBP"/>
    <n v="166.21"/>
    <n v="211.08670000000001"/>
    <s v="No"/>
    <x v="2"/>
    <n v="7"/>
    <n v="1"/>
    <x v="2"/>
  </r>
  <r>
    <n v="1060"/>
    <x v="733"/>
    <s v="Ian Bush"/>
    <n v="39"/>
    <x v="4"/>
    <x v="1"/>
    <d v="2026-01-09T00:00:00"/>
    <d v="2025-06-20T00:00:00"/>
    <s v="Steven Welch"/>
    <x v="729"/>
    <s v="Cardiology"/>
    <x v="0"/>
    <s v="‚Ç¨418.29"/>
    <s v="EUR"/>
    <n v="418.29"/>
    <n v="455.93610000000007"/>
    <n v="0"/>
    <x v="0"/>
    <n v="6"/>
    <n v="1"/>
    <x v="2"/>
  </r>
  <r>
    <n v="1044"/>
    <x v="734"/>
    <s v="Nicole Warren"/>
    <n v="63"/>
    <x v="0"/>
    <x v="0"/>
    <d v="2025-09-19T00:00:00"/>
    <d v="2025-02-07T00:00:00"/>
    <s v="Kimberly Beck"/>
    <x v="730"/>
    <s v="General"/>
    <x v="3"/>
    <s v="¬£415.35"/>
    <s v="GBP"/>
    <n v="415.35"/>
    <n v="527.49450000000002"/>
    <s v="N"/>
    <x v="2"/>
    <n v="12"/>
    <n v="1"/>
    <x v="1"/>
  </r>
  <r>
    <n v="1047"/>
    <x v="735"/>
    <s v="Dennis Jacobs"/>
    <n v="33"/>
    <x v="3"/>
    <x v="2"/>
    <d v="2026-02-18T00:00:00"/>
    <d v="2024-06-02T00:00:00"/>
    <s v="Katherine Long"/>
    <x v="731"/>
    <s v="General"/>
    <x v="3"/>
    <s v="$307.29"/>
    <s v="USD"/>
    <n v="307.29000000000002"/>
    <n v="307.29000000000002"/>
    <n v="1"/>
    <x v="0"/>
    <n v="17"/>
    <n v="1"/>
    <x v="2"/>
  </r>
  <r>
    <n v="1063"/>
    <x v="736"/>
    <s v="Edward Black"/>
    <n v="88"/>
    <x v="0"/>
    <x v="0"/>
    <d v="2025-12-04T00:00:00"/>
    <d v="2025-10-11T00:00:00"/>
    <s v="Nathan Summers"/>
    <x v="732"/>
    <s v="Orthopedics"/>
    <x v="1"/>
    <s v="Rs268.75"/>
    <s v="INR"/>
    <n v="268.75"/>
    <n v="3.2250000000000001"/>
    <s v="No"/>
    <x v="2"/>
    <n v="11"/>
    <n v="1"/>
    <x v="0"/>
  </r>
  <r>
    <n v="1036"/>
    <x v="737"/>
    <s v="Suzanne Jenkins"/>
    <n v="44"/>
    <x v="3"/>
    <x v="2"/>
    <d v="2025-10-13T00:00:00"/>
    <d v="2024-06-16T00:00:00"/>
    <s v="Maureen Jacobson"/>
    <x v="733"/>
    <s v="Orthopedics"/>
    <x v="1"/>
    <s v="‚Ç¨248.97"/>
    <s v="EUR"/>
    <n v="248.97"/>
    <n v="271.37729999999999"/>
    <n v="1"/>
    <x v="0"/>
    <n v="14"/>
    <n v="1"/>
    <x v="1"/>
  </r>
  <r>
    <n v="1002"/>
    <x v="738"/>
    <s v="Lindsey Green"/>
    <n v="28"/>
    <x v="3"/>
    <x v="2"/>
    <d v="2025-06-02T00:00:00"/>
    <d v="2024-06-21T00:00:00"/>
    <s v="James Fleming"/>
    <x v="734"/>
    <s v="Neurology"/>
    <x v="2"/>
    <s v="$270.71"/>
    <s v="USD"/>
    <n v="270.70999999999998"/>
    <n v="270.70999999999998"/>
    <n v="0"/>
    <x v="0"/>
    <n v="7"/>
    <n v="1"/>
    <x v="2"/>
  </r>
  <r>
    <n v="1075"/>
    <x v="739"/>
    <s v="Sarah Hernandez"/>
    <n v="25"/>
    <x v="0"/>
    <x v="0"/>
    <d v="2025-09-03T00:00:00"/>
    <d v="2024-10-27T00:00:00"/>
    <s v="Jeremy Mclaughlin"/>
    <x v="735"/>
    <s v="Orthopedics"/>
    <x v="1"/>
    <s v="$253.36"/>
    <s v="USD"/>
    <n v="253.36"/>
    <n v="253.36"/>
    <s v="Y"/>
    <x v="1"/>
    <n v="11"/>
    <n v="1"/>
    <x v="2"/>
  </r>
  <r>
    <n v="1090"/>
    <x v="740"/>
    <s v="Christina Eaton"/>
    <n v="85"/>
    <x v="4"/>
    <x v="1"/>
    <d v="2026-01-20T00:00:00"/>
    <d v="2025-03-10T00:00:00"/>
    <s v="Stephanie Kelley DVM"/>
    <x v="736"/>
    <s v="Neurology"/>
    <x v="2"/>
    <s v="$192.87"/>
    <s v="USD"/>
    <n v="192.87"/>
    <n v="192.87"/>
    <s v="No"/>
    <x v="2"/>
    <n v="8"/>
    <n v="1"/>
    <x v="0"/>
  </r>
  <r>
    <n v="1000"/>
    <x v="741"/>
    <s v="Angela Rogers"/>
    <n v="18"/>
    <x v="4"/>
    <x v="1"/>
    <d v="2025-08-14T00:00:00"/>
    <d v="2025-04-10T00:00:00"/>
    <s v="Dr. Brian Smith"/>
    <x v="737"/>
    <s v="Orthopedics"/>
    <x v="1"/>
    <s v="Rs362.08"/>
    <s v="INR"/>
    <n v="362.08"/>
    <n v="4.3449599999999995"/>
    <n v="0"/>
    <x v="0"/>
    <n v="3"/>
    <n v="1"/>
    <x v="2"/>
  </r>
  <r>
    <n v="1073"/>
    <x v="742"/>
    <s v="Molly Hayden"/>
    <n v="75"/>
    <x v="3"/>
    <x v="2"/>
    <d v="2026-01-06T00:00:00"/>
    <d v="2025-02-22T00:00:00"/>
    <s v="Brian Chambers"/>
    <x v="738"/>
    <s v="General"/>
    <x v="3"/>
    <s v="¬£306.62"/>
    <s v="GBP"/>
    <n v="306.62"/>
    <n v="389.4074"/>
    <s v="N"/>
    <x v="2"/>
    <n v="11"/>
    <n v="1"/>
    <x v="0"/>
  </r>
  <r>
    <n v="1075"/>
    <x v="743"/>
    <s v="Brian Clarke"/>
    <n v="73"/>
    <x v="3"/>
    <x v="2"/>
    <d v="2025-04-05T00:00:00"/>
    <d v="2024-12-20T00:00:00"/>
    <s v="Amanda Hoffman"/>
    <x v="739"/>
    <s v="Neurology"/>
    <x v="2"/>
    <s v="$348.18"/>
    <s v="USD"/>
    <n v="348.18"/>
    <n v="348.18"/>
    <n v="0"/>
    <x v="0"/>
    <n v="11"/>
    <n v="1"/>
    <x v="0"/>
  </r>
  <r>
    <n v="1033"/>
    <x v="744"/>
    <s v="Steven Morgan"/>
    <n v="58"/>
    <x v="4"/>
    <x v="1"/>
    <d v="2025-05-24T00:00:00"/>
    <d v="2024-09-09T00:00:00"/>
    <s v="Donna Adkins"/>
    <x v="740"/>
    <s v="Orthopedics"/>
    <x v="1"/>
    <s v="¬£298.42"/>
    <s v="GBP"/>
    <n v="298.42"/>
    <n v="378.99340000000001"/>
    <n v="1"/>
    <x v="0"/>
    <n v="11"/>
    <n v="1"/>
    <x v="1"/>
  </r>
  <r>
    <n v="1051"/>
    <x v="745"/>
    <s v="Kyle Jones"/>
    <n v="52"/>
    <x v="4"/>
    <x v="1"/>
    <d v="2025-10-31T00:00:00"/>
    <d v="2024-09-01T00:00:00"/>
    <s v="Sara Morse"/>
    <x v="741"/>
    <s v="Neurology"/>
    <x v="2"/>
    <m/>
    <s v="N/A"/>
    <s v=""/>
    <s v="N/A"/>
    <n v="0"/>
    <x v="0"/>
    <n v="9"/>
    <n v="1"/>
    <x v="1"/>
  </r>
  <r>
    <n v="1021"/>
    <x v="746"/>
    <s v="Mrs. Jennifer Ingram"/>
    <n v="41"/>
    <x v="2"/>
    <x v="1"/>
    <d v="2025-09-11T00:00:00"/>
    <d v="2024-11-30T00:00:00"/>
    <s v="Katrina Williams MD"/>
    <x v="742"/>
    <s v="General"/>
    <x v="3"/>
    <s v="$473.2"/>
    <s v="USD"/>
    <n v="473.2"/>
    <n v="473.2"/>
    <s v="No"/>
    <x v="2"/>
    <n v="16"/>
    <n v="1"/>
    <x v="1"/>
  </r>
  <r>
    <n v="1052"/>
    <x v="747"/>
    <s v="Troy Torres"/>
    <n v="80"/>
    <x v="3"/>
    <x v="2"/>
    <d v="2025-05-04T00:00:00"/>
    <d v="2024-09-20T00:00:00"/>
    <s v="Matthew Carney"/>
    <x v="743"/>
    <s v="Cardiology"/>
    <x v="0"/>
    <s v="$124.09"/>
    <s v="USD"/>
    <n v="124.09"/>
    <n v="124.09"/>
    <s v="N"/>
    <x v="2"/>
    <n v="8"/>
    <n v="1"/>
    <x v="0"/>
  </r>
  <r>
    <n v="1028"/>
    <x v="748"/>
    <s v="Stephanie Moss"/>
    <n v="24"/>
    <x v="0"/>
    <x v="0"/>
    <d v="2026-03-04T00:00:00"/>
    <d v="2025-04-02T00:00:00"/>
    <s v="Jason Bray"/>
    <x v="744"/>
    <s v="General"/>
    <x v="3"/>
    <s v="‚Ç¨52.32"/>
    <s v="EUR"/>
    <n v="52.32"/>
    <n v="57.028800000000004"/>
    <s v="Y"/>
    <x v="1"/>
    <n v="8"/>
    <n v="1"/>
    <x v="2"/>
  </r>
  <r>
    <n v="1062"/>
    <x v="749"/>
    <s v="Jade Blanchard MD"/>
    <n v="23"/>
    <x v="0"/>
    <x v="0"/>
    <d v="2026-01-29T00:00:00"/>
    <d v="2024-07-01T00:00:00"/>
    <s v="Amber Waters"/>
    <x v="745"/>
    <s v="Orthopedics"/>
    <x v="1"/>
    <s v="$151.03"/>
    <s v="USD"/>
    <n v="151.03"/>
    <n v="151.03"/>
    <s v="No"/>
    <x v="2"/>
    <n v="6"/>
    <n v="1"/>
    <x v="2"/>
  </r>
  <r>
    <n v="1088"/>
    <x v="750"/>
    <s v="Pamela Johnson"/>
    <n v="80"/>
    <x v="1"/>
    <x v="0"/>
    <d v="2025-07-01T00:00:00"/>
    <d v="2024-11-12T00:00:00"/>
    <s v="Crystal Garza"/>
    <x v="746"/>
    <s v="General"/>
    <x v="3"/>
    <s v="Rs417.42"/>
    <s v="INR"/>
    <n v="417.42"/>
    <n v="5.0090400000000006"/>
    <s v="Y"/>
    <x v="1"/>
    <n v="16"/>
    <n v="1"/>
    <x v="0"/>
  </r>
  <r>
    <n v="1028"/>
    <x v="751"/>
    <s v="Glenn Wall"/>
    <n v="26"/>
    <x v="3"/>
    <x v="2"/>
    <d v="2025-09-15T00:00:00"/>
    <d v="2025-05-13T00:00:00"/>
    <s v="Sarah Peterson"/>
    <x v="747"/>
    <s v="Cardiology"/>
    <x v="0"/>
    <s v="$112.9"/>
    <s v="USD"/>
    <n v="112.9"/>
    <n v="112.9"/>
    <s v="Y"/>
    <x v="1"/>
    <n v="8"/>
    <n v="1"/>
    <x v="2"/>
  </r>
  <r>
    <n v="1050"/>
    <x v="752"/>
    <s v="Christopher Beard"/>
    <n v="65"/>
    <x v="4"/>
    <x v="1"/>
    <d v="2026-03-04T00:00:00"/>
    <d v="2024-06-01T00:00:00"/>
    <s v="Jerry Torres"/>
    <x v="748"/>
    <s v="General"/>
    <x v="3"/>
    <s v="Rs126.44"/>
    <s v="INR"/>
    <n v="126.44"/>
    <n v="1.51728"/>
    <s v="Y"/>
    <x v="1"/>
    <n v="12"/>
    <n v="1"/>
    <x v="0"/>
  </r>
  <r>
    <n v="1004"/>
    <x v="753"/>
    <s v="Darin Caldwell"/>
    <n v="54"/>
    <x v="2"/>
    <x v="1"/>
    <d v="2025-09-03T00:00:00"/>
    <d v="2025-02-20T00:00:00"/>
    <s v="Danielle Pacheco"/>
    <x v="749"/>
    <s v="Cardiology"/>
    <x v="0"/>
    <s v="‚Ç¨185.15"/>
    <s v="EUR"/>
    <n v="185.15"/>
    <n v="201.81350000000003"/>
    <s v="No"/>
    <x v="2"/>
    <n v="9"/>
    <n v="1"/>
    <x v="1"/>
  </r>
  <r>
    <n v="1044"/>
    <x v="754"/>
    <s v="Henry Henderson"/>
    <n v="58"/>
    <x v="4"/>
    <x v="1"/>
    <d v="2025-06-10T00:00:00"/>
    <d v="2024-08-02T00:00:00"/>
    <s v="James Love"/>
    <x v="750"/>
    <s v="Orthopedics"/>
    <x v="1"/>
    <m/>
    <s v="N/A"/>
    <s v=""/>
    <s v="N/A"/>
    <s v="No"/>
    <x v="2"/>
    <n v="12"/>
    <n v="1"/>
    <x v="1"/>
  </r>
  <r>
    <n v="1030"/>
    <x v="755"/>
    <s v="Regina Giles"/>
    <n v="42"/>
    <x v="4"/>
    <x v="1"/>
    <d v="2025-10-24T00:00:00"/>
    <d v="2024-11-27T00:00:00"/>
    <s v="Kimberly Foster"/>
    <x v="751"/>
    <s v="Neurology"/>
    <x v="2"/>
    <s v="‚Ç¨258.9"/>
    <s v="EUR"/>
    <n v="258.89999999999998"/>
    <n v="282.20100000000002"/>
    <s v="Y"/>
    <x v="1"/>
    <n v="11"/>
    <n v="1"/>
    <x v="1"/>
  </r>
  <r>
    <n v="1073"/>
    <x v="756"/>
    <s v="Curtis Cooke"/>
    <n v="84"/>
    <x v="4"/>
    <x v="1"/>
    <d v="2025-09-29T00:00:00"/>
    <d v="2024-06-24T00:00:00"/>
    <s v="John Hancock"/>
    <x v="752"/>
    <s v="Neurology"/>
    <x v="2"/>
    <s v="‚Ç¨477.08"/>
    <s v="EUR"/>
    <n v="477.08"/>
    <n v="520.0172"/>
    <s v="No"/>
    <x v="2"/>
    <n v="11"/>
    <n v="1"/>
    <x v="0"/>
  </r>
  <r>
    <n v="1018"/>
    <x v="757"/>
    <s v="Joel Marshall"/>
    <n v="55"/>
    <x v="3"/>
    <x v="2"/>
    <d v="2025-12-23T00:00:00"/>
    <d v="2025-02-23T00:00:00"/>
    <s v="Victoria Garcia"/>
    <x v="753"/>
    <s v="Neurology"/>
    <x v="2"/>
    <s v="‚Ç¨306.8"/>
    <s v="EUR"/>
    <n v="306.8"/>
    <n v="334.41200000000003"/>
    <n v="0"/>
    <x v="0"/>
    <n v="14"/>
    <n v="1"/>
    <x v="1"/>
  </r>
  <r>
    <n v="1062"/>
    <x v="758"/>
    <s v="Peter Schaefer"/>
    <n v="84"/>
    <x v="0"/>
    <x v="0"/>
    <d v="2025-08-27T00:00:00"/>
    <d v="2024-06-02T00:00:00"/>
    <s v="Carlos Spence"/>
    <x v="754"/>
    <s v="Cardiology"/>
    <x v="0"/>
    <s v="Rs190.01"/>
    <s v="INR"/>
    <n v="190.01"/>
    <n v="2.2801200000000001"/>
    <s v="No"/>
    <x v="2"/>
    <n v="6"/>
    <n v="1"/>
    <x v="0"/>
  </r>
  <r>
    <n v="1014"/>
    <x v="759"/>
    <s v="Andrew Cross"/>
    <n v="67"/>
    <x v="0"/>
    <x v="0"/>
    <d v="2026-03-26T00:00:00"/>
    <d v="2026-03-07T00:00:00"/>
    <s v="Victor Warner"/>
    <x v="755"/>
    <s v="General"/>
    <x v="3"/>
    <s v="Rs281.44"/>
    <s v="INR"/>
    <n v="281.44"/>
    <n v="3.3772799999999998"/>
    <s v="N"/>
    <x v="2"/>
    <n v="10"/>
    <n v="1"/>
    <x v="0"/>
  </r>
  <r>
    <n v="1030"/>
    <x v="760"/>
    <s v="Jonathan Fernandez"/>
    <n v="40"/>
    <x v="4"/>
    <x v="1"/>
    <d v="2025-12-03T00:00:00"/>
    <d v="2025-09-08T00:00:00"/>
    <s v="Luis Nolan"/>
    <x v="756"/>
    <s v="Orthopedics"/>
    <x v="1"/>
    <s v="Rs252.73"/>
    <s v="INR"/>
    <n v="252.73"/>
    <n v="3.0327600000000001"/>
    <s v="Y"/>
    <x v="1"/>
    <n v="11"/>
    <n v="1"/>
    <x v="1"/>
  </r>
  <r>
    <n v="1081"/>
    <x v="761"/>
    <s v="Rebecca Gould"/>
    <n v="72"/>
    <x v="0"/>
    <x v="0"/>
    <d v="2025-04-04T00:00:00"/>
    <d v="2024-12-17T00:00:00"/>
    <s v="Xavier Richardson"/>
    <x v="757"/>
    <s v="General"/>
    <x v="3"/>
    <s v="¬£397.0"/>
    <s v="GBP"/>
    <n v="397"/>
    <n v="504.19"/>
    <s v="No"/>
    <x v="2"/>
    <n v="9"/>
    <n v="1"/>
    <x v="0"/>
  </r>
  <r>
    <n v="1065"/>
    <x v="762"/>
    <s v="Anthony Nash"/>
    <n v="32"/>
    <x v="4"/>
    <x v="1"/>
    <d v="2025-05-13T00:00:00"/>
    <d v="2024-08-21T00:00:00"/>
    <s v="Brianna Shea"/>
    <x v="758"/>
    <s v="Cardiology"/>
    <x v="0"/>
    <s v="Rs392.0"/>
    <s v="INR"/>
    <n v="392"/>
    <n v="4.7039999999999997"/>
    <n v="1"/>
    <x v="0"/>
    <n v="9"/>
    <n v="1"/>
    <x v="2"/>
  </r>
  <r>
    <n v="1081"/>
    <x v="763"/>
    <s v="Kimberly Fitzpatrick"/>
    <n v="65"/>
    <x v="1"/>
    <x v="0"/>
    <d v="2025-10-07T00:00:00"/>
    <d v="2024-12-09T00:00:00"/>
    <s v="Mark Moore"/>
    <x v="759"/>
    <s v="Orthopedics"/>
    <x v="1"/>
    <m/>
    <s v="N/A"/>
    <s v=""/>
    <s v="N/A"/>
    <s v="No"/>
    <x v="2"/>
    <n v="9"/>
    <n v="1"/>
    <x v="0"/>
  </r>
  <r>
    <n v="1017"/>
    <x v="764"/>
    <s v="Elizabeth Duke"/>
    <n v="82"/>
    <x v="0"/>
    <x v="0"/>
    <d v="2026-01-15T00:00:00"/>
    <d v="2025-07-24T00:00:00"/>
    <s v="Michael Rogers"/>
    <x v="760"/>
    <s v="General"/>
    <x v="3"/>
    <s v="‚Ç¨156.61"/>
    <s v="EUR"/>
    <n v="156.61000000000001"/>
    <n v="170.70490000000004"/>
    <n v="0"/>
    <x v="0"/>
    <n v="8"/>
    <n v="1"/>
    <x v="0"/>
  </r>
  <r>
    <n v="1001"/>
    <x v="765"/>
    <s v="Richard Griffin"/>
    <n v="61"/>
    <x v="4"/>
    <x v="1"/>
    <d v="2025-10-24T00:00:00"/>
    <d v="2025-08-21T00:00:00"/>
    <s v="Tina Gonzalez"/>
    <x v="761"/>
    <s v="Orthopedics"/>
    <x v="1"/>
    <s v="Rs81.87"/>
    <s v="INR"/>
    <n v="81.87"/>
    <n v="0.98244000000000009"/>
    <s v="Yes"/>
    <x v="1"/>
    <n v="12"/>
    <n v="1"/>
    <x v="1"/>
  </r>
  <r>
    <n v="1042"/>
    <x v="766"/>
    <s v="Erica Jimenez"/>
    <n v="75"/>
    <x v="4"/>
    <x v="1"/>
    <d v="2025-12-17T00:00:00"/>
    <d v="2024-09-22T00:00:00"/>
    <s v="Bethany Mcpherson"/>
    <x v="762"/>
    <s v="Neurology"/>
    <x v="2"/>
    <s v="¬£438.16"/>
    <s v="GBP"/>
    <n v="438.16"/>
    <n v="556.46320000000003"/>
    <n v="0"/>
    <x v="0"/>
    <n v="4"/>
    <n v="1"/>
    <x v="0"/>
  </r>
  <r>
    <n v="1015"/>
    <x v="767"/>
    <s v="Melissa Allen"/>
    <n v="35"/>
    <x v="0"/>
    <x v="0"/>
    <d v="2025-10-29T00:00:00"/>
    <d v="2025-06-13T00:00:00"/>
    <s v="Rodney Lopez"/>
    <x v="763"/>
    <s v="General"/>
    <x v="3"/>
    <s v="¬£447.77"/>
    <s v="GBP"/>
    <n v="447.77"/>
    <n v="568.66790000000003"/>
    <n v="0"/>
    <x v="0"/>
    <n v="17"/>
    <n v="1"/>
    <x v="2"/>
  </r>
  <r>
    <n v="1098"/>
    <x v="768"/>
    <s v="Manuel Becker"/>
    <n v="66"/>
    <x v="1"/>
    <x v="0"/>
    <d v="2025-05-17T00:00:00"/>
    <d v="2024-08-29T00:00:00"/>
    <s v="Jacob Patel"/>
    <x v="764"/>
    <s v="Neurology"/>
    <x v="2"/>
    <s v="$139.99"/>
    <s v="USD"/>
    <n v="139.99"/>
    <n v="139.99"/>
    <s v="N"/>
    <x v="2"/>
    <n v="12"/>
    <n v="1"/>
    <x v="0"/>
  </r>
  <r>
    <n v="1099"/>
    <x v="769"/>
    <s v="Erika Davis"/>
    <n v="42"/>
    <x v="4"/>
    <x v="1"/>
    <d v="2025-07-30T00:00:00"/>
    <d v="2025-03-09T00:00:00"/>
    <s v="Jamie Andrews"/>
    <x v="765"/>
    <s v="Cardiology"/>
    <x v="0"/>
    <s v="¬£393.1"/>
    <s v="GBP"/>
    <n v="393.1"/>
    <n v="499.23700000000002"/>
    <n v="1"/>
    <x v="0"/>
    <n v="7"/>
    <n v="1"/>
    <x v="1"/>
  </r>
  <r>
    <n v="1032"/>
    <x v="770"/>
    <s v="Shannon Flores"/>
    <n v="19"/>
    <x v="3"/>
    <x v="2"/>
    <d v="2025-09-07T00:00:00"/>
    <d v="2024-05-30T00:00:00"/>
    <s v="Scott Washington"/>
    <x v="766"/>
    <s v="Cardiology"/>
    <x v="0"/>
    <s v="¬£248.78"/>
    <s v="GBP"/>
    <n v="248.78"/>
    <n v="315.95060000000001"/>
    <n v="1"/>
    <x v="0"/>
    <n v="7"/>
    <n v="1"/>
    <x v="2"/>
  </r>
  <r>
    <n v="1034"/>
    <x v="771"/>
    <s v="Tara Garrison"/>
    <n v="41"/>
    <x v="2"/>
    <x v="1"/>
    <d v="2026-02-03T00:00:00"/>
    <d v="2025-10-04T00:00:00"/>
    <s v="Stacy Hartman"/>
    <x v="767"/>
    <s v="Cardiology"/>
    <x v="0"/>
    <s v="¬£453.09"/>
    <s v="GBP"/>
    <n v="453.09"/>
    <n v="575.42430000000002"/>
    <s v="Yes"/>
    <x v="1"/>
    <n v="8"/>
    <n v="1"/>
    <x v="1"/>
  </r>
  <r>
    <n v="1005"/>
    <x v="772"/>
    <s v="Pamela Davis"/>
    <n v="27"/>
    <x v="0"/>
    <x v="0"/>
    <d v="2025-11-23T00:00:00"/>
    <d v="2024-04-12T00:00:00"/>
    <s v="Kevin Fields"/>
    <x v="768"/>
    <s v="General"/>
    <x v="3"/>
    <s v="‚Ç¨57.05"/>
    <s v="EUR"/>
    <n v="57.05"/>
    <n v="62.1845"/>
    <n v="1"/>
    <x v="0"/>
    <n v="13"/>
    <n v="1"/>
    <x v="2"/>
  </r>
  <r>
    <n v="1050"/>
    <x v="773"/>
    <s v="Sandra Terry"/>
    <n v="21"/>
    <x v="3"/>
    <x v="2"/>
    <d v="2025-07-15T00:00:00"/>
    <d v="2024-07-23T00:00:00"/>
    <s v="Debra Buchanan"/>
    <x v="769"/>
    <s v="Neurology"/>
    <x v="2"/>
    <s v="¬£386.04"/>
    <s v="GBP"/>
    <n v="386.04"/>
    <n v="490.27080000000001"/>
    <n v="0"/>
    <x v="0"/>
    <n v="12"/>
    <n v="1"/>
    <x v="2"/>
  </r>
  <r>
    <n v="1069"/>
    <x v="774"/>
    <s v="Steven Miller"/>
    <n v="20"/>
    <x v="3"/>
    <x v="2"/>
    <d v="2025-05-01T00:00:00"/>
    <d v="2025-04-28T00:00:00"/>
    <s v="Bob Shaw"/>
    <x v="770"/>
    <s v="Orthopedics"/>
    <x v="1"/>
    <s v="¬£204.82"/>
    <s v="GBP"/>
    <n v="204.82"/>
    <n v="260.12139999999999"/>
    <s v="N"/>
    <x v="2"/>
    <n v="10"/>
    <n v="1"/>
    <x v="2"/>
  </r>
  <r>
    <n v="1001"/>
    <x v="775"/>
    <s v="Haley King"/>
    <n v="84"/>
    <x v="4"/>
    <x v="1"/>
    <d v="2026-02-12T00:00:00"/>
    <d v="2024-06-21T00:00:00"/>
    <s v="Erin Carr"/>
    <x v="771"/>
    <s v="Cardiology"/>
    <x v="0"/>
    <s v="‚Ç¨239.93"/>
    <s v="EUR"/>
    <n v="239.93"/>
    <n v="261.52370000000002"/>
    <s v="No"/>
    <x v="2"/>
    <n v="12"/>
    <n v="1"/>
    <x v="0"/>
  </r>
  <r>
    <n v="1066"/>
    <x v="776"/>
    <s v="Jonathan Wood"/>
    <n v="74"/>
    <x v="0"/>
    <x v="0"/>
    <d v="2025-05-23T00:00:00"/>
    <d v="2024-12-26T00:00:00"/>
    <s v="Jon Duarte"/>
    <x v="772"/>
    <s v="Orthopedics"/>
    <x v="1"/>
    <s v="Rs486.07"/>
    <s v="INR"/>
    <n v="486.07"/>
    <n v="5.83284"/>
    <s v="Y"/>
    <x v="1"/>
    <n v="11"/>
    <n v="1"/>
    <x v="0"/>
  </r>
  <r>
    <n v="1018"/>
    <x v="777"/>
    <s v="Jessica Ali"/>
    <n v="70"/>
    <x v="0"/>
    <x v="0"/>
    <d v="2025-05-01T00:00:00"/>
    <d v="2024-09-17T00:00:00"/>
    <s v="Willie Rose"/>
    <x v="773"/>
    <s v="Cardiology"/>
    <x v="0"/>
    <s v="‚Ç¨73.35"/>
    <s v="EUR"/>
    <n v="73.349999999999994"/>
    <n v="79.951499999999996"/>
    <n v="1"/>
    <x v="0"/>
    <n v="14"/>
    <n v="1"/>
    <x v="0"/>
  </r>
  <r>
    <n v="1033"/>
    <x v="778"/>
    <s v="Bridget Cooley"/>
    <n v="75"/>
    <x v="0"/>
    <x v="0"/>
    <d v="2026-02-22T00:00:00"/>
    <d v="2025-02-25T00:00:00"/>
    <s v="Ashley Edwards"/>
    <x v="774"/>
    <s v="General"/>
    <x v="3"/>
    <s v="¬£144.78"/>
    <s v="GBP"/>
    <n v="144.78"/>
    <n v="183.8706"/>
    <s v="Yes"/>
    <x v="1"/>
    <n v="11"/>
    <n v="1"/>
    <x v="0"/>
  </r>
  <r>
    <n v="1094"/>
    <x v="779"/>
    <s v="Brad Hill"/>
    <n v="87"/>
    <x v="4"/>
    <x v="1"/>
    <d v="2025-10-22T00:00:00"/>
    <d v="2025-02-28T00:00:00"/>
    <s v="Emily Joseph"/>
    <x v="775"/>
    <s v="Cardiology"/>
    <x v="0"/>
    <s v="‚Ç¨92.16"/>
    <s v="EUR"/>
    <n v="92.16"/>
    <n v="100.45440000000001"/>
    <n v="1"/>
    <x v="0"/>
    <n v="8"/>
    <n v="1"/>
    <x v="0"/>
  </r>
  <r>
    <n v="1078"/>
    <x v="780"/>
    <s v="Nathan Murphy"/>
    <n v="52"/>
    <x v="0"/>
    <x v="0"/>
    <d v="2025-11-24T00:00:00"/>
    <d v="2024-05-10T00:00:00"/>
    <s v="Kerry Rowe"/>
    <x v="776"/>
    <s v="Cardiology"/>
    <x v="0"/>
    <s v="Rs164.9"/>
    <s v="INR"/>
    <n v="164.9"/>
    <n v="1.9788000000000001"/>
    <s v="N"/>
    <x v="2"/>
    <n v="8"/>
    <n v="1"/>
    <x v="1"/>
  </r>
  <r>
    <n v="1072"/>
    <x v="781"/>
    <s v="Stephanie Caldwell MD"/>
    <n v="86"/>
    <x v="0"/>
    <x v="0"/>
    <d v="2025-07-04T00:00:00"/>
    <d v="2025-01-19T00:00:00"/>
    <s v="Darrell Mendez"/>
    <x v="777"/>
    <s v="Orthopedics"/>
    <x v="1"/>
    <s v="$74.84"/>
    <s v="USD"/>
    <n v="74.84"/>
    <n v="74.84"/>
    <s v="Y"/>
    <x v="1"/>
    <n v="9"/>
    <n v="1"/>
    <x v="0"/>
  </r>
  <r>
    <n v="1011"/>
    <x v="782"/>
    <s v="Henry Carlson"/>
    <n v="65"/>
    <x v="0"/>
    <x v="0"/>
    <d v="2025-09-23T00:00:00"/>
    <d v="2024-04-01T00:00:00"/>
    <s v="Benjamin Brown"/>
    <x v="778"/>
    <s v="Orthopedics"/>
    <x v="1"/>
    <s v="Rs230.11"/>
    <s v="INR"/>
    <n v="230.11"/>
    <n v="2.7613200000000004"/>
    <s v="Y"/>
    <x v="1"/>
    <n v="7"/>
    <n v="1"/>
    <x v="0"/>
  </r>
  <r>
    <n v="1045"/>
    <x v="783"/>
    <s v="Michael Evans"/>
    <n v="65"/>
    <x v="3"/>
    <x v="2"/>
    <d v="2025-03-28T00:00:00"/>
    <d v="2025-01-04T00:00:00"/>
    <s v="Manuel Vargas"/>
    <x v="779"/>
    <s v="Orthopedics"/>
    <x v="1"/>
    <s v="‚Ç¨304.67"/>
    <s v="EUR"/>
    <n v="304.67"/>
    <n v="332.09030000000001"/>
    <s v="No"/>
    <x v="2"/>
    <n v="8"/>
    <n v="1"/>
    <x v="0"/>
  </r>
  <r>
    <n v="1095"/>
    <x v="784"/>
    <s v="Regina Wilson"/>
    <n v="73"/>
    <x v="4"/>
    <x v="1"/>
    <d v="2025-12-31T00:00:00"/>
    <d v="2024-12-14T00:00:00"/>
    <s v="Heidi Hamilton"/>
    <x v="780"/>
    <s v="Neurology"/>
    <x v="2"/>
    <s v="¬£275.12"/>
    <s v="GBP"/>
    <n v="275.12"/>
    <n v="349.4024"/>
    <s v="Yes"/>
    <x v="1"/>
    <n v="12"/>
    <n v="1"/>
    <x v="0"/>
  </r>
  <r>
    <n v="1074"/>
    <x v="785"/>
    <s v="Jeremiah Cruz"/>
    <n v="64"/>
    <x v="2"/>
    <x v="1"/>
    <d v="2026-03-14T00:00:00"/>
    <d v="2026-02-10T00:00:00"/>
    <s v="Matthew Pratt"/>
    <x v="781"/>
    <s v="Neurology"/>
    <x v="2"/>
    <s v="‚Ç¨177.85"/>
    <s v="EUR"/>
    <n v="177.85"/>
    <n v="193.85650000000001"/>
    <s v="Y"/>
    <x v="1"/>
    <n v="17"/>
    <n v="1"/>
    <x v="1"/>
  </r>
  <r>
    <n v="1080"/>
    <x v="786"/>
    <s v="Nicholas Vasquez"/>
    <n v="49"/>
    <x v="4"/>
    <x v="1"/>
    <d v="2025-10-30T00:00:00"/>
    <d v="2025-06-12T00:00:00"/>
    <s v="Jennifer Anderson"/>
    <x v="782"/>
    <s v="Neurology"/>
    <x v="2"/>
    <s v="Rs410.8"/>
    <s v="INR"/>
    <n v="410.8"/>
    <n v="4.9296000000000006"/>
    <s v="N"/>
    <x v="2"/>
    <n v="11"/>
    <n v="1"/>
    <x v="1"/>
  </r>
  <r>
    <n v="1069"/>
    <x v="787"/>
    <s v="Cheryl Smith"/>
    <n v="48"/>
    <x v="1"/>
    <x v="0"/>
    <d v="2025-10-01T00:00:00"/>
    <d v="2024-11-03T00:00:00"/>
    <s v="Sarah Harper DDS"/>
    <x v="783"/>
    <s v="Cardiology"/>
    <x v="0"/>
    <s v="$97.46"/>
    <s v="USD"/>
    <n v="97.46"/>
    <n v="97.46"/>
    <s v="No"/>
    <x v="2"/>
    <n v="10"/>
    <n v="1"/>
    <x v="1"/>
  </r>
  <r>
    <n v="1051"/>
    <x v="788"/>
    <s v="Matthew Moore"/>
    <n v="63"/>
    <x v="3"/>
    <x v="2"/>
    <d v="2026-03-02T00:00:00"/>
    <d v="2025-03-04T00:00:00"/>
    <s v="Erica Riley"/>
    <x v="784"/>
    <s v="General"/>
    <x v="3"/>
    <s v="Rs116.32"/>
    <s v="INR"/>
    <n v="116.32"/>
    <n v="1.39584"/>
    <s v="Yes"/>
    <x v="1"/>
    <n v="9"/>
    <n v="1"/>
    <x v="1"/>
  </r>
  <r>
    <n v="1092"/>
    <x v="789"/>
    <s v="Katherine Wilson"/>
    <n v="44"/>
    <x v="3"/>
    <x v="2"/>
    <d v="2025-12-01T00:00:00"/>
    <d v="2024-07-31T00:00:00"/>
    <s v="Mitchell Sims"/>
    <x v="785"/>
    <s v="Orthopedics"/>
    <x v="1"/>
    <s v="$203.3"/>
    <s v="USD"/>
    <n v="203.3"/>
    <n v="203.3"/>
    <s v="Y"/>
    <x v="1"/>
    <n v="11"/>
    <n v="1"/>
    <x v="1"/>
  </r>
  <r>
    <n v="1093"/>
    <x v="790"/>
    <s v="James Miller"/>
    <n v="23"/>
    <x v="4"/>
    <x v="1"/>
    <d v="2025-09-09T00:00:00"/>
    <d v="2024-11-25T00:00:00"/>
    <s v="Dawn Collins"/>
    <x v="786"/>
    <s v="General"/>
    <x v="3"/>
    <s v="$139.43"/>
    <s v="USD"/>
    <n v="139.43"/>
    <n v="139.43"/>
    <n v="0"/>
    <x v="0"/>
    <n v="11"/>
    <n v="1"/>
    <x v="2"/>
  </r>
  <r>
    <n v="1075"/>
    <x v="791"/>
    <s v="John Rich"/>
    <n v="48"/>
    <x v="3"/>
    <x v="2"/>
    <d v="2025-06-20T00:00:00"/>
    <d v="2024-09-05T00:00:00"/>
    <s v="Jennifer Johnston"/>
    <x v="787"/>
    <s v="General"/>
    <x v="3"/>
    <m/>
    <s v="N/A"/>
    <s v=""/>
    <s v="N/A"/>
    <n v="1"/>
    <x v="0"/>
    <n v="11"/>
    <n v="1"/>
    <x v="1"/>
  </r>
  <r>
    <n v="1055"/>
    <x v="792"/>
    <s v="Kathleen Oneal"/>
    <n v="71"/>
    <x v="4"/>
    <x v="1"/>
    <d v="2025-05-17T00:00:00"/>
    <d v="2024-07-28T00:00:00"/>
    <s v="Jacob Andrade"/>
    <x v="788"/>
    <s v="Orthopedics"/>
    <x v="1"/>
    <s v="$74.36"/>
    <s v="USD"/>
    <n v="74.36"/>
    <n v="74.36"/>
    <s v="Y"/>
    <x v="1"/>
    <n v="5"/>
    <n v="1"/>
    <x v="0"/>
  </r>
  <r>
    <n v="1033"/>
    <x v="793"/>
    <s v="Courtney Hunt"/>
    <n v="74"/>
    <x v="3"/>
    <x v="2"/>
    <d v="2025-08-17T00:00:00"/>
    <d v="2024-10-21T00:00:00"/>
    <s v="Mrs. Kayla Peterson"/>
    <x v="789"/>
    <s v="General"/>
    <x v="3"/>
    <s v="‚Ç¨303.91"/>
    <s v="EUR"/>
    <n v="303.91000000000003"/>
    <n v="331.26190000000003"/>
    <n v="0"/>
    <x v="0"/>
    <n v="11"/>
    <n v="1"/>
    <x v="0"/>
  </r>
  <r>
    <n v="1074"/>
    <x v="794"/>
    <s v="Steven Wilson"/>
    <n v="48"/>
    <x v="3"/>
    <x v="2"/>
    <d v="2025-04-08T00:00:00"/>
    <d v="2025-02-03T00:00:00"/>
    <s v="Hannah Herrera"/>
    <x v="790"/>
    <s v="Cardiology"/>
    <x v="0"/>
    <s v="$77.48"/>
    <s v="USD"/>
    <n v="77.48"/>
    <n v="77.48"/>
    <n v="0"/>
    <x v="0"/>
    <n v="17"/>
    <n v="1"/>
    <x v="1"/>
  </r>
  <r>
    <n v="1039"/>
    <x v="795"/>
    <s v="Meghan Sanchez"/>
    <n v="58"/>
    <x v="4"/>
    <x v="1"/>
    <d v="2025-04-06T00:00:00"/>
    <d v="2024-08-05T00:00:00"/>
    <s v="Judith Watson"/>
    <x v="791"/>
    <s v="Neurology"/>
    <x v="2"/>
    <s v="‚Ç¨282.36"/>
    <s v="EUR"/>
    <n v="282.36"/>
    <n v="307.77240000000006"/>
    <n v="1"/>
    <x v="0"/>
    <n v="8"/>
    <n v="1"/>
    <x v="1"/>
  </r>
  <r>
    <n v="1050"/>
    <x v="796"/>
    <s v="Amanda Johnston"/>
    <n v="46"/>
    <x v="0"/>
    <x v="0"/>
    <d v="2025-04-16T00:00:00"/>
    <d v="2024-10-24T00:00:00"/>
    <s v="Angela Burton"/>
    <x v="792"/>
    <s v="Cardiology"/>
    <x v="0"/>
    <m/>
    <s v="N/A"/>
    <s v=""/>
    <s v="N/A"/>
    <n v="0"/>
    <x v="0"/>
    <n v="12"/>
    <n v="1"/>
    <x v="1"/>
  </r>
  <r>
    <n v="1056"/>
    <x v="797"/>
    <s v="Richard Jones"/>
    <n v="71"/>
    <x v="0"/>
    <x v="0"/>
    <d v="2025-11-23T00:00:00"/>
    <d v="2025-08-16T00:00:00"/>
    <s v="Stephen Cooper"/>
    <x v="793"/>
    <s v="General"/>
    <x v="3"/>
    <s v="¬£243.46"/>
    <s v="GBP"/>
    <n v="243.46"/>
    <n v="309.19420000000002"/>
    <n v="0"/>
    <x v="0"/>
    <n v="13"/>
    <n v="1"/>
    <x v="0"/>
  </r>
  <r>
    <n v="1025"/>
    <x v="798"/>
    <s v="Lindsay Harris"/>
    <n v="28"/>
    <x v="3"/>
    <x v="2"/>
    <d v="2025-10-26T00:00:00"/>
    <d v="2025-02-22T00:00:00"/>
    <s v="Ryan Hughes"/>
    <x v="794"/>
    <s v="Orthopedics"/>
    <x v="1"/>
    <s v="‚Ç¨444.38"/>
    <s v="EUR"/>
    <n v="444.38"/>
    <n v="484.37420000000003"/>
    <s v="Yes"/>
    <x v="1"/>
    <n v="9"/>
    <n v="1"/>
    <x v="2"/>
  </r>
  <r>
    <n v="1037"/>
    <x v="799"/>
    <s v="Kathy Banks"/>
    <n v="39"/>
    <x v="2"/>
    <x v="1"/>
    <d v="2025-11-25T00:00:00"/>
    <d v="2025-07-26T00:00:00"/>
    <s v="Anna Yoder"/>
    <x v="795"/>
    <s v="General"/>
    <x v="3"/>
    <s v="Rs319.04"/>
    <s v="INR"/>
    <n v="319.04000000000002"/>
    <n v="3.8284800000000003"/>
    <s v="Y"/>
    <x v="1"/>
    <n v="5"/>
    <n v="1"/>
    <x v="2"/>
  </r>
  <r>
    <n v="1010"/>
    <x v="800"/>
    <s v="Beth Murphy"/>
    <n v="71"/>
    <x v="0"/>
    <x v="0"/>
    <d v="2025-06-30T00:00:00"/>
    <d v="2024-08-13T00:00:00"/>
    <s v="Adam Davis"/>
    <x v="796"/>
    <s v="Orthopedics"/>
    <x v="1"/>
    <s v="¬£330.71"/>
    <s v="GBP"/>
    <n v="330.71"/>
    <n v="420.00169999999997"/>
    <s v="Y"/>
    <x v="1"/>
    <n v="10"/>
    <n v="1"/>
    <x v="0"/>
  </r>
  <r>
    <n v="1039"/>
    <x v="801"/>
    <s v="Barbara Johnston"/>
    <n v="46"/>
    <x v="1"/>
    <x v="0"/>
    <d v="2025-07-29T00:00:00"/>
    <d v="2025-01-12T00:00:00"/>
    <s v="April Hood"/>
    <x v="797"/>
    <s v="Cardiology"/>
    <x v="0"/>
    <s v="Rs160.18"/>
    <s v="INR"/>
    <n v="160.18"/>
    <n v="1.9221600000000001"/>
    <n v="1"/>
    <x v="0"/>
    <n v="8"/>
    <n v="1"/>
    <x v="1"/>
  </r>
  <r>
    <n v="1040"/>
    <x v="802"/>
    <s v="Patrick Perez"/>
    <n v="62"/>
    <x v="4"/>
    <x v="1"/>
    <d v="2026-01-21T00:00:00"/>
    <d v="2024-12-13T00:00:00"/>
    <s v="Jesse Edwards"/>
    <x v="798"/>
    <s v="Neurology"/>
    <x v="2"/>
    <s v="$290.14"/>
    <s v="USD"/>
    <n v="290.14"/>
    <n v="290.14"/>
    <s v="Yes"/>
    <x v="1"/>
    <n v="13"/>
    <n v="1"/>
    <x v="1"/>
  </r>
  <r>
    <n v="1100"/>
    <x v="803"/>
    <s v="Sonia Moss"/>
    <n v="52"/>
    <x v="0"/>
    <x v="0"/>
    <d v="2025-11-06T00:00:00"/>
    <d v="2024-09-21T00:00:00"/>
    <s v="Joy Armstrong"/>
    <x v="799"/>
    <s v="Neurology"/>
    <x v="2"/>
    <s v="‚Ç¨244.09"/>
    <s v="EUR"/>
    <n v="244.09"/>
    <n v="266.05810000000002"/>
    <n v="1"/>
    <x v="0"/>
    <n v="8"/>
    <n v="1"/>
    <x v="1"/>
  </r>
  <r>
    <n v="1071"/>
    <x v="804"/>
    <s v="Dana Mcclure"/>
    <n v="41"/>
    <x v="0"/>
    <x v="0"/>
    <d v="2026-03-02T00:00:00"/>
    <d v="2025-09-27T00:00:00"/>
    <s v="Mark Norton"/>
    <x v="800"/>
    <s v="General"/>
    <x v="3"/>
    <s v="¬£150.5"/>
    <s v="GBP"/>
    <n v="150.5"/>
    <n v="191.13499999999999"/>
    <s v="N"/>
    <x v="2"/>
    <n v="10"/>
    <n v="1"/>
    <x v="1"/>
  </r>
  <r>
    <n v="1097"/>
    <x v="805"/>
    <s v="Ryan Williams"/>
    <n v="88"/>
    <x v="1"/>
    <x v="0"/>
    <d v="2025-12-27T00:00:00"/>
    <d v="2024-12-25T00:00:00"/>
    <s v="Veronica Fry"/>
    <x v="801"/>
    <s v="General"/>
    <x v="3"/>
    <s v="$398.47"/>
    <s v="USD"/>
    <n v="398.47"/>
    <n v="398.47"/>
    <s v="Y"/>
    <x v="1"/>
    <n v="10"/>
    <n v="1"/>
    <x v="0"/>
  </r>
  <r>
    <n v="1047"/>
    <x v="806"/>
    <s v="Amy Baird"/>
    <n v="51"/>
    <x v="3"/>
    <x v="2"/>
    <d v="2025-11-01T00:00:00"/>
    <d v="2025-09-28T00:00:00"/>
    <s v="Diana Jones"/>
    <x v="802"/>
    <s v="Neurology"/>
    <x v="2"/>
    <s v="¬£262.16"/>
    <s v="GBP"/>
    <n v="262.16000000000003"/>
    <n v="332.94320000000005"/>
    <n v="1"/>
    <x v="0"/>
    <n v="17"/>
    <n v="1"/>
    <x v="1"/>
  </r>
  <r>
    <n v="1041"/>
    <x v="807"/>
    <s v="Frank Castaneda"/>
    <n v="70"/>
    <x v="3"/>
    <x v="2"/>
    <d v="2025-07-26T00:00:00"/>
    <d v="2024-09-02T00:00:00"/>
    <s v="Christopher Chen"/>
    <x v="803"/>
    <s v="Neurology"/>
    <x v="2"/>
    <m/>
    <s v="N/A"/>
    <s v=""/>
    <s v="N/A"/>
    <n v="0"/>
    <x v="0"/>
    <n v="8"/>
    <n v="1"/>
    <x v="0"/>
  </r>
  <r>
    <n v="1067"/>
    <x v="808"/>
    <s v="Benjamin Ramirez"/>
    <n v="57"/>
    <x v="0"/>
    <x v="0"/>
    <d v="2025-12-22T00:00:00"/>
    <d v="2025-01-06T00:00:00"/>
    <s v="Wesley Johnson"/>
    <x v="198"/>
    <s v="Neurology"/>
    <x v="2"/>
    <s v="$142.33"/>
    <s v="USD"/>
    <n v="142.33000000000001"/>
    <n v="142.33000000000001"/>
    <s v="N"/>
    <x v="2"/>
    <n v="9"/>
    <n v="1"/>
    <x v="1"/>
  </r>
  <r>
    <n v="1064"/>
    <x v="809"/>
    <s v="Matthew Buckley"/>
    <n v="57"/>
    <x v="4"/>
    <x v="1"/>
    <d v="2025-09-07T00:00:00"/>
    <d v="2024-10-04T00:00:00"/>
    <s v="Ryan Collins"/>
    <x v="804"/>
    <s v="General"/>
    <x v="3"/>
    <s v="Rs476.81"/>
    <s v="INR"/>
    <n v="476.81"/>
    <n v="5.7217200000000004"/>
    <n v="0"/>
    <x v="0"/>
    <n v="5"/>
    <n v="1"/>
    <x v="1"/>
  </r>
  <r>
    <n v="1008"/>
    <x v="810"/>
    <s v="Kimberly Goodman"/>
    <n v="22"/>
    <x v="0"/>
    <x v="0"/>
    <d v="2025-09-12T00:00:00"/>
    <d v="2024-09-20T00:00:00"/>
    <s v="Luis Kim"/>
    <x v="805"/>
    <s v="General"/>
    <x v="3"/>
    <s v="‚Ç¨351.04"/>
    <s v="EUR"/>
    <n v="351.04"/>
    <n v="382.63360000000006"/>
    <n v="1"/>
    <x v="0"/>
    <n v="11"/>
    <n v="1"/>
    <x v="2"/>
  </r>
  <r>
    <n v="1097"/>
    <x v="811"/>
    <s v="Brandi Osborn"/>
    <n v="42"/>
    <x v="0"/>
    <x v="0"/>
    <d v="2026-02-01T00:00:00"/>
    <d v="2025-12-31T00:00:00"/>
    <s v="Daisy Rodriguez"/>
    <x v="806"/>
    <s v="Neurology"/>
    <x v="2"/>
    <s v="¬£73.97"/>
    <s v="GBP"/>
    <n v="73.97"/>
    <n v="93.941900000000004"/>
    <s v="No"/>
    <x v="2"/>
    <n v="10"/>
    <n v="1"/>
    <x v="1"/>
  </r>
  <r>
    <n v="1053"/>
    <x v="812"/>
    <s v="Christopher Lopez"/>
    <n v="39"/>
    <x v="3"/>
    <x v="2"/>
    <d v="2026-01-15T00:00:00"/>
    <d v="2025-11-11T00:00:00"/>
    <s v="Caleb Kennedy"/>
    <x v="807"/>
    <s v="General"/>
    <x v="3"/>
    <s v="$295.71"/>
    <s v="USD"/>
    <n v="295.70999999999998"/>
    <n v="295.70999999999998"/>
    <s v="N"/>
    <x v="2"/>
    <n v="14"/>
    <n v="1"/>
    <x v="2"/>
  </r>
  <r>
    <n v="1035"/>
    <x v="813"/>
    <s v="Ronnie Roach"/>
    <n v="46"/>
    <x v="1"/>
    <x v="0"/>
    <d v="2025-08-13T00:00:00"/>
    <d v="2025-05-25T00:00:00"/>
    <s v="Jason Houston"/>
    <x v="808"/>
    <s v="Cardiology"/>
    <x v="0"/>
    <s v="Rs167.5"/>
    <s v="INR"/>
    <n v="167.5"/>
    <n v="2.0100000000000002"/>
    <n v="1"/>
    <x v="0"/>
    <n v="9"/>
    <n v="1"/>
    <x v="1"/>
  </r>
  <r>
    <n v="1074"/>
    <x v="814"/>
    <s v="Gary Taylor"/>
    <n v="87"/>
    <x v="3"/>
    <x v="2"/>
    <d v="2025-05-19T00:00:00"/>
    <d v="2024-06-12T00:00:00"/>
    <s v="Lauren Medina"/>
    <x v="809"/>
    <s v="General"/>
    <x v="3"/>
    <s v="¬£321.5"/>
    <s v="GBP"/>
    <n v="321.5"/>
    <n v="408.30500000000001"/>
    <s v="Y"/>
    <x v="1"/>
    <n v="17"/>
    <n v="1"/>
    <x v="0"/>
  </r>
  <r>
    <n v="1015"/>
    <x v="815"/>
    <s v="Rodney Gonzalez"/>
    <n v="21"/>
    <x v="0"/>
    <x v="0"/>
    <d v="2025-07-04T00:00:00"/>
    <d v="2025-02-07T00:00:00"/>
    <s v="Allison Ramos"/>
    <x v="810"/>
    <s v="Cardiology"/>
    <x v="0"/>
    <s v="$168.33"/>
    <s v="USD"/>
    <n v="168.33"/>
    <n v="168.33"/>
    <s v="N"/>
    <x v="2"/>
    <n v="17"/>
    <n v="1"/>
    <x v="2"/>
  </r>
  <r>
    <n v="1071"/>
    <x v="816"/>
    <s v="Patrick Roach"/>
    <n v="88"/>
    <x v="1"/>
    <x v="0"/>
    <d v="2025-10-31T00:00:00"/>
    <d v="2025-06-23T00:00:00"/>
    <s v="Karen Duke"/>
    <x v="811"/>
    <s v="Cardiology"/>
    <x v="0"/>
    <s v="‚Ç¨411.75"/>
    <s v="EUR"/>
    <n v="411.75"/>
    <n v="448.8075"/>
    <s v="Yes"/>
    <x v="1"/>
    <n v="10"/>
    <n v="1"/>
    <x v="0"/>
  </r>
  <r>
    <n v="1044"/>
    <x v="817"/>
    <s v="Sandra Rojas"/>
    <n v="83"/>
    <x v="3"/>
    <x v="2"/>
    <d v="2025-06-16T00:00:00"/>
    <d v="2025-03-07T00:00:00"/>
    <s v="Stephanie Bryant"/>
    <x v="812"/>
    <s v="Cardiology"/>
    <x v="0"/>
    <m/>
    <s v="N/A"/>
    <s v=""/>
    <s v="N/A"/>
    <s v="No"/>
    <x v="2"/>
    <n v="12"/>
    <n v="1"/>
    <x v="0"/>
  </r>
  <r>
    <n v="1038"/>
    <x v="818"/>
    <s v="Donna Stone"/>
    <n v="29"/>
    <x v="1"/>
    <x v="0"/>
    <d v="2026-02-20T00:00:00"/>
    <d v="2024-08-22T00:00:00"/>
    <s v="Daniel Bender"/>
    <x v="813"/>
    <s v="Neurology"/>
    <x v="2"/>
    <s v="¬£462.15"/>
    <s v="GBP"/>
    <n v="462.15"/>
    <n v="586.93049999999994"/>
    <n v="0"/>
    <x v="0"/>
    <n v="10"/>
    <n v="1"/>
    <x v="2"/>
  </r>
  <r>
    <n v="1001"/>
    <x v="819"/>
    <s v="Erik Davis"/>
    <n v="30"/>
    <x v="4"/>
    <x v="1"/>
    <d v="2025-05-30T00:00:00"/>
    <d v="2024-12-05T00:00:00"/>
    <s v="Amanda White"/>
    <x v="814"/>
    <s v="Neurology"/>
    <x v="2"/>
    <m/>
    <s v="N/A"/>
    <s v=""/>
    <s v="N/A"/>
    <s v="Yes"/>
    <x v="1"/>
    <n v="12"/>
    <n v="1"/>
    <x v="2"/>
  </r>
  <r>
    <n v="1056"/>
    <x v="820"/>
    <s v="Brian Patel"/>
    <n v="33"/>
    <x v="3"/>
    <x v="2"/>
    <d v="2025-10-16T00:00:00"/>
    <d v="2024-09-13T00:00:00"/>
    <s v="Tracy Harris"/>
    <x v="815"/>
    <s v="Orthopedics"/>
    <x v="1"/>
    <s v="‚Ç¨124.69"/>
    <s v="EUR"/>
    <n v="124.69"/>
    <n v="135.91210000000001"/>
    <s v="No"/>
    <x v="2"/>
    <n v="13"/>
    <n v="1"/>
    <x v="2"/>
  </r>
  <r>
    <n v="1008"/>
    <x v="821"/>
    <s v="George Houston"/>
    <n v="71"/>
    <x v="3"/>
    <x v="2"/>
    <d v="2025-09-06T00:00:00"/>
    <d v="2024-05-21T00:00:00"/>
    <s v="Brian Vincent"/>
    <x v="816"/>
    <s v="Neurology"/>
    <x v="2"/>
    <s v="‚Ç¨129.38"/>
    <s v="EUR"/>
    <n v="129.38"/>
    <n v="141.02420000000001"/>
    <n v="0"/>
    <x v="0"/>
    <n v="11"/>
    <n v="1"/>
    <x v="0"/>
  </r>
  <r>
    <n v="1099"/>
    <x v="822"/>
    <s v="Mrs. Katherine Huber PhD"/>
    <n v="74"/>
    <x v="4"/>
    <x v="1"/>
    <d v="2025-05-09T00:00:00"/>
    <d v="2024-11-12T00:00:00"/>
    <s v="Kathryn Young"/>
    <x v="817"/>
    <s v="Cardiology"/>
    <x v="0"/>
    <s v="$488.54"/>
    <s v="USD"/>
    <n v="488.54"/>
    <n v="488.54"/>
    <s v="N"/>
    <x v="2"/>
    <n v="7"/>
    <n v="1"/>
    <x v="0"/>
  </r>
  <r>
    <n v="1060"/>
    <x v="823"/>
    <s v="Edward Russell"/>
    <n v="26"/>
    <x v="4"/>
    <x v="1"/>
    <d v="2025-10-17T00:00:00"/>
    <d v="2024-12-12T00:00:00"/>
    <s v="Connor Brown"/>
    <x v="818"/>
    <s v="Orthopedics"/>
    <x v="1"/>
    <s v="¬£93.45"/>
    <s v="GBP"/>
    <n v="93.45"/>
    <n v="118.6815"/>
    <s v="No"/>
    <x v="2"/>
    <n v="6"/>
    <n v="1"/>
    <x v="2"/>
  </r>
  <r>
    <n v="1080"/>
    <x v="824"/>
    <s v="Thomas Fleming"/>
    <n v="18"/>
    <x v="4"/>
    <x v="1"/>
    <d v="2025-06-04T00:00:00"/>
    <d v="2024-12-14T00:00:00"/>
    <s v="Kimberly Mcdonald"/>
    <x v="819"/>
    <s v="Neurology"/>
    <x v="2"/>
    <s v="‚Ç¨73.45"/>
    <s v="EUR"/>
    <n v="73.45"/>
    <n v="80.060500000000005"/>
    <s v="No"/>
    <x v="2"/>
    <n v="11"/>
    <n v="1"/>
    <x v="2"/>
  </r>
  <r>
    <n v="1056"/>
    <x v="825"/>
    <s v="Savannah Butler"/>
    <n v="26"/>
    <x v="3"/>
    <x v="2"/>
    <d v="2025-11-26T00:00:00"/>
    <d v="2025-04-17T00:00:00"/>
    <s v="James Nguyen"/>
    <x v="820"/>
    <s v="Neurology"/>
    <x v="2"/>
    <s v="$340.47"/>
    <s v="USD"/>
    <n v="340.47"/>
    <n v="340.47"/>
    <s v="No"/>
    <x v="2"/>
    <n v="13"/>
    <n v="1"/>
    <x v="2"/>
  </r>
  <r>
    <n v="1077"/>
    <x v="826"/>
    <s v="David Wilson"/>
    <n v="78"/>
    <x v="4"/>
    <x v="1"/>
    <d v="2026-01-09T00:00:00"/>
    <d v="2025-05-07T00:00:00"/>
    <s v="Matthew Wilson"/>
    <x v="821"/>
    <s v="Cardiology"/>
    <x v="0"/>
    <s v="¬£414.94"/>
    <s v="GBP"/>
    <n v="414.94"/>
    <n v="526.97379999999998"/>
    <n v="0"/>
    <x v="0"/>
    <n v="10"/>
    <n v="1"/>
    <x v="0"/>
  </r>
  <r>
    <n v="1036"/>
    <x v="827"/>
    <s v="Jacob Price"/>
    <n v="25"/>
    <x v="4"/>
    <x v="1"/>
    <d v="2025-06-14T00:00:00"/>
    <d v="2024-04-27T00:00:00"/>
    <s v="Kimberly Rangel"/>
    <x v="822"/>
    <s v="Neurology"/>
    <x v="2"/>
    <s v="‚Ç¨238.05"/>
    <s v="EUR"/>
    <n v="238.05"/>
    <n v="259.47450000000003"/>
    <s v="Yes"/>
    <x v="1"/>
    <n v="14"/>
    <n v="1"/>
    <x v="2"/>
  </r>
  <r>
    <n v="1050"/>
    <x v="828"/>
    <s v="Brian Davis"/>
    <n v="41"/>
    <x v="0"/>
    <x v="0"/>
    <d v="2026-02-07T00:00:00"/>
    <d v="2025-05-27T00:00:00"/>
    <s v="Brian Mitchell"/>
    <x v="823"/>
    <s v="Orthopedics"/>
    <x v="1"/>
    <s v="Rs63.62"/>
    <s v="INR"/>
    <n v="63.62"/>
    <n v="0.76344000000000001"/>
    <s v="Yes"/>
    <x v="1"/>
    <n v="12"/>
    <n v="1"/>
    <x v="1"/>
  </r>
  <r>
    <n v="1003"/>
    <x v="829"/>
    <s v="Kendra Jones"/>
    <n v="85"/>
    <x v="0"/>
    <x v="0"/>
    <d v="2025-07-30T00:00:00"/>
    <d v="2024-10-14T00:00:00"/>
    <s v="Karen Grimes"/>
    <x v="824"/>
    <s v="Cardiology"/>
    <x v="0"/>
    <s v="$101.59"/>
    <s v="USD"/>
    <n v="101.59"/>
    <n v="101.59"/>
    <n v="1"/>
    <x v="0"/>
    <n v="12"/>
    <n v="1"/>
    <x v="0"/>
  </r>
  <r>
    <n v="1042"/>
    <x v="830"/>
    <s v="Anthony Medina"/>
    <n v="60"/>
    <x v="0"/>
    <x v="0"/>
    <d v="2025-03-28T00:00:00"/>
    <d v="2024-11-14T00:00:00"/>
    <s v="Richard Walker"/>
    <x v="825"/>
    <s v="Orthopedics"/>
    <x v="1"/>
    <s v="$498.48"/>
    <s v="USD"/>
    <n v="498.48"/>
    <n v="498.48"/>
    <s v="Yes"/>
    <x v="1"/>
    <n v="4"/>
    <n v="1"/>
    <x v="1"/>
  </r>
  <r>
    <n v="1019"/>
    <x v="831"/>
    <s v="Desiree Wilkins"/>
    <n v="34"/>
    <x v="0"/>
    <x v="0"/>
    <d v="2026-02-28T00:00:00"/>
    <d v="2025-07-31T00:00:00"/>
    <s v="Jamie Ford"/>
    <x v="826"/>
    <s v="General"/>
    <x v="3"/>
    <s v="$305.84"/>
    <s v="USD"/>
    <n v="305.83999999999997"/>
    <n v="305.83999999999997"/>
    <s v="Yes"/>
    <x v="1"/>
    <n v="6"/>
    <n v="1"/>
    <x v="2"/>
  </r>
  <r>
    <n v="1073"/>
    <x v="832"/>
    <s v="Ashley Cunningham"/>
    <n v="32"/>
    <x v="1"/>
    <x v="0"/>
    <d v="2026-01-22T00:00:00"/>
    <d v="2024-11-29T00:00:00"/>
    <s v="Sarah Montgomery"/>
    <x v="827"/>
    <s v="Cardiology"/>
    <x v="0"/>
    <s v="Rs160.05"/>
    <s v="INR"/>
    <n v="160.05000000000001"/>
    <n v="1.9206000000000001"/>
    <s v="Y"/>
    <x v="1"/>
    <n v="11"/>
    <n v="1"/>
    <x v="2"/>
  </r>
  <r>
    <n v="1027"/>
    <x v="833"/>
    <s v="Abigail Townsend"/>
    <n v="54"/>
    <x v="1"/>
    <x v="0"/>
    <d v="2025-12-10T00:00:00"/>
    <d v="2025-03-08T00:00:00"/>
    <s v="Allison Salazar"/>
    <x v="828"/>
    <s v="Orthopedics"/>
    <x v="1"/>
    <s v="$406.61"/>
    <s v="USD"/>
    <n v="406.61"/>
    <n v="406.61"/>
    <s v="Y"/>
    <x v="1"/>
    <n v="12"/>
    <n v="1"/>
    <x v="1"/>
  </r>
  <r>
    <n v="1004"/>
    <x v="834"/>
    <s v="Diana Collins"/>
    <n v="47"/>
    <x v="0"/>
    <x v="0"/>
    <d v="2025-11-25T00:00:00"/>
    <d v="2024-10-06T00:00:00"/>
    <s v="Glenn Bond"/>
    <x v="829"/>
    <s v="Cardiology"/>
    <x v="0"/>
    <s v="¬£359.32"/>
    <s v="GBP"/>
    <n v="359.32"/>
    <n v="456.33640000000003"/>
    <n v="0"/>
    <x v="0"/>
    <n v="9"/>
    <n v="1"/>
    <x v="1"/>
  </r>
  <r>
    <n v="1077"/>
    <x v="835"/>
    <s v="William Roberts Jr."/>
    <n v="21"/>
    <x v="1"/>
    <x v="0"/>
    <d v="2025-08-17T00:00:00"/>
    <d v="2024-07-02T00:00:00"/>
    <s v="Savannah Beltran"/>
    <x v="830"/>
    <s v="Orthopedics"/>
    <x v="1"/>
    <s v="$315.17"/>
    <s v="USD"/>
    <n v="315.17"/>
    <n v="315.17"/>
    <s v="No"/>
    <x v="2"/>
    <n v="10"/>
    <n v="1"/>
    <x v="2"/>
  </r>
  <r>
    <n v="1085"/>
    <x v="836"/>
    <s v="Sean Bailey"/>
    <n v="85"/>
    <x v="0"/>
    <x v="0"/>
    <d v="2025-09-06T00:00:00"/>
    <d v="2025-02-27T00:00:00"/>
    <s v="Erika Turner"/>
    <x v="831"/>
    <s v="Neurology"/>
    <x v="2"/>
    <s v="¬£319.92"/>
    <s v="GBP"/>
    <n v="319.92"/>
    <n v="406.29840000000002"/>
    <s v="Y"/>
    <x v="1"/>
    <n v="12"/>
    <n v="1"/>
    <x v="0"/>
  </r>
  <r>
    <n v="1025"/>
    <x v="837"/>
    <s v="Adrian Vincent"/>
    <n v="42"/>
    <x v="3"/>
    <x v="2"/>
    <d v="2025-09-21T00:00:00"/>
    <d v="2024-12-05T00:00:00"/>
    <s v="William Coleman MD"/>
    <x v="832"/>
    <s v="Orthopedics"/>
    <x v="1"/>
    <s v="¬£352.01"/>
    <s v="GBP"/>
    <n v="352.01"/>
    <n v="447.05270000000002"/>
    <s v="No"/>
    <x v="2"/>
    <n v="9"/>
    <n v="1"/>
    <x v="1"/>
  </r>
  <r>
    <n v="1029"/>
    <x v="838"/>
    <s v="John Walsh"/>
    <n v="63"/>
    <x v="3"/>
    <x v="2"/>
    <d v="2025-08-13T00:00:00"/>
    <d v="2024-09-03T00:00:00"/>
    <s v="Wanda Cox"/>
    <x v="833"/>
    <s v="Orthopedics"/>
    <x v="1"/>
    <s v="¬£88.56"/>
    <s v="GBP"/>
    <n v="88.56"/>
    <n v="112.47120000000001"/>
    <s v="No"/>
    <x v="2"/>
    <n v="8"/>
    <n v="1"/>
    <x v="1"/>
  </r>
  <r>
    <n v="1052"/>
    <x v="839"/>
    <s v="Christopher Johnson"/>
    <n v="26"/>
    <x v="3"/>
    <x v="2"/>
    <d v="2025-10-31T00:00:00"/>
    <d v="2025-03-22T00:00:00"/>
    <s v="Susan Stanton"/>
    <x v="834"/>
    <s v="Neurology"/>
    <x v="2"/>
    <s v="$461.18"/>
    <s v="USD"/>
    <n v="461.18"/>
    <n v="461.18"/>
    <s v="Y"/>
    <x v="1"/>
    <n v="8"/>
    <n v="1"/>
    <x v="2"/>
  </r>
  <r>
    <n v="1062"/>
    <x v="840"/>
    <s v="Roger Holmes"/>
    <n v="85"/>
    <x v="0"/>
    <x v="0"/>
    <d v="2026-02-04T00:00:00"/>
    <d v="2024-12-22T00:00:00"/>
    <s v="Paula Stone"/>
    <x v="835"/>
    <s v="Cardiology"/>
    <x v="0"/>
    <s v="Rs206.57"/>
    <s v="INR"/>
    <n v="206.57"/>
    <n v="2.4788399999999999"/>
    <n v="1"/>
    <x v="0"/>
    <n v="6"/>
    <n v="1"/>
    <x v="0"/>
  </r>
  <r>
    <n v="1014"/>
    <x v="841"/>
    <s v="Michael Hamilton"/>
    <n v="29"/>
    <x v="0"/>
    <x v="0"/>
    <d v="2025-09-03T00:00:00"/>
    <d v="2024-07-27T00:00:00"/>
    <s v="Angie Smith"/>
    <x v="836"/>
    <s v="General"/>
    <x v="3"/>
    <s v="¬£107.34"/>
    <s v="GBP"/>
    <n v="107.34"/>
    <n v="136.3218"/>
    <s v="N"/>
    <x v="2"/>
    <n v="10"/>
    <n v="1"/>
    <x v="2"/>
  </r>
  <r>
    <n v="1056"/>
    <x v="842"/>
    <s v="Courtney Gonzales"/>
    <n v="84"/>
    <x v="0"/>
    <x v="0"/>
    <d v="2025-05-26T00:00:00"/>
    <d v="2024-10-31T00:00:00"/>
    <s v="Kayla Norris"/>
    <x v="837"/>
    <s v="Cardiology"/>
    <x v="0"/>
    <s v="$385.01"/>
    <s v="USD"/>
    <n v="385.01"/>
    <n v="385.01"/>
    <s v="No"/>
    <x v="2"/>
    <n v="13"/>
    <n v="1"/>
    <x v="0"/>
  </r>
  <r>
    <n v="1073"/>
    <x v="843"/>
    <s v="Leslie Medina"/>
    <n v="18"/>
    <x v="0"/>
    <x v="0"/>
    <d v="2025-08-17T00:00:00"/>
    <d v="2025-06-25T00:00:00"/>
    <s v="Matthew Morse"/>
    <x v="838"/>
    <s v="Orthopedics"/>
    <x v="1"/>
    <s v="¬£490.93"/>
    <s v="GBP"/>
    <n v="490.93"/>
    <n v="623.48109999999997"/>
    <s v="Y"/>
    <x v="1"/>
    <n v="11"/>
    <n v="1"/>
    <x v="2"/>
  </r>
  <r>
    <n v="1009"/>
    <x v="844"/>
    <s v="Frank Fields"/>
    <n v="30"/>
    <x v="0"/>
    <x v="0"/>
    <d v="2025-06-27T00:00:00"/>
    <d v="2025-05-21T00:00:00"/>
    <s v="Heather Diaz"/>
    <x v="839"/>
    <s v="General"/>
    <x v="3"/>
    <s v="$168.86"/>
    <s v="USD"/>
    <n v="168.86"/>
    <n v="168.86"/>
    <s v="Yes"/>
    <x v="1"/>
    <n v="9"/>
    <n v="1"/>
    <x v="2"/>
  </r>
  <r>
    <n v="1029"/>
    <x v="845"/>
    <s v="Darren Douglas"/>
    <n v="23"/>
    <x v="1"/>
    <x v="0"/>
    <d v="2026-02-01T00:00:00"/>
    <d v="2025-09-04T00:00:00"/>
    <s v="Andrew Gordon"/>
    <x v="840"/>
    <s v="Orthopedics"/>
    <x v="1"/>
    <s v="$463.06"/>
    <s v="USD"/>
    <n v="463.06"/>
    <n v="463.06"/>
    <s v="Yes"/>
    <x v="1"/>
    <n v="8"/>
    <n v="1"/>
    <x v="2"/>
  </r>
  <r>
    <n v="1047"/>
    <x v="846"/>
    <s v="Jerry Jones"/>
    <n v="66"/>
    <x v="4"/>
    <x v="1"/>
    <d v="2025-08-21T00:00:00"/>
    <d v="2024-06-05T00:00:00"/>
    <s v="Ashley Gomez"/>
    <x v="841"/>
    <s v="General"/>
    <x v="3"/>
    <s v="$261.87"/>
    <s v="USD"/>
    <n v="261.87"/>
    <n v="261.87"/>
    <n v="0"/>
    <x v="0"/>
    <n v="17"/>
    <n v="1"/>
    <x v="0"/>
  </r>
  <r>
    <n v="1091"/>
    <x v="847"/>
    <s v="Sheila Barrett"/>
    <n v="25"/>
    <x v="2"/>
    <x v="1"/>
    <d v="2025-11-19T00:00:00"/>
    <d v="2025-11-15T00:00:00"/>
    <s v="John Wallace"/>
    <x v="842"/>
    <s v="Cardiology"/>
    <x v="0"/>
    <s v="Rs170.53"/>
    <s v="INR"/>
    <n v="170.53"/>
    <n v="2.04636"/>
    <s v="N"/>
    <x v="2"/>
    <n v="9"/>
    <n v="1"/>
    <x v="2"/>
  </r>
  <r>
    <n v="1026"/>
    <x v="848"/>
    <s v="Kim Morris"/>
    <n v="56"/>
    <x v="1"/>
    <x v="0"/>
    <d v="2025-12-20T00:00:00"/>
    <d v="2025-06-24T00:00:00"/>
    <s v="Michael Morris"/>
    <x v="843"/>
    <s v="General"/>
    <x v="3"/>
    <s v="$197.66"/>
    <s v="USD"/>
    <n v="197.66"/>
    <n v="197.66"/>
    <s v="N"/>
    <x v="2"/>
    <n v="10"/>
    <n v="1"/>
    <x v="1"/>
  </r>
  <r>
    <n v="1075"/>
    <x v="849"/>
    <s v="Sarah Rivas"/>
    <n v="85"/>
    <x v="3"/>
    <x v="2"/>
    <d v="2026-03-09T00:00:00"/>
    <d v="2025-03-18T00:00:00"/>
    <s v="Scott Vega"/>
    <x v="844"/>
    <s v="Neurology"/>
    <x v="2"/>
    <s v="¬£454.23"/>
    <s v="GBP"/>
    <n v="454.23"/>
    <n v="576.87210000000005"/>
    <s v="No"/>
    <x v="2"/>
    <n v="11"/>
    <n v="1"/>
    <x v="0"/>
  </r>
  <r>
    <n v="1089"/>
    <x v="850"/>
    <s v="Adam Lane"/>
    <n v="76"/>
    <x v="0"/>
    <x v="0"/>
    <d v="2026-03-21T00:00:00"/>
    <d v="2024-09-20T00:00:00"/>
    <s v="Lynn Dorsey"/>
    <x v="845"/>
    <s v="Neurology"/>
    <x v="2"/>
    <s v="‚Ç¨104.3"/>
    <s v="EUR"/>
    <n v="104.3"/>
    <n v="113.68700000000001"/>
    <s v="Y"/>
    <x v="1"/>
    <n v="16"/>
    <n v="1"/>
    <x v="0"/>
  </r>
  <r>
    <n v="1031"/>
    <x v="851"/>
    <s v="Ronald Taylor"/>
    <n v="43"/>
    <x v="2"/>
    <x v="1"/>
    <d v="2025-08-27T00:00:00"/>
    <d v="2024-05-11T00:00:00"/>
    <s v="Vanessa Jackson"/>
    <x v="846"/>
    <s v="Neurology"/>
    <x v="2"/>
    <s v="$263.1"/>
    <s v="USD"/>
    <n v="263.10000000000002"/>
    <n v="263.10000000000002"/>
    <n v="1"/>
    <x v="0"/>
    <n v="13"/>
    <n v="1"/>
    <x v="1"/>
  </r>
  <r>
    <n v="1082"/>
    <x v="852"/>
    <s v="Angela Smith"/>
    <n v="51"/>
    <x v="4"/>
    <x v="1"/>
    <d v="2025-09-02T00:00:00"/>
    <d v="2025-08-15T00:00:00"/>
    <s v="Nicholas Jones"/>
    <x v="847"/>
    <s v="Orthopedics"/>
    <x v="1"/>
    <s v="¬£229.44"/>
    <s v="GBP"/>
    <n v="229.44"/>
    <n v="291.3888"/>
    <s v="N"/>
    <x v="2"/>
    <n v="14"/>
    <n v="1"/>
    <x v="1"/>
  </r>
  <r>
    <n v="1022"/>
    <x v="853"/>
    <s v="Chad Tyler"/>
    <n v="89"/>
    <x v="3"/>
    <x v="2"/>
    <d v="2026-02-02T00:00:00"/>
    <d v="2025-01-08T00:00:00"/>
    <s v="Tiffany Sullivan"/>
    <x v="848"/>
    <s v="Neurology"/>
    <x v="2"/>
    <s v="¬£424.53"/>
    <s v="GBP"/>
    <n v="424.53"/>
    <n v="539.15309999999999"/>
    <n v="1"/>
    <x v="0"/>
    <n v="9"/>
    <n v="1"/>
    <x v="0"/>
  </r>
  <r>
    <n v="1063"/>
    <x v="854"/>
    <s v="Mary Manning"/>
    <n v="48"/>
    <x v="1"/>
    <x v="0"/>
    <d v="2026-01-23T00:00:00"/>
    <d v="2025-10-13T00:00:00"/>
    <s v="William Harris"/>
    <x v="849"/>
    <s v="Orthopedics"/>
    <x v="1"/>
    <s v="$248.84"/>
    <s v="USD"/>
    <n v="248.84"/>
    <n v="248.84"/>
    <s v="No"/>
    <x v="2"/>
    <n v="11"/>
    <n v="1"/>
    <x v="1"/>
  </r>
  <r>
    <n v="1009"/>
    <x v="855"/>
    <s v="Samantha Hoffman"/>
    <n v="37"/>
    <x v="2"/>
    <x v="1"/>
    <d v="2025-07-23T00:00:00"/>
    <d v="2025-03-14T00:00:00"/>
    <s v="Julie Smith"/>
    <x v="850"/>
    <s v="Cardiology"/>
    <x v="0"/>
    <s v="$89.38"/>
    <s v="USD"/>
    <n v="89.38"/>
    <n v="89.38"/>
    <s v="No"/>
    <x v="2"/>
    <n v="9"/>
    <n v="1"/>
    <x v="2"/>
  </r>
  <r>
    <n v="1079"/>
    <x v="856"/>
    <s v="Shawn Juarez"/>
    <n v="64"/>
    <x v="3"/>
    <x v="2"/>
    <d v="2025-08-02T00:00:00"/>
    <d v="2025-05-31T00:00:00"/>
    <s v="Patrick Morrison"/>
    <x v="851"/>
    <s v="Neurology"/>
    <x v="2"/>
    <s v="‚Ç¨110.8"/>
    <s v="EUR"/>
    <n v="110.8"/>
    <n v="120.77200000000001"/>
    <s v="Yes"/>
    <x v="1"/>
    <n v="4"/>
    <n v="1"/>
    <x v="1"/>
  </r>
  <r>
    <n v="1001"/>
    <x v="857"/>
    <s v="Dave Summers"/>
    <n v="25"/>
    <x v="1"/>
    <x v="0"/>
    <d v="2026-02-09T00:00:00"/>
    <d v="2025-01-19T00:00:00"/>
    <s v="Traci Hopkins"/>
    <x v="852"/>
    <s v="Orthopedics"/>
    <x v="1"/>
    <s v="$217.51"/>
    <s v="USD"/>
    <n v="217.51"/>
    <n v="217.51"/>
    <n v="1"/>
    <x v="0"/>
    <n v="12"/>
    <n v="1"/>
    <x v="2"/>
  </r>
  <r>
    <n v="1022"/>
    <x v="858"/>
    <s v="Luke Brady"/>
    <n v="78"/>
    <x v="4"/>
    <x v="1"/>
    <d v="2025-10-09T00:00:00"/>
    <d v="2025-06-24T00:00:00"/>
    <s v="Adam Hall"/>
    <x v="853"/>
    <s v="General"/>
    <x v="3"/>
    <s v="‚Ç¨427.98"/>
    <s v="EUR"/>
    <n v="427.98"/>
    <n v="466.49820000000005"/>
    <s v="Y"/>
    <x v="1"/>
    <n v="9"/>
    <n v="1"/>
    <x v="0"/>
  </r>
  <r>
    <n v="1008"/>
    <x v="859"/>
    <s v="Christian Guerrero"/>
    <n v="77"/>
    <x v="0"/>
    <x v="0"/>
    <d v="2026-01-07T00:00:00"/>
    <d v="2024-06-29T00:00:00"/>
    <s v="Jennifer Perez"/>
    <x v="854"/>
    <s v="Cardiology"/>
    <x v="0"/>
    <s v="$298.89"/>
    <s v="USD"/>
    <n v="298.89"/>
    <n v="298.89"/>
    <s v="Y"/>
    <x v="1"/>
    <n v="11"/>
    <n v="1"/>
    <x v="0"/>
  </r>
  <r>
    <n v="1100"/>
    <x v="860"/>
    <s v="Terrence Long"/>
    <n v="46"/>
    <x v="4"/>
    <x v="1"/>
    <d v="2026-02-01T00:00:00"/>
    <d v="2025-06-27T00:00:00"/>
    <s v="Natalie Rodriguez"/>
    <x v="855"/>
    <s v="Cardiology"/>
    <x v="0"/>
    <s v="¬£182.71"/>
    <s v="GBP"/>
    <n v="182.71"/>
    <n v="232.04170000000002"/>
    <s v="Y"/>
    <x v="1"/>
    <n v="8"/>
    <n v="1"/>
    <x v="1"/>
  </r>
  <r>
    <n v="1074"/>
    <x v="861"/>
    <s v="Victor Everett"/>
    <n v="90"/>
    <x v="1"/>
    <x v="0"/>
    <d v="2025-11-05T00:00:00"/>
    <d v="2024-06-06T00:00:00"/>
    <s v="Jacob Diaz"/>
    <x v="856"/>
    <s v="General"/>
    <x v="3"/>
    <s v="‚Ç¨350.12"/>
    <s v="EUR"/>
    <n v="350.12"/>
    <n v="381.63080000000002"/>
    <n v="0"/>
    <x v="0"/>
    <n v="17"/>
    <n v="1"/>
    <x v="0"/>
  </r>
  <r>
    <n v="1037"/>
    <x v="862"/>
    <s v="Amanda Stevenson"/>
    <n v="26"/>
    <x v="3"/>
    <x v="2"/>
    <d v="2026-01-17T00:00:00"/>
    <d v="2024-06-28T00:00:00"/>
    <s v="Tyler Cunningham"/>
    <x v="857"/>
    <s v="General"/>
    <x v="3"/>
    <s v="‚Ç¨158.91"/>
    <s v="EUR"/>
    <n v="158.91"/>
    <n v="173.21190000000001"/>
    <n v="0"/>
    <x v="0"/>
    <n v="5"/>
    <n v="1"/>
    <x v="2"/>
  </r>
  <r>
    <n v="1094"/>
    <x v="863"/>
    <s v="Vanessa Perkins"/>
    <n v="22"/>
    <x v="1"/>
    <x v="0"/>
    <d v="2026-03-16T00:00:00"/>
    <d v="2024-11-26T00:00:00"/>
    <s v="Megan Smith"/>
    <x v="858"/>
    <s v="Orthopedics"/>
    <x v="1"/>
    <s v="¬£457.94"/>
    <s v="GBP"/>
    <n v="457.94"/>
    <n v="581.5838"/>
    <n v="1"/>
    <x v="0"/>
    <n v="8"/>
    <n v="1"/>
    <x v="2"/>
  </r>
  <r>
    <n v="1066"/>
    <x v="864"/>
    <s v="Michael Davis"/>
    <n v="36"/>
    <x v="3"/>
    <x v="2"/>
    <d v="2026-01-11T00:00:00"/>
    <d v="2025-09-30T00:00:00"/>
    <s v="Karen Griffin"/>
    <x v="859"/>
    <s v="Cardiology"/>
    <x v="0"/>
    <s v="‚Ç¨130.9"/>
    <s v="EUR"/>
    <n v="130.9"/>
    <n v="142.68100000000001"/>
    <s v="N"/>
    <x v="2"/>
    <n v="11"/>
    <n v="1"/>
    <x v="2"/>
  </r>
  <r>
    <n v="1084"/>
    <x v="865"/>
    <s v="Amy Pierce"/>
    <n v="83"/>
    <x v="0"/>
    <x v="0"/>
    <d v="2025-07-27T00:00:00"/>
    <d v="2025-03-28T00:00:00"/>
    <s v="Ian Castillo"/>
    <x v="860"/>
    <s v="Orthopedics"/>
    <x v="1"/>
    <s v="$318.44"/>
    <s v="USD"/>
    <n v="318.44"/>
    <n v="318.44"/>
    <s v="No"/>
    <x v="2"/>
    <n v="15"/>
    <n v="1"/>
    <x v="0"/>
  </r>
  <r>
    <n v="1008"/>
    <x v="866"/>
    <s v="Dakota Kelly"/>
    <n v="44"/>
    <x v="1"/>
    <x v="0"/>
    <d v="2025-10-07T00:00:00"/>
    <d v="2024-11-17T00:00:00"/>
    <s v="Andre Jones"/>
    <x v="861"/>
    <s v="Neurology"/>
    <x v="2"/>
    <s v="Rs291.99"/>
    <s v="INR"/>
    <n v="291.99"/>
    <n v="3.5038800000000001"/>
    <n v="0"/>
    <x v="0"/>
    <n v="11"/>
    <n v="1"/>
    <x v="1"/>
  </r>
  <r>
    <n v="1039"/>
    <x v="867"/>
    <s v="Erin Williams"/>
    <n v="69"/>
    <x v="0"/>
    <x v="0"/>
    <d v="2026-02-04T00:00:00"/>
    <d v="2024-10-17T00:00:00"/>
    <s v="Sean Hernandez"/>
    <x v="862"/>
    <s v="Cardiology"/>
    <x v="0"/>
    <s v="$161.56"/>
    <s v="USD"/>
    <n v="161.56"/>
    <n v="161.56"/>
    <s v="Y"/>
    <x v="1"/>
    <n v="8"/>
    <n v="1"/>
    <x v="0"/>
  </r>
  <r>
    <n v="1092"/>
    <x v="868"/>
    <s v="Tiffany Cooper"/>
    <n v="58"/>
    <x v="2"/>
    <x v="1"/>
    <d v="2025-07-05T00:00:00"/>
    <d v="2025-05-16T00:00:00"/>
    <s v="Katrina Jones"/>
    <x v="863"/>
    <s v="General"/>
    <x v="3"/>
    <s v="‚Ç¨79.8"/>
    <s v="EUR"/>
    <n v="79.8"/>
    <n v="86.981999999999999"/>
    <s v="Y"/>
    <x v="1"/>
    <n v="11"/>
    <n v="1"/>
    <x v="1"/>
  </r>
  <r>
    <n v="1023"/>
    <x v="869"/>
    <s v="Jerry White"/>
    <n v="76"/>
    <x v="3"/>
    <x v="2"/>
    <d v="2025-08-19T00:00:00"/>
    <d v="2025-08-15T00:00:00"/>
    <s v="Steven Scott"/>
    <x v="864"/>
    <s v="General"/>
    <x v="3"/>
    <s v="Rs151.58"/>
    <s v="INR"/>
    <n v="151.58000000000001"/>
    <n v="1.8189600000000001"/>
    <n v="1"/>
    <x v="0"/>
    <n v="4"/>
    <n v="1"/>
    <x v="0"/>
  </r>
  <r>
    <n v="1004"/>
    <x v="870"/>
    <s v="Joseph Pace"/>
    <n v="67"/>
    <x v="3"/>
    <x v="2"/>
    <d v="2025-11-20T00:00:00"/>
    <d v="2025-08-02T00:00:00"/>
    <s v="Lydia Baker"/>
    <x v="865"/>
    <s v="Neurology"/>
    <x v="2"/>
    <s v="Rs338.13"/>
    <s v="INR"/>
    <n v="338.13"/>
    <n v="4.0575599999999996"/>
    <s v="Yes"/>
    <x v="1"/>
    <n v="9"/>
    <n v="1"/>
    <x v="0"/>
  </r>
  <r>
    <n v="1056"/>
    <x v="871"/>
    <s v="Jean Kramer"/>
    <n v="30"/>
    <x v="3"/>
    <x v="2"/>
    <d v="2025-05-29T00:00:00"/>
    <d v="2024-05-31T00:00:00"/>
    <s v="Donald Clark"/>
    <x v="866"/>
    <s v="Orthopedics"/>
    <x v="1"/>
    <s v="‚Ç¨441.92"/>
    <s v="EUR"/>
    <n v="441.92"/>
    <n v="481.69280000000003"/>
    <s v="Yes"/>
    <x v="1"/>
    <n v="13"/>
    <n v="1"/>
    <x v="2"/>
  </r>
  <r>
    <n v="1077"/>
    <x v="872"/>
    <s v="David Rose"/>
    <n v="78"/>
    <x v="2"/>
    <x v="1"/>
    <d v="2025-11-09T00:00:00"/>
    <d v="2025-07-14T00:00:00"/>
    <s v="Dana Ewing"/>
    <x v="867"/>
    <s v="Orthopedics"/>
    <x v="1"/>
    <s v="Rs114.73"/>
    <s v="INR"/>
    <n v="114.73"/>
    <n v="1.37676"/>
    <s v="Yes"/>
    <x v="1"/>
    <n v="10"/>
    <n v="1"/>
    <x v="0"/>
  </r>
  <r>
    <n v="1081"/>
    <x v="873"/>
    <s v="Christopher Lopez"/>
    <n v="45"/>
    <x v="2"/>
    <x v="1"/>
    <d v="2026-03-21T00:00:00"/>
    <d v="2024-05-04T00:00:00"/>
    <s v="Kevin Pearson"/>
    <x v="868"/>
    <s v="General"/>
    <x v="3"/>
    <s v="¬£405.59"/>
    <s v="GBP"/>
    <n v="405.59"/>
    <n v="515.09929999999997"/>
    <s v="Y"/>
    <x v="1"/>
    <n v="9"/>
    <n v="1"/>
    <x v="1"/>
  </r>
  <r>
    <n v="1078"/>
    <x v="874"/>
    <s v="James Gibbs"/>
    <n v="25"/>
    <x v="0"/>
    <x v="0"/>
    <d v="2025-11-16T00:00:00"/>
    <d v="2024-09-22T00:00:00"/>
    <s v="Lisa Norris"/>
    <x v="869"/>
    <s v="Cardiology"/>
    <x v="0"/>
    <s v="$368.56"/>
    <s v="USD"/>
    <n v="368.56"/>
    <n v="368.56"/>
    <s v="No"/>
    <x v="2"/>
    <n v="8"/>
    <n v="1"/>
    <x v="2"/>
  </r>
  <r>
    <n v="1054"/>
    <x v="875"/>
    <s v="Lori Henderson"/>
    <n v="50"/>
    <x v="0"/>
    <x v="0"/>
    <d v="2025-06-05T00:00:00"/>
    <d v="2024-12-19T00:00:00"/>
    <s v="Terri Stewart"/>
    <x v="870"/>
    <s v="General"/>
    <x v="3"/>
    <s v="Rs496.31"/>
    <s v="INR"/>
    <n v="496.31"/>
    <n v="5.9557200000000003"/>
    <s v="No"/>
    <x v="2"/>
    <n v="12"/>
    <n v="1"/>
    <x v="1"/>
  </r>
  <r>
    <n v="1085"/>
    <x v="876"/>
    <s v="Benjamin Lewis"/>
    <n v="85"/>
    <x v="4"/>
    <x v="1"/>
    <d v="2026-01-09T00:00:00"/>
    <d v="2025-05-03T00:00:00"/>
    <s v="Taylor Hicks"/>
    <x v="871"/>
    <s v="Cardiology"/>
    <x v="0"/>
    <s v="‚Ç¨213.17"/>
    <s v="EUR"/>
    <n v="213.17"/>
    <n v="232.3553"/>
    <s v="No"/>
    <x v="2"/>
    <n v="12"/>
    <n v="1"/>
    <x v="0"/>
  </r>
  <r>
    <n v="1028"/>
    <x v="877"/>
    <s v="Matthew Johnson"/>
    <n v="22"/>
    <x v="3"/>
    <x v="2"/>
    <d v="2025-12-17T00:00:00"/>
    <d v="2025-08-06T00:00:00"/>
    <s v="John Moran"/>
    <x v="872"/>
    <s v="Orthopedics"/>
    <x v="1"/>
    <s v="‚Ç¨150.15"/>
    <s v="EUR"/>
    <n v="150.15"/>
    <n v="163.66350000000003"/>
    <s v="No"/>
    <x v="2"/>
    <n v="8"/>
    <n v="1"/>
    <x v="2"/>
  </r>
  <r>
    <n v="1048"/>
    <x v="878"/>
    <s v="Karen Myers"/>
    <n v="89"/>
    <x v="3"/>
    <x v="2"/>
    <d v="2025-07-20T00:00:00"/>
    <d v="2024-06-12T00:00:00"/>
    <s v="David Wright"/>
    <x v="873"/>
    <s v="Neurology"/>
    <x v="2"/>
    <s v="‚Ç¨371.69"/>
    <s v="EUR"/>
    <n v="371.69"/>
    <n v="405.14210000000003"/>
    <s v="No"/>
    <x v="2"/>
    <n v="8"/>
    <n v="1"/>
    <x v="0"/>
  </r>
  <r>
    <n v="1008"/>
    <x v="879"/>
    <s v="Shelly Chavez"/>
    <n v="34"/>
    <x v="0"/>
    <x v="0"/>
    <d v="2025-10-10T00:00:00"/>
    <d v="2025-05-02T00:00:00"/>
    <s v="Megan Morales"/>
    <x v="874"/>
    <s v="Neurology"/>
    <x v="2"/>
    <s v="$431.45"/>
    <s v="USD"/>
    <n v="431.45"/>
    <n v="431.45"/>
    <n v="0"/>
    <x v="0"/>
    <n v="11"/>
    <n v="1"/>
    <x v="2"/>
  </r>
  <r>
    <n v="1002"/>
    <x v="880"/>
    <s v="Maria Williams"/>
    <n v="22"/>
    <x v="2"/>
    <x v="1"/>
    <d v="2025-08-17T00:00:00"/>
    <d v="2025-01-05T00:00:00"/>
    <s v="Brandi Thomas"/>
    <x v="875"/>
    <s v="Orthopedics"/>
    <x v="1"/>
    <s v="¬£189.17"/>
    <s v="GBP"/>
    <n v="189.17"/>
    <n v="240.24589999999998"/>
    <n v="0"/>
    <x v="0"/>
    <n v="7"/>
    <n v="1"/>
    <x v="2"/>
  </r>
  <r>
    <n v="1013"/>
    <x v="881"/>
    <s v="Robert Humphrey"/>
    <n v="24"/>
    <x v="3"/>
    <x v="2"/>
    <d v="2025-04-10T00:00:00"/>
    <d v="2025-03-22T00:00:00"/>
    <s v="Vanessa Brown"/>
    <x v="876"/>
    <s v="Orthopedics"/>
    <x v="1"/>
    <s v="$281.71"/>
    <s v="USD"/>
    <n v="281.70999999999998"/>
    <n v="281.70999999999998"/>
    <s v="No"/>
    <x v="2"/>
    <n v="10"/>
    <n v="1"/>
    <x v="2"/>
  </r>
  <r>
    <n v="1032"/>
    <x v="882"/>
    <s v="Matthew Gutierrez"/>
    <n v="21"/>
    <x v="4"/>
    <x v="1"/>
    <d v="2026-02-08T00:00:00"/>
    <d v="2025-05-14T00:00:00"/>
    <s v="Lisa Smith"/>
    <x v="877"/>
    <s v="General"/>
    <x v="3"/>
    <s v="‚Ç¨309.31"/>
    <s v="EUR"/>
    <n v="309.31"/>
    <n v="337.14790000000005"/>
    <s v="N"/>
    <x v="2"/>
    <n v="7"/>
    <n v="1"/>
    <x v="2"/>
  </r>
  <r>
    <n v="1074"/>
    <x v="883"/>
    <s v="Rebecca Banks"/>
    <n v="23"/>
    <x v="4"/>
    <x v="1"/>
    <d v="2025-05-26T00:00:00"/>
    <d v="2025-01-17T00:00:00"/>
    <s v="April Randall DDS"/>
    <x v="878"/>
    <s v="Neurology"/>
    <x v="2"/>
    <s v="Rs57.03"/>
    <s v="INR"/>
    <n v="57.03"/>
    <n v="0.68436000000000008"/>
    <s v="Yes"/>
    <x v="1"/>
    <n v="17"/>
    <n v="1"/>
    <x v="2"/>
  </r>
  <r>
    <n v="1025"/>
    <x v="884"/>
    <s v="Ashley Rodriguez"/>
    <n v="52"/>
    <x v="3"/>
    <x v="2"/>
    <d v="2025-06-05T00:00:00"/>
    <d v="2024-11-06T00:00:00"/>
    <s v="Russell Zimmerman"/>
    <x v="879"/>
    <s v="Orthopedics"/>
    <x v="1"/>
    <s v="Rs219.97"/>
    <s v="INR"/>
    <n v="219.97"/>
    <n v="2.63964"/>
    <s v="N"/>
    <x v="2"/>
    <n v="9"/>
    <n v="1"/>
    <x v="1"/>
  </r>
  <r>
    <n v="1040"/>
    <x v="885"/>
    <s v="Laura Ford"/>
    <n v="36"/>
    <x v="3"/>
    <x v="2"/>
    <d v="2025-05-27T00:00:00"/>
    <d v="2024-12-02T00:00:00"/>
    <s v="Kyle Evans"/>
    <x v="880"/>
    <s v="Orthopedics"/>
    <x v="1"/>
    <s v="¬£186.51"/>
    <s v="GBP"/>
    <n v="186.51"/>
    <n v="236.86769999999999"/>
    <s v="No"/>
    <x v="2"/>
    <n v="13"/>
    <n v="1"/>
    <x v="2"/>
  </r>
  <r>
    <n v="1089"/>
    <x v="886"/>
    <s v="James Stout"/>
    <n v="20"/>
    <x v="3"/>
    <x v="2"/>
    <d v="2025-10-03T00:00:00"/>
    <d v="2025-07-30T00:00:00"/>
    <s v="Andrea Myers"/>
    <x v="881"/>
    <s v="Neurology"/>
    <x v="2"/>
    <s v="‚Ç¨77.05"/>
    <s v="EUR"/>
    <n v="77.05"/>
    <n v="83.984499999999997"/>
    <n v="0"/>
    <x v="0"/>
    <n v="16"/>
    <n v="1"/>
    <x v="2"/>
  </r>
  <r>
    <n v="1069"/>
    <x v="887"/>
    <s v="Ashley Foster"/>
    <n v="32"/>
    <x v="3"/>
    <x v="2"/>
    <d v="2026-02-23T00:00:00"/>
    <d v="2025-01-14T00:00:00"/>
    <s v="Melinda Cannon"/>
    <x v="882"/>
    <s v="General"/>
    <x v="3"/>
    <s v="¬£208.72"/>
    <s v="GBP"/>
    <n v="208.72"/>
    <n v="265.07440000000003"/>
    <n v="1"/>
    <x v="0"/>
    <n v="10"/>
    <n v="1"/>
    <x v="2"/>
  </r>
  <r>
    <n v="1070"/>
    <x v="888"/>
    <s v="Christian Thomas"/>
    <n v="38"/>
    <x v="3"/>
    <x v="2"/>
    <d v="2025-07-06T00:00:00"/>
    <d v="2025-04-23T00:00:00"/>
    <s v="Gregory Tapia"/>
    <x v="883"/>
    <s v="Neurology"/>
    <x v="2"/>
    <s v="¬£390.16"/>
    <s v="GBP"/>
    <n v="390.16"/>
    <n v="495.50320000000005"/>
    <s v="Y"/>
    <x v="1"/>
    <n v="13"/>
    <n v="1"/>
    <x v="2"/>
  </r>
  <r>
    <n v="1070"/>
    <x v="889"/>
    <s v="Stacy Gardner"/>
    <n v="53"/>
    <x v="3"/>
    <x v="2"/>
    <d v="2026-01-18T00:00:00"/>
    <d v="2025-03-11T00:00:00"/>
    <s v="Michael Campbell"/>
    <x v="884"/>
    <s v="Neurology"/>
    <x v="2"/>
    <s v="¬£74.78"/>
    <s v="GBP"/>
    <n v="74.78"/>
    <n v="94.970600000000005"/>
    <s v="Yes"/>
    <x v="1"/>
    <n v="13"/>
    <n v="1"/>
    <x v="1"/>
  </r>
  <r>
    <n v="1077"/>
    <x v="890"/>
    <s v="Taylor Patterson"/>
    <n v="58"/>
    <x v="1"/>
    <x v="0"/>
    <d v="2026-03-25T00:00:00"/>
    <d v="2025-10-24T00:00:00"/>
    <s v="Ellen Miller"/>
    <x v="885"/>
    <s v="Neurology"/>
    <x v="2"/>
    <s v="$199.03"/>
    <s v="USD"/>
    <n v="199.03"/>
    <n v="199.03"/>
    <s v="No"/>
    <x v="2"/>
    <n v="10"/>
    <n v="1"/>
    <x v="1"/>
  </r>
  <r>
    <n v="1082"/>
    <x v="891"/>
    <s v="Justin Zimmerman"/>
    <n v="61"/>
    <x v="2"/>
    <x v="1"/>
    <d v="2025-11-05T00:00:00"/>
    <d v="2025-09-20T00:00:00"/>
    <s v="Tammy Thomas"/>
    <x v="886"/>
    <s v="Cardiology"/>
    <x v="0"/>
    <s v="¬£245.09"/>
    <s v="GBP"/>
    <n v="245.09"/>
    <n v="311.26429999999999"/>
    <n v="0"/>
    <x v="0"/>
    <n v="14"/>
    <n v="1"/>
    <x v="1"/>
  </r>
  <r>
    <n v="1053"/>
    <x v="892"/>
    <s v="Jaclyn Knight"/>
    <n v="66"/>
    <x v="3"/>
    <x v="2"/>
    <d v="2025-08-24T00:00:00"/>
    <d v="2024-05-19T00:00:00"/>
    <s v="John Oliver"/>
    <x v="887"/>
    <s v="Orthopedics"/>
    <x v="1"/>
    <s v="¬£282.03"/>
    <s v="GBP"/>
    <n v="282.02999999999997"/>
    <n v="358.17809999999997"/>
    <n v="0"/>
    <x v="0"/>
    <n v="14"/>
    <n v="1"/>
    <x v="0"/>
  </r>
  <r>
    <n v="1083"/>
    <x v="893"/>
    <s v="Jessica Rodriguez"/>
    <n v="18"/>
    <x v="4"/>
    <x v="1"/>
    <d v="2025-04-21T00:00:00"/>
    <d v="2024-09-04T00:00:00"/>
    <s v="Jeffrey Martin"/>
    <x v="888"/>
    <s v="Neurology"/>
    <x v="2"/>
    <s v="Rs411.85"/>
    <s v="INR"/>
    <n v="411.85"/>
    <n v="4.9422000000000006"/>
    <s v="Yes"/>
    <x v="1"/>
    <n v="7"/>
    <n v="1"/>
    <x v="2"/>
  </r>
  <r>
    <n v="1096"/>
    <x v="894"/>
    <s v="Patricia Johnson DDS"/>
    <n v="70"/>
    <x v="3"/>
    <x v="2"/>
    <d v="2025-06-12T00:00:00"/>
    <d v="2024-11-27T00:00:00"/>
    <s v="Ana Hunt"/>
    <x v="889"/>
    <s v="Neurology"/>
    <x v="2"/>
    <s v="¬£144.89"/>
    <s v="GBP"/>
    <n v="144.88999999999999"/>
    <n v="184.01029999999997"/>
    <s v="Yes"/>
    <x v="1"/>
    <n v="4"/>
    <n v="1"/>
    <x v="0"/>
  </r>
  <r>
    <n v="1043"/>
    <x v="895"/>
    <s v="Alexandra Sandoval"/>
    <n v="31"/>
    <x v="4"/>
    <x v="1"/>
    <d v="2025-11-21T00:00:00"/>
    <d v="2025-08-16T00:00:00"/>
    <s v="Rachel Moore"/>
    <x v="890"/>
    <s v="Neurology"/>
    <x v="2"/>
    <s v="Rs198.95"/>
    <s v="INR"/>
    <n v="198.95"/>
    <n v="2.3874"/>
    <s v="N"/>
    <x v="2"/>
    <n v="12"/>
    <n v="1"/>
    <x v="2"/>
  </r>
  <r>
    <n v="1058"/>
    <x v="896"/>
    <s v="Mandy Smith"/>
    <n v="64"/>
    <x v="4"/>
    <x v="1"/>
    <d v="2025-04-14T00:00:00"/>
    <d v="2025-02-04T00:00:00"/>
    <s v="Brian Olson"/>
    <x v="891"/>
    <s v="Neurology"/>
    <x v="2"/>
    <s v="Rs246.05"/>
    <s v="INR"/>
    <n v="246.05"/>
    <n v="2.9526000000000003"/>
    <n v="1"/>
    <x v="0"/>
    <n v="17"/>
    <n v="1"/>
    <x v="1"/>
  </r>
  <r>
    <n v="1080"/>
    <x v="897"/>
    <s v="Danny Cooper"/>
    <n v="21"/>
    <x v="4"/>
    <x v="1"/>
    <d v="2025-04-27T00:00:00"/>
    <d v="2025-03-13T00:00:00"/>
    <s v="Mark Morrison"/>
    <x v="892"/>
    <s v="Neurology"/>
    <x v="2"/>
    <s v="‚Ç¨164.43"/>
    <s v="EUR"/>
    <n v="164.43"/>
    <n v="179.22870000000003"/>
    <s v="Yes"/>
    <x v="1"/>
    <n v="11"/>
    <n v="1"/>
    <x v="2"/>
  </r>
  <r>
    <n v="1097"/>
    <x v="898"/>
    <s v="Dr. Christina Dunn"/>
    <n v="51"/>
    <x v="0"/>
    <x v="0"/>
    <d v="2025-09-11T00:00:00"/>
    <d v="2024-06-13T00:00:00"/>
    <s v="Madeline Sharp"/>
    <x v="893"/>
    <s v="General"/>
    <x v="3"/>
    <s v="Rs381.59"/>
    <s v="INR"/>
    <n v="381.59"/>
    <n v="4.5790799999999994"/>
    <s v="No"/>
    <x v="2"/>
    <n v="10"/>
    <n v="1"/>
    <x v="1"/>
  </r>
  <r>
    <n v="1054"/>
    <x v="899"/>
    <s v="Rachel Porter"/>
    <n v="29"/>
    <x v="2"/>
    <x v="1"/>
    <d v="2025-05-17T00:00:00"/>
    <d v="2024-10-06T00:00:00"/>
    <s v="Patrick Russell"/>
    <x v="894"/>
    <s v="Neurology"/>
    <x v="2"/>
    <s v="‚Ç¨341.42"/>
    <s v="EUR"/>
    <n v="341.42"/>
    <n v="372.14780000000002"/>
    <s v="N"/>
    <x v="2"/>
    <n v="12"/>
    <n v="1"/>
    <x v="2"/>
  </r>
  <r>
    <n v="1075"/>
    <x v="900"/>
    <s v="Megan Williams"/>
    <n v="51"/>
    <x v="4"/>
    <x v="1"/>
    <d v="2025-12-11T00:00:00"/>
    <d v="2025-10-19T00:00:00"/>
    <s v="Melissa Khan"/>
    <x v="895"/>
    <s v="Neurology"/>
    <x v="2"/>
    <s v="Rs456.12"/>
    <s v="INR"/>
    <n v="456.12"/>
    <n v="5.4734400000000001"/>
    <s v="No"/>
    <x v="2"/>
    <n v="11"/>
    <n v="1"/>
    <x v="1"/>
  </r>
  <r>
    <n v="1036"/>
    <x v="901"/>
    <s v="Michelle Hill"/>
    <n v="82"/>
    <x v="4"/>
    <x v="1"/>
    <d v="2025-12-08T00:00:00"/>
    <d v="2024-04-07T00:00:00"/>
    <s v="Rachel Sanchez"/>
    <x v="896"/>
    <s v="General"/>
    <x v="3"/>
    <s v="Rs371.84"/>
    <s v="INR"/>
    <n v="371.84"/>
    <n v="4.4620799999999994"/>
    <s v="Y"/>
    <x v="1"/>
    <n v="14"/>
    <n v="1"/>
    <x v="0"/>
  </r>
  <r>
    <n v="1064"/>
    <x v="902"/>
    <s v="Donna Green"/>
    <n v="78"/>
    <x v="0"/>
    <x v="0"/>
    <d v="2026-01-14T00:00:00"/>
    <d v="2025-05-07T00:00:00"/>
    <s v="Clifford Ramirez"/>
    <x v="897"/>
    <s v="Orthopedics"/>
    <x v="1"/>
    <s v="‚Ç¨263.23"/>
    <s v="EUR"/>
    <n v="263.23"/>
    <n v="286.92070000000007"/>
    <s v="No"/>
    <x v="2"/>
    <n v="5"/>
    <n v="1"/>
    <x v="0"/>
  </r>
  <r>
    <n v="1015"/>
    <x v="903"/>
    <s v="Leon Anderson"/>
    <n v="63"/>
    <x v="3"/>
    <x v="2"/>
    <d v="2025-11-28T00:00:00"/>
    <d v="2024-09-24T00:00:00"/>
    <s v="Mary Chandler"/>
    <x v="898"/>
    <s v="Neurology"/>
    <x v="2"/>
    <s v="$427.62"/>
    <s v="USD"/>
    <n v="427.62"/>
    <n v="427.62"/>
    <s v="Yes"/>
    <x v="1"/>
    <n v="17"/>
    <n v="1"/>
    <x v="1"/>
  </r>
  <r>
    <n v="1045"/>
    <x v="904"/>
    <s v="Cheryl Ruiz"/>
    <n v="66"/>
    <x v="3"/>
    <x v="2"/>
    <d v="2025-05-23T00:00:00"/>
    <d v="2024-04-29T00:00:00"/>
    <s v="Maria Thomas"/>
    <x v="899"/>
    <s v="Orthopedics"/>
    <x v="1"/>
    <s v="¬£100.78"/>
    <s v="GBP"/>
    <n v="100.78"/>
    <n v="127.9906"/>
    <s v="Yes"/>
    <x v="1"/>
    <n v="8"/>
    <n v="1"/>
    <x v="0"/>
  </r>
  <r>
    <n v="1016"/>
    <x v="905"/>
    <s v="Keith Douglas"/>
    <n v="49"/>
    <x v="4"/>
    <x v="1"/>
    <d v="2025-09-16T00:00:00"/>
    <d v="2025-05-02T00:00:00"/>
    <s v="Dawn Browning"/>
    <x v="900"/>
    <s v="Orthopedics"/>
    <x v="1"/>
    <m/>
    <s v="N/A"/>
    <s v=""/>
    <s v="N/A"/>
    <n v="0"/>
    <x v="0"/>
    <n v="15"/>
    <n v="1"/>
    <x v="1"/>
  </r>
  <r>
    <n v="1006"/>
    <x v="906"/>
    <s v="Christina Spencer"/>
    <n v="61"/>
    <x v="2"/>
    <x v="1"/>
    <d v="2025-11-14T00:00:00"/>
    <d v="2024-05-10T00:00:00"/>
    <s v="Mark Kelley"/>
    <x v="901"/>
    <s v="Orthopedics"/>
    <x v="1"/>
    <s v="¬£308.28"/>
    <s v="GBP"/>
    <n v="308.27999999999997"/>
    <n v="391.51559999999995"/>
    <s v="N"/>
    <x v="2"/>
    <n v="8"/>
    <n v="1"/>
    <x v="1"/>
  </r>
  <r>
    <n v="1058"/>
    <x v="907"/>
    <s v="April Rios"/>
    <n v="30"/>
    <x v="1"/>
    <x v="0"/>
    <d v="2026-02-26T00:00:00"/>
    <d v="2026-02-07T00:00:00"/>
    <s v="Megan Mccann"/>
    <x v="902"/>
    <s v="General"/>
    <x v="3"/>
    <s v="‚Ç¨471.3"/>
    <s v="EUR"/>
    <n v="471.3"/>
    <n v="513.7170000000001"/>
    <n v="0"/>
    <x v="0"/>
    <n v="17"/>
    <n v="1"/>
    <x v="2"/>
  </r>
  <r>
    <n v="1050"/>
    <x v="908"/>
    <s v="Mallory Martin"/>
    <n v="23"/>
    <x v="3"/>
    <x v="2"/>
    <d v="2025-10-27T00:00:00"/>
    <d v="2025-06-22T00:00:00"/>
    <s v="David Whitney"/>
    <x v="903"/>
    <s v="Cardiology"/>
    <x v="0"/>
    <s v="Rs437.95"/>
    <s v="INR"/>
    <n v="437.95"/>
    <n v="5.2553999999999998"/>
    <n v="1"/>
    <x v="0"/>
    <n v="12"/>
    <n v="1"/>
    <x v="2"/>
  </r>
  <r>
    <n v="1016"/>
    <x v="909"/>
    <s v="Elizabeth Johnson"/>
    <n v="87"/>
    <x v="0"/>
    <x v="0"/>
    <d v="2026-01-24T00:00:00"/>
    <d v="2024-12-09T00:00:00"/>
    <s v="Dr. Mary Day"/>
    <x v="904"/>
    <s v="General"/>
    <x v="3"/>
    <s v="Rs461.32"/>
    <s v="INR"/>
    <n v="461.32"/>
    <n v="5.5358400000000003"/>
    <s v="Y"/>
    <x v="1"/>
    <n v="15"/>
    <n v="1"/>
    <x v="0"/>
  </r>
  <r>
    <n v="1014"/>
    <x v="910"/>
    <s v="Ellen Rogers"/>
    <n v="31"/>
    <x v="3"/>
    <x v="2"/>
    <d v="2025-08-30T00:00:00"/>
    <d v="2025-01-17T00:00:00"/>
    <s v="Tammie Melendez"/>
    <x v="905"/>
    <s v="General"/>
    <x v="3"/>
    <s v="‚Ç¨424.17"/>
    <s v="EUR"/>
    <n v="424.17"/>
    <n v="462.34530000000007"/>
    <s v="Y"/>
    <x v="1"/>
    <n v="10"/>
    <n v="1"/>
    <x v="2"/>
  </r>
  <r>
    <n v="1070"/>
    <x v="911"/>
    <s v="Kenneth Jenkins"/>
    <n v="49"/>
    <x v="3"/>
    <x v="2"/>
    <d v="2025-05-20T00:00:00"/>
    <d v="2024-09-12T00:00:00"/>
    <s v="Tanya Eaton"/>
    <x v="906"/>
    <s v="General"/>
    <x v="3"/>
    <s v="‚Ç¨428.7"/>
    <s v="EUR"/>
    <n v="428.7"/>
    <n v="467.28300000000002"/>
    <s v="Yes"/>
    <x v="1"/>
    <n v="13"/>
    <n v="1"/>
    <x v="1"/>
  </r>
  <r>
    <n v="1068"/>
    <x v="912"/>
    <s v="Duane Mitchell"/>
    <n v="52"/>
    <x v="0"/>
    <x v="0"/>
    <d v="2026-01-12T00:00:00"/>
    <d v="2024-09-08T00:00:00"/>
    <s v="Helen Jackson"/>
    <x v="907"/>
    <s v="Neurology"/>
    <x v="2"/>
    <s v="‚Ç¨159.11"/>
    <s v="EUR"/>
    <n v="159.11000000000001"/>
    <n v="173.42990000000003"/>
    <n v="0"/>
    <x v="0"/>
    <n v="14"/>
    <n v="1"/>
    <x v="1"/>
  </r>
  <r>
    <n v="1088"/>
    <x v="913"/>
    <s v="Mr. Paul Chavez"/>
    <n v="65"/>
    <x v="2"/>
    <x v="1"/>
    <d v="2025-07-23T00:00:00"/>
    <d v="2025-02-04T00:00:00"/>
    <s v="Evan Marquez"/>
    <x v="908"/>
    <s v="Neurology"/>
    <x v="2"/>
    <s v="$159.06"/>
    <s v="USD"/>
    <n v="159.06"/>
    <n v="159.06"/>
    <s v="Y"/>
    <x v="1"/>
    <n v="16"/>
    <n v="1"/>
    <x v="0"/>
  </r>
  <r>
    <n v="1012"/>
    <x v="914"/>
    <s v="Ian Weaver"/>
    <n v="18"/>
    <x v="1"/>
    <x v="0"/>
    <d v="2026-01-19T00:00:00"/>
    <d v="2025-06-01T00:00:00"/>
    <s v="Audrey Torres"/>
    <x v="909"/>
    <s v="Neurology"/>
    <x v="2"/>
    <s v="Rs317.16"/>
    <s v="INR"/>
    <n v="317.16000000000003"/>
    <n v="3.8059200000000004"/>
    <s v="Yes"/>
    <x v="1"/>
    <n v="9"/>
    <n v="1"/>
    <x v="2"/>
  </r>
  <r>
    <n v="1066"/>
    <x v="915"/>
    <s v="Daniel White"/>
    <n v="37"/>
    <x v="0"/>
    <x v="0"/>
    <d v="2025-05-25T00:00:00"/>
    <d v="2024-10-12T00:00:00"/>
    <s v="Justin Hall"/>
    <x v="910"/>
    <s v="General"/>
    <x v="3"/>
    <s v="‚Ç¨470.63"/>
    <s v="EUR"/>
    <n v="470.63"/>
    <n v="512.98670000000004"/>
    <s v="Y"/>
    <x v="1"/>
    <n v="11"/>
    <n v="1"/>
    <x v="2"/>
  </r>
  <r>
    <n v="1071"/>
    <x v="916"/>
    <s v="Brian Riley"/>
    <n v="74"/>
    <x v="2"/>
    <x v="1"/>
    <d v="2025-08-23T00:00:00"/>
    <d v="2024-09-24T00:00:00"/>
    <s v="Charles Kemp"/>
    <x v="911"/>
    <s v="Cardiology"/>
    <x v="0"/>
    <s v="$153.44"/>
    <s v="USD"/>
    <n v="153.44"/>
    <n v="153.44"/>
    <s v="N"/>
    <x v="2"/>
    <n v="10"/>
    <n v="1"/>
    <x v="0"/>
  </r>
  <r>
    <n v="1094"/>
    <x v="917"/>
    <s v="Joshua Wallace"/>
    <n v="60"/>
    <x v="3"/>
    <x v="2"/>
    <d v="2025-12-26T00:00:00"/>
    <d v="2024-05-22T00:00:00"/>
    <s v="Melissa Price"/>
    <x v="912"/>
    <s v="General"/>
    <x v="3"/>
    <s v="‚Ç¨416.08"/>
    <s v="EUR"/>
    <n v="416.08"/>
    <n v="453.52719999999999"/>
    <n v="0"/>
    <x v="0"/>
    <n v="8"/>
    <n v="1"/>
    <x v="1"/>
  </r>
  <r>
    <n v="1075"/>
    <x v="918"/>
    <s v="Amy Cruz"/>
    <n v="43"/>
    <x v="3"/>
    <x v="2"/>
    <d v="2025-12-14T00:00:00"/>
    <d v="2025-02-28T00:00:00"/>
    <s v="Tony Burke"/>
    <x v="913"/>
    <s v="Neurology"/>
    <x v="2"/>
    <s v="‚Ç¨458.79"/>
    <s v="EUR"/>
    <n v="458.79"/>
    <n v="500.08110000000005"/>
    <s v="Yes"/>
    <x v="1"/>
    <n v="11"/>
    <n v="1"/>
    <x v="1"/>
  </r>
  <r>
    <n v="1077"/>
    <x v="919"/>
    <s v="Carly Dixon"/>
    <n v="30"/>
    <x v="4"/>
    <x v="1"/>
    <d v="2025-05-29T00:00:00"/>
    <d v="2025-01-26T00:00:00"/>
    <s v="Gary Murray"/>
    <x v="914"/>
    <s v="Orthopedics"/>
    <x v="1"/>
    <s v="$125.8"/>
    <s v="USD"/>
    <n v="125.8"/>
    <n v="125.8"/>
    <n v="0"/>
    <x v="0"/>
    <n v="10"/>
    <n v="1"/>
    <x v="2"/>
  </r>
  <r>
    <n v="1044"/>
    <x v="920"/>
    <s v="Pamela Bradshaw"/>
    <n v="43"/>
    <x v="4"/>
    <x v="1"/>
    <d v="2025-04-02T00:00:00"/>
    <d v="2024-07-08T00:00:00"/>
    <s v="Donald Mitchell"/>
    <x v="915"/>
    <s v="General"/>
    <x v="3"/>
    <s v="Rs352.94"/>
    <s v="INR"/>
    <n v="352.94"/>
    <n v="4.2352800000000004"/>
    <n v="0"/>
    <x v="0"/>
    <n v="12"/>
    <n v="1"/>
    <x v="1"/>
  </r>
  <r>
    <n v="1084"/>
    <x v="921"/>
    <s v="Rebecca Hall"/>
    <n v="68"/>
    <x v="4"/>
    <x v="1"/>
    <d v="2025-07-22T00:00:00"/>
    <d v="2025-06-28T00:00:00"/>
    <s v="Kevin Mendoza DVM"/>
    <x v="916"/>
    <s v="General"/>
    <x v="3"/>
    <s v="‚Ç¨111.4"/>
    <s v="EUR"/>
    <n v="111.4"/>
    <n v="121.42600000000002"/>
    <n v="0"/>
    <x v="0"/>
    <n v="15"/>
    <n v="1"/>
    <x v="0"/>
  </r>
  <r>
    <n v="1060"/>
    <x v="922"/>
    <s v="James Lopez"/>
    <n v="85"/>
    <x v="0"/>
    <x v="0"/>
    <d v="2025-09-19T00:00:00"/>
    <d v="2025-09-16T00:00:00"/>
    <s v="Carla Cole"/>
    <x v="917"/>
    <s v="Cardiology"/>
    <x v="0"/>
    <s v="‚Ç¨161.54"/>
    <s v="EUR"/>
    <n v="161.54"/>
    <n v="176.07859999999999"/>
    <s v="Y"/>
    <x v="1"/>
    <n v="6"/>
    <n v="1"/>
    <x v="0"/>
  </r>
  <r>
    <n v="1055"/>
    <x v="923"/>
    <s v="Christopher Powell"/>
    <n v="69"/>
    <x v="4"/>
    <x v="1"/>
    <d v="2025-03-31T00:00:00"/>
    <d v="2024-11-05T00:00:00"/>
    <s v="Gary Wood"/>
    <x v="918"/>
    <s v="Orthopedics"/>
    <x v="1"/>
    <s v="Rs479.37"/>
    <s v="INR"/>
    <n v="479.37"/>
    <n v="5.75244"/>
    <s v="Yes"/>
    <x v="1"/>
    <n v="5"/>
    <n v="1"/>
    <x v="0"/>
  </r>
  <r>
    <n v="1046"/>
    <x v="924"/>
    <s v="Barbara Dalton"/>
    <n v="29"/>
    <x v="3"/>
    <x v="2"/>
    <d v="2025-04-07T00:00:00"/>
    <d v="2024-06-02T00:00:00"/>
    <s v="Rachel Holloway"/>
    <x v="919"/>
    <s v="Cardiology"/>
    <x v="0"/>
    <s v="$306.94"/>
    <s v="USD"/>
    <n v="306.94"/>
    <n v="306.94"/>
    <n v="1"/>
    <x v="0"/>
    <n v="8"/>
    <n v="1"/>
    <x v="2"/>
  </r>
  <r>
    <n v="1087"/>
    <x v="925"/>
    <s v="Alejandra Turner"/>
    <n v="31"/>
    <x v="3"/>
    <x v="2"/>
    <d v="2025-05-31T00:00:00"/>
    <d v="2025-05-24T00:00:00"/>
    <s v="Bradley Jones"/>
    <x v="920"/>
    <s v="Cardiology"/>
    <x v="0"/>
    <s v="‚Ç¨194.95"/>
    <s v="EUR"/>
    <n v="194.95"/>
    <n v="212.49549999999999"/>
    <s v="Yes"/>
    <x v="1"/>
    <n v="8"/>
    <n v="1"/>
    <x v="2"/>
  </r>
  <r>
    <n v="1020"/>
    <x v="926"/>
    <s v="Kelsey Shaffer"/>
    <n v="56"/>
    <x v="2"/>
    <x v="1"/>
    <d v="2025-04-20T00:00:00"/>
    <d v="2024-12-07T00:00:00"/>
    <s v="Christina Simmons"/>
    <x v="921"/>
    <s v="Neurology"/>
    <x v="2"/>
    <s v="‚Ç¨91.05"/>
    <s v="EUR"/>
    <n v="91.05"/>
    <n v="99.244500000000002"/>
    <s v="Y"/>
    <x v="1"/>
    <n v="10"/>
    <n v="1"/>
    <x v="1"/>
  </r>
  <r>
    <n v="1047"/>
    <x v="927"/>
    <s v="Kara Stewart"/>
    <n v="63"/>
    <x v="1"/>
    <x v="0"/>
    <d v="2025-04-21T00:00:00"/>
    <d v="2025-03-06T00:00:00"/>
    <s v="Becky Sanchez"/>
    <x v="922"/>
    <s v="Neurology"/>
    <x v="2"/>
    <s v="‚Ç¨290.36"/>
    <s v="EUR"/>
    <n v="290.36"/>
    <n v="316.49240000000003"/>
    <s v="No"/>
    <x v="2"/>
    <n v="17"/>
    <n v="1"/>
    <x v="1"/>
  </r>
  <r>
    <n v="1053"/>
    <x v="928"/>
    <s v="Kenneth Fox"/>
    <n v="86"/>
    <x v="3"/>
    <x v="2"/>
    <d v="2025-10-13T00:00:00"/>
    <d v="2024-08-12T00:00:00"/>
    <s v="Kimberly Sullivan"/>
    <x v="923"/>
    <s v="General"/>
    <x v="3"/>
    <s v="$85.53"/>
    <s v="USD"/>
    <n v="85.53"/>
    <n v="85.53"/>
    <n v="1"/>
    <x v="0"/>
    <n v="14"/>
    <n v="1"/>
    <x v="0"/>
  </r>
  <r>
    <n v="1031"/>
    <x v="929"/>
    <s v="Michelle Bradford"/>
    <n v="31"/>
    <x v="3"/>
    <x v="2"/>
    <d v="2026-03-17T00:00:00"/>
    <d v="2025-08-02T00:00:00"/>
    <s v="Robert Williams"/>
    <x v="924"/>
    <s v="Cardiology"/>
    <x v="0"/>
    <s v="‚Ç¨419.74"/>
    <s v="EUR"/>
    <n v="419.74"/>
    <n v="457.51660000000004"/>
    <s v="Yes"/>
    <x v="1"/>
    <n v="13"/>
    <n v="1"/>
    <x v="2"/>
  </r>
  <r>
    <n v="1041"/>
    <x v="930"/>
    <s v="Amy Wilson"/>
    <n v="81"/>
    <x v="4"/>
    <x v="1"/>
    <d v="2025-09-26T00:00:00"/>
    <d v="2025-02-01T00:00:00"/>
    <s v="Nathan Mathews"/>
    <x v="925"/>
    <s v="Orthopedics"/>
    <x v="1"/>
    <m/>
    <s v="N/A"/>
    <s v=""/>
    <s v="N/A"/>
    <n v="0"/>
    <x v="0"/>
    <n v="8"/>
    <n v="1"/>
    <x v="0"/>
  </r>
  <r>
    <n v="1047"/>
    <x v="931"/>
    <s v="Danielle Ortega"/>
    <n v="76"/>
    <x v="4"/>
    <x v="1"/>
    <d v="2025-08-18T00:00:00"/>
    <d v="2025-06-14T00:00:00"/>
    <s v="Tiffany Lowery"/>
    <x v="926"/>
    <s v="Orthopedics"/>
    <x v="1"/>
    <s v="$83.67"/>
    <s v="USD"/>
    <n v="83.67"/>
    <n v="83.67"/>
    <s v="N"/>
    <x v="2"/>
    <n v="17"/>
    <n v="1"/>
    <x v="0"/>
  </r>
  <r>
    <n v="1012"/>
    <x v="932"/>
    <s v="Gregory Hines"/>
    <n v="76"/>
    <x v="2"/>
    <x v="1"/>
    <d v="2026-02-07T00:00:00"/>
    <d v="2026-01-15T00:00:00"/>
    <s v="Rebecca Goodwin"/>
    <x v="927"/>
    <s v="Orthopedics"/>
    <x v="1"/>
    <s v="Rs255.43"/>
    <s v="INR"/>
    <n v="255.43"/>
    <n v="3.0651600000000001"/>
    <s v="No"/>
    <x v="2"/>
    <n v="9"/>
    <n v="1"/>
    <x v="0"/>
  </r>
  <r>
    <n v="1034"/>
    <x v="933"/>
    <s v="Amanda Douglas"/>
    <n v="90"/>
    <x v="3"/>
    <x v="2"/>
    <d v="2026-03-07T00:00:00"/>
    <d v="2024-06-25T00:00:00"/>
    <s v="Gregory Gonzalez"/>
    <x v="928"/>
    <s v="General"/>
    <x v="3"/>
    <m/>
    <s v="N/A"/>
    <s v=""/>
    <s v="N/A"/>
    <n v="0"/>
    <x v="0"/>
    <n v="8"/>
    <n v="1"/>
    <x v="0"/>
  </r>
  <r>
    <n v="1091"/>
    <x v="934"/>
    <s v="Scott Walker"/>
    <n v="62"/>
    <x v="4"/>
    <x v="1"/>
    <d v="2026-03-22T00:00:00"/>
    <d v="2025-11-28T00:00:00"/>
    <s v="Brianna Hernandez"/>
    <x v="929"/>
    <s v="Neurology"/>
    <x v="2"/>
    <s v="$433.63"/>
    <s v="USD"/>
    <n v="433.63"/>
    <n v="433.63"/>
    <s v="Y"/>
    <x v="1"/>
    <n v="9"/>
    <n v="1"/>
    <x v="1"/>
  </r>
  <r>
    <n v="1034"/>
    <x v="935"/>
    <s v="Teresa Kim"/>
    <n v="71"/>
    <x v="4"/>
    <x v="1"/>
    <d v="2025-12-26T00:00:00"/>
    <d v="2024-04-27T00:00:00"/>
    <s v="Gregory Brown"/>
    <x v="930"/>
    <s v="Neurology"/>
    <x v="2"/>
    <s v="Rs461.04"/>
    <s v="INR"/>
    <n v="461.04"/>
    <n v="5.5324800000000005"/>
    <n v="0"/>
    <x v="0"/>
    <n v="8"/>
    <n v="1"/>
    <x v="0"/>
  </r>
  <r>
    <n v="1072"/>
    <x v="936"/>
    <s v="Kimberly Miller"/>
    <n v="59"/>
    <x v="0"/>
    <x v="0"/>
    <d v="2025-04-25T00:00:00"/>
    <d v="2024-04-30T00:00:00"/>
    <s v="Anna Jennings"/>
    <x v="931"/>
    <s v="Cardiology"/>
    <x v="0"/>
    <s v="¬£261.01"/>
    <s v="GBP"/>
    <n v="261.01"/>
    <n v="331.48269999999997"/>
    <s v="Y"/>
    <x v="1"/>
    <n v="9"/>
    <n v="1"/>
    <x v="1"/>
  </r>
  <r>
    <n v="1048"/>
    <x v="937"/>
    <s v="Ashley Black"/>
    <n v="84"/>
    <x v="1"/>
    <x v="0"/>
    <d v="2025-05-29T00:00:00"/>
    <d v="2025-01-29T00:00:00"/>
    <s v="Dennis Murphy"/>
    <x v="932"/>
    <s v="Neurology"/>
    <x v="2"/>
    <m/>
    <s v="N/A"/>
    <s v=""/>
    <s v="N/A"/>
    <s v="N"/>
    <x v="2"/>
    <n v="8"/>
    <n v="1"/>
    <x v="0"/>
  </r>
  <r>
    <n v="1068"/>
    <x v="938"/>
    <s v="Wendy Parks"/>
    <n v="40"/>
    <x v="4"/>
    <x v="1"/>
    <d v="2026-02-14T00:00:00"/>
    <d v="2025-09-09T00:00:00"/>
    <s v="Melissa Williams"/>
    <x v="933"/>
    <s v="Neurology"/>
    <x v="2"/>
    <m/>
    <s v="N/A"/>
    <s v=""/>
    <s v="N/A"/>
    <n v="1"/>
    <x v="0"/>
    <n v="14"/>
    <n v="1"/>
    <x v="1"/>
  </r>
  <r>
    <n v="1063"/>
    <x v="939"/>
    <s v="Stacy Clements"/>
    <n v="75"/>
    <x v="0"/>
    <x v="0"/>
    <d v="2025-06-03T00:00:00"/>
    <d v="2024-11-09T00:00:00"/>
    <s v="Cynthia Dunn"/>
    <x v="934"/>
    <s v="Cardiology"/>
    <x v="0"/>
    <s v="Rs96.19"/>
    <s v="INR"/>
    <n v="96.19"/>
    <n v="1.15428"/>
    <s v="Yes"/>
    <x v="1"/>
    <n v="11"/>
    <n v="1"/>
    <x v="0"/>
  </r>
  <r>
    <n v="1063"/>
    <x v="940"/>
    <s v="Kyle Gibbs"/>
    <n v="58"/>
    <x v="0"/>
    <x v="0"/>
    <d v="2026-02-25T00:00:00"/>
    <d v="2024-10-29T00:00:00"/>
    <s v="Christopher Guzman"/>
    <x v="935"/>
    <s v="Neurology"/>
    <x v="2"/>
    <s v="¬£248.76"/>
    <s v="GBP"/>
    <n v="248.76"/>
    <n v="315.92520000000002"/>
    <n v="0"/>
    <x v="0"/>
    <n v="11"/>
    <n v="1"/>
    <x v="1"/>
  </r>
  <r>
    <n v="1045"/>
    <x v="941"/>
    <s v="Beth Stephens"/>
    <n v="24"/>
    <x v="0"/>
    <x v="0"/>
    <d v="2025-12-02T00:00:00"/>
    <d v="2025-04-13T00:00:00"/>
    <s v="Scott Nguyen"/>
    <x v="936"/>
    <s v="General"/>
    <x v="3"/>
    <s v="Rs246.63"/>
    <s v="INR"/>
    <n v="246.63"/>
    <n v="2.9595600000000002"/>
    <n v="0"/>
    <x v="0"/>
    <n v="8"/>
    <n v="1"/>
    <x v="2"/>
  </r>
  <r>
    <n v="1028"/>
    <x v="942"/>
    <s v="Michael Heath"/>
    <n v="88"/>
    <x v="3"/>
    <x v="2"/>
    <d v="2025-10-29T00:00:00"/>
    <d v="2025-03-22T00:00:00"/>
    <s v="Benjamin Brown"/>
    <x v="778"/>
    <s v="Cardiology"/>
    <x v="0"/>
    <s v="Rs256.59"/>
    <s v="INR"/>
    <n v="256.58999999999997"/>
    <n v="3.0790799999999998"/>
    <s v="Yes"/>
    <x v="1"/>
    <n v="8"/>
    <n v="1"/>
    <x v="0"/>
  </r>
  <r>
    <n v="1025"/>
    <x v="943"/>
    <s v="James Malone"/>
    <n v="84"/>
    <x v="0"/>
    <x v="0"/>
    <d v="2025-09-26T00:00:00"/>
    <d v="2025-06-16T00:00:00"/>
    <s v="Rhonda Oconnor"/>
    <x v="937"/>
    <s v="Neurology"/>
    <x v="2"/>
    <s v="$326.84"/>
    <s v="USD"/>
    <n v="326.83999999999997"/>
    <n v="326.83999999999997"/>
    <s v="Y"/>
    <x v="1"/>
    <n v="9"/>
    <n v="1"/>
    <x v="0"/>
  </r>
  <r>
    <n v="1046"/>
    <x v="944"/>
    <s v="Christina Moore"/>
    <n v="64"/>
    <x v="3"/>
    <x v="2"/>
    <d v="2025-05-31T00:00:00"/>
    <d v="2024-08-21T00:00:00"/>
    <s v="Joshua Martin"/>
    <x v="938"/>
    <s v="Orthopedics"/>
    <x v="1"/>
    <s v="¬£476.97"/>
    <s v="GBP"/>
    <n v="476.97"/>
    <n v="605.75190000000009"/>
    <s v="N"/>
    <x v="2"/>
    <n v="8"/>
    <n v="1"/>
    <x v="1"/>
  </r>
  <r>
    <n v="1036"/>
    <x v="945"/>
    <s v="Katie Mcdaniel"/>
    <n v="76"/>
    <x v="3"/>
    <x v="2"/>
    <d v="2026-01-10T00:00:00"/>
    <d v="2025-07-31T00:00:00"/>
    <s v="Aaron Perkins"/>
    <x v="939"/>
    <s v="General"/>
    <x v="3"/>
    <s v="$136.77"/>
    <s v="USD"/>
    <n v="136.77000000000001"/>
    <n v="136.77000000000001"/>
    <s v="Y"/>
    <x v="1"/>
    <n v="14"/>
    <n v="1"/>
    <x v="0"/>
  </r>
  <r>
    <n v="1026"/>
    <x v="946"/>
    <s v="Scott Thompson"/>
    <n v="49"/>
    <x v="4"/>
    <x v="1"/>
    <d v="2026-02-14T00:00:00"/>
    <d v="2025-03-11T00:00:00"/>
    <s v="Erika Richards"/>
    <x v="940"/>
    <s v="Neurology"/>
    <x v="2"/>
    <s v="‚Ç¨466.59"/>
    <s v="EUR"/>
    <n v="466.59"/>
    <n v="508.5831"/>
    <s v="No"/>
    <x v="2"/>
    <n v="10"/>
    <n v="1"/>
    <x v="1"/>
  </r>
  <r>
    <n v="1097"/>
    <x v="947"/>
    <s v="Jon Berry"/>
    <n v="27"/>
    <x v="4"/>
    <x v="1"/>
    <d v="2025-11-02T00:00:00"/>
    <d v="2024-04-25T00:00:00"/>
    <s v="Heather Foster"/>
    <x v="941"/>
    <s v="General"/>
    <x v="3"/>
    <s v="‚Ç¨342.3"/>
    <s v="EUR"/>
    <n v="342.3"/>
    <n v="373.10700000000003"/>
    <s v="Yes"/>
    <x v="1"/>
    <n v="10"/>
    <n v="1"/>
    <x v="2"/>
  </r>
  <r>
    <n v="1014"/>
    <x v="948"/>
    <s v="Connie Wheeler"/>
    <n v="29"/>
    <x v="3"/>
    <x v="2"/>
    <d v="2025-12-30T00:00:00"/>
    <d v="2025-08-08T00:00:00"/>
    <s v="Sherri Buckley"/>
    <x v="942"/>
    <s v="Neurology"/>
    <x v="2"/>
    <s v="‚Ç¨444.2"/>
    <s v="EUR"/>
    <n v="444.2"/>
    <n v="484.178"/>
    <s v="N"/>
    <x v="2"/>
    <n v="10"/>
    <n v="1"/>
    <x v="2"/>
  </r>
  <r>
    <n v="1085"/>
    <x v="949"/>
    <s v="Jonathan Howell"/>
    <n v="63"/>
    <x v="4"/>
    <x v="1"/>
    <d v="2025-08-12T00:00:00"/>
    <d v="2024-11-03T00:00:00"/>
    <s v="Darryl Case"/>
    <x v="943"/>
    <s v="Orthopedics"/>
    <x v="1"/>
    <s v="Rs421.18"/>
    <s v="INR"/>
    <n v="421.18"/>
    <n v="5.0541600000000004"/>
    <s v="Y"/>
    <x v="1"/>
    <n v="12"/>
    <n v="1"/>
    <x v="1"/>
  </r>
  <r>
    <n v="1005"/>
    <x v="950"/>
    <s v="Michelle King"/>
    <n v="54"/>
    <x v="4"/>
    <x v="1"/>
    <d v="2025-05-07T00:00:00"/>
    <d v="2024-06-22T00:00:00"/>
    <s v="Anthony Hughes"/>
    <x v="944"/>
    <s v="General"/>
    <x v="3"/>
    <s v="‚Ç¨386.3"/>
    <s v="EUR"/>
    <n v="386.3"/>
    <n v="421.06700000000006"/>
    <s v="No"/>
    <x v="2"/>
    <n v="13"/>
    <n v="1"/>
    <x v="1"/>
  </r>
  <r>
    <n v="1075"/>
    <x v="951"/>
    <s v="Christine Barron"/>
    <n v="59"/>
    <x v="2"/>
    <x v="1"/>
    <d v="2026-03-20T00:00:00"/>
    <d v="2025-12-24T00:00:00"/>
    <s v="Thomas Clark MD"/>
    <x v="945"/>
    <s v="Cardiology"/>
    <x v="0"/>
    <s v="Rs107.04"/>
    <s v="INR"/>
    <n v="107.04"/>
    <n v="1.2844800000000001"/>
    <n v="1"/>
    <x v="0"/>
    <n v="11"/>
    <n v="1"/>
    <x v="1"/>
  </r>
  <r>
    <n v="1082"/>
    <x v="952"/>
    <s v="Dr. Karen Miller DDS"/>
    <n v="37"/>
    <x v="4"/>
    <x v="1"/>
    <d v="2025-04-19T00:00:00"/>
    <d v="2024-04-29T00:00:00"/>
    <s v="Martin Herring"/>
    <x v="946"/>
    <s v="Orthopedics"/>
    <x v="1"/>
    <s v="¬£381.15"/>
    <s v="GBP"/>
    <n v="381.15"/>
    <n v="484.06049999999999"/>
    <n v="0"/>
    <x v="0"/>
    <n v="14"/>
    <n v="1"/>
    <x v="2"/>
  </r>
  <r>
    <n v="1089"/>
    <x v="953"/>
    <s v="Kimberly Barnett"/>
    <n v="69"/>
    <x v="4"/>
    <x v="1"/>
    <d v="2025-10-04T00:00:00"/>
    <d v="2025-07-31T00:00:00"/>
    <s v="William Bryan"/>
    <x v="947"/>
    <s v="General"/>
    <x v="3"/>
    <s v="‚Ç¨477.98"/>
    <s v="EUR"/>
    <n v="477.98"/>
    <n v="520.99820000000011"/>
    <s v="Y"/>
    <x v="1"/>
    <n v="16"/>
    <n v="1"/>
    <x v="0"/>
  </r>
  <r>
    <n v="1092"/>
    <x v="954"/>
    <s v="Abigail Warner"/>
    <n v="53"/>
    <x v="0"/>
    <x v="0"/>
    <d v="2025-10-25T00:00:00"/>
    <d v="2024-05-23T00:00:00"/>
    <s v="Heather Stokes"/>
    <x v="948"/>
    <s v="Orthopedics"/>
    <x v="1"/>
    <s v="‚Ç¨418.27"/>
    <s v="EUR"/>
    <n v="418.27"/>
    <n v="455.91430000000003"/>
    <s v="Y"/>
    <x v="1"/>
    <n v="11"/>
    <n v="1"/>
    <x v="1"/>
  </r>
  <r>
    <n v="1066"/>
    <x v="955"/>
    <s v="Melissa Vaughn"/>
    <n v="46"/>
    <x v="3"/>
    <x v="2"/>
    <d v="2026-03-26T00:00:00"/>
    <d v="2025-06-21T00:00:00"/>
    <s v="Vickie Johnson"/>
    <x v="949"/>
    <s v="Cardiology"/>
    <x v="0"/>
    <s v="‚Ç¨300.52"/>
    <s v="EUR"/>
    <n v="300.52"/>
    <n v="327.5668"/>
    <n v="0"/>
    <x v="0"/>
    <n v="11"/>
    <n v="1"/>
    <x v="1"/>
  </r>
  <r>
    <n v="1016"/>
    <x v="956"/>
    <s v="Jocelyn Strickland"/>
    <n v="22"/>
    <x v="2"/>
    <x v="1"/>
    <d v="2025-04-30T00:00:00"/>
    <d v="2024-07-10T00:00:00"/>
    <s v="Vincent Kemp"/>
    <x v="950"/>
    <s v="Cardiology"/>
    <x v="0"/>
    <m/>
    <s v="N/A"/>
    <s v=""/>
    <s v="N/A"/>
    <s v="N"/>
    <x v="2"/>
    <n v="15"/>
    <n v="1"/>
    <x v="2"/>
  </r>
  <r>
    <n v="1041"/>
    <x v="957"/>
    <s v="Lindsay Shaw"/>
    <n v="43"/>
    <x v="3"/>
    <x v="2"/>
    <d v="2025-09-17T00:00:00"/>
    <d v="2024-05-09T00:00:00"/>
    <s v="Julia Mcmillan"/>
    <x v="951"/>
    <s v="Orthopedics"/>
    <x v="1"/>
    <s v="¬£485.93"/>
    <s v="GBP"/>
    <n v="485.93"/>
    <n v="617.13110000000006"/>
    <n v="0"/>
    <x v="0"/>
    <n v="8"/>
    <n v="1"/>
    <x v="1"/>
  </r>
  <r>
    <n v="1052"/>
    <x v="958"/>
    <s v="Melvin Bowers"/>
    <n v="88"/>
    <x v="3"/>
    <x v="2"/>
    <d v="2025-12-15T00:00:00"/>
    <d v="2025-11-14T00:00:00"/>
    <s v="Robin Diaz"/>
    <x v="952"/>
    <s v="Orthopedics"/>
    <x v="1"/>
    <s v="¬£164.2"/>
    <s v="GBP"/>
    <n v="164.2"/>
    <n v="208.53399999999999"/>
    <n v="1"/>
    <x v="0"/>
    <n v="8"/>
    <n v="1"/>
    <x v="0"/>
  </r>
  <r>
    <n v="1051"/>
    <x v="959"/>
    <s v="Victoria Gilbert"/>
    <n v="64"/>
    <x v="1"/>
    <x v="0"/>
    <d v="2025-04-08T00:00:00"/>
    <d v="2024-07-23T00:00:00"/>
    <s v="April Spears"/>
    <x v="953"/>
    <s v="Cardiology"/>
    <x v="0"/>
    <s v="$390.1"/>
    <s v="USD"/>
    <n v="390.1"/>
    <n v="390.1"/>
    <s v="No"/>
    <x v="2"/>
    <n v="9"/>
    <n v="1"/>
    <x v="1"/>
  </r>
  <r>
    <n v="1035"/>
    <x v="960"/>
    <s v="John Marsh"/>
    <n v="33"/>
    <x v="4"/>
    <x v="1"/>
    <d v="2025-05-04T00:00:00"/>
    <d v="2024-06-04T00:00:00"/>
    <s v="Michael Wright"/>
    <x v="314"/>
    <s v="General"/>
    <x v="3"/>
    <s v="¬£407.7"/>
    <s v="GBP"/>
    <n v="407.7"/>
    <n v="517.779"/>
    <n v="1"/>
    <x v="0"/>
    <n v="9"/>
    <n v="1"/>
    <x v="2"/>
  </r>
  <r>
    <n v="1074"/>
    <x v="961"/>
    <s v="Eugene Underwood"/>
    <n v="80"/>
    <x v="2"/>
    <x v="1"/>
    <d v="2025-11-11T00:00:00"/>
    <d v="2025-05-20T00:00:00"/>
    <s v="Benjamin Williams"/>
    <x v="954"/>
    <s v="Neurology"/>
    <x v="2"/>
    <s v="Rs467.55"/>
    <s v="INR"/>
    <n v="467.55"/>
    <n v="5.6105999999999998"/>
    <s v="No"/>
    <x v="2"/>
    <n v="17"/>
    <n v="1"/>
    <x v="0"/>
  </r>
  <r>
    <n v="1098"/>
    <x v="962"/>
    <s v="Michelle Payne"/>
    <n v="87"/>
    <x v="2"/>
    <x v="1"/>
    <d v="2025-07-02T00:00:00"/>
    <d v="2024-11-25T00:00:00"/>
    <s v="Cassandra Bishop"/>
    <x v="955"/>
    <s v="Orthopedics"/>
    <x v="1"/>
    <s v="‚Ç¨119.41"/>
    <s v="EUR"/>
    <n v="119.41"/>
    <n v="130.15690000000001"/>
    <n v="0"/>
    <x v="0"/>
    <n v="12"/>
    <n v="1"/>
    <x v="0"/>
  </r>
  <r>
    <n v="1100"/>
    <x v="963"/>
    <s v="Melanie Lee"/>
    <n v="31"/>
    <x v="2"/>
    <x v="1"/>
    <d v="2025-10-01T00:00:00"/>
    <d v="2024-10-25T00:00:00"/>
    <s v="Andrea Kennedy"/>
    <x v="956"/>
    <s v="Cardiology"/>
    <x v="0"/>
    <s v="¬£441.89"/>
    <s v="GBP"/>
    <n v="441.89"/>
    <n v="561.20029999999997"/>
    <s v="No"/>
    <x v="2"/>
    <n v="8"/>
    <n v="1"/>
    <x v="2"/>
  </r>
  <r>
    <n v="1049"/>
    <x v="964"/>
    <s v="Jessica Murray"/>
    <n v="20"/>
    <x v="3"/>
    <x v="2"/>
    <d v="2025-12-29T00:00:00"/>
    <d v="2025-06-23T00:00:00"/>
    <s v="James Harris"/>
    <x v="957"/>
    <s v="General"/>
    <x v="3"/>
    <s v="Rs184.38"/>
    <s v="INR"/>
    <n v="184.38"/>
    <n v="2.2125599999999999"/>
    <s v="N"/>
    <x v="2"/>
    <n v="8"/>
    <n v="1"/>
    <x v="2"/>
  </r>
  <r>
    <n v="1021"/>
    <x v="965"/>
    <s v="William Villarreal"/>
    <n v="80"/>
    <x v="3"/>
    <x v="2"/>
    <d v="2025-06-15T00:00:00"/>
    <d v="2024-08-17T00:00:00"/>
    <s v="Ronald Davis"/>
    <x v="958"/>
    <s v="Orthopedics"/>
    <x v="1"/>
    <s v="$269.35"/>
    <s v="USD"/>
    <n v="269.35000000000002"/>
    <n v="269.35000000000002"/>
    <n v="1"/>
    <x v="0"/>
    <n v="16"/>
    <n v="1"/>
    <x v="0"/>
  </r>
  <r>
    <n v="1069"/>
    <x v="966"/>
    <s v="Monica Jones"/>
    <n v="18"/>
    <x v="3"/>
    <x v="2"/>
    <d v="2025-10-17T00:00:00"/>
    <d v="2024-05-07T00:00:00"/>
    <s v="Cheryl Bailey"/>
    <x v="959"/>
    <s v="Cardiology"/>
    <x v="0"/>
    <s v="Rs363.94"/>
    <s v="INR"/>
    <n v="363.94"/>
    <n v="4.3672800000000001"/>
    <s v="No"/>
    <x v="2"/>
    <n v="10"/>
    <n v="1"/>
    <x v="2"/>
  </r>
  <r>
    <n v="1056"/>
    <x v="967"/>
    <s v="Craig Parsons"/>
    <n v="71"/>
    <x v="3"/>
    <x v="2"/>
    <d v="2026-01-09T00:00:00"/>
    <d v="2025-12-15T00:00:00"/>
    <s v="Jose Price"/>
    <x v="960"/>
    <s v="General"/>
    <x v="3"/>
    <s v="¬£323.0"/>
    <s v="GBP"/>
    <n v="323"/>
    <n v="410.21"/>
    <n v="0"/>
    <x v="0"/>
    <n v="13"/>
    <n v="1"/>
    <x v="0"/>
  </r>
  <r>
    <n v="1036"/>
    <x v="968"/>
    <s v="Cameron Lopez"/>
    <n v="44"/>
    <x v="0"/>
    <x v="0"/>
    <d v="2025-04-27T00:00:00"/>
    <d v="2024-12-13T00:00:00"/>
    <s v="Christopher Williams"/>
    <x v="961"/>
    <s v="Orthopedics"/>
    <x v="1"/>
    <s v="$163.0"/>
    <s v="USD"/>
    <n v="163"/>
    <n v="163"/>
    <s v="Yes"/>
    <x v="1"/>
    <n v="14"/>
    <n v="1"/>
    <x v="1"/>
  </r>
  <r>
    <n v="1063"/>
    <x v="969"/>
    <s v="Daniel Green"/>
    <n v="32"/>
    <x v="4"/>
    <x v="1"/>
    <d v="2025-07-05T00:00:00"/>
    <d v="2025-01-04T00:00:00"/>
    <s v="James Fox"/>
    <x v="962"/>
    <s v="Orthopedics"/>
    <x v="1"/>
    <s v="Rs254.14"/>
    <s v="INR"/>
    <n v="254.14"/>
    <n v="3.0496799999999999"/>
    <n v="1"/>
    <x v="0"/>
    <n v="11"/>
    <n v="1"/>
    <x v="2"/>
  </r>
  <r>
    <n v="1081"/>
    <x v="970"/>
    <s v="William Hatfield"/>
    <n v="32"/>
    <x v="2"/>
    <x v="1"/>
    <d v="2026-02-26T00:00:00"/>
    <d v="2025-04-14T00:00:00"/>
    <s v="Kristen Lopez"/>
    <x v="508"/>
    <s v="Neurology"/>
    <x v="2"/>
    <s v="$112.79"/>
    <s v="USD"/>
    <n v="112.79"/>
    <n v="112.79"/>
    <n v="0"/>
    <x v="0"/>
    <n v="9"/>
    <n v="1"/>
    <x v="2"/>
  </r>
  <r>
    <n v="1042"/>
    <x v="971"/>
    <s v="Dawn Bryant"/>
    <n v="48"/>
    <x v="3"/>
    <x v="2"/>
    <d v="2025-06-14T00:00:00"/>
    <d v="2025-03-21T00:00:00"/>
    <s v="Charles Nguyen"/>
    <x v="963"/>
    <s v="Cardiology"/>
    <x v="0"/>
    <s v="Rs164.15"/>
    <s v="INR"/>
    <n v="164.15"/>
    <n v="1.9698000000000002"/>
    <s v="Y"/>
    <x v="1"/>
    <n v="4"/>
    <n v="1"/>
    <x v="1"/>
  </r>
  <r>
    <n v="1082"/>
    <x v="972"/>
    <s v="Joseph Rodriguez"/>
    <n v="69"/>
    <x v="0"/>
    <x v="0"/>
    <d v="2025-05-25T00:00:00"/>
    <d v="2024-06-15T00:00:00"/>
    <s v="Douglas Foster"/>
    <x v="964"/>
    <s v="Cardiology"/>
    <x v="0"/>
    <s v="‚Ç¨94.37"/>
    <s v="EUR"/>
    <n v="94.37"/>
    <n v="102.86330000000001"/>
    <n v="1"/>
    <x v="0"/>
    <n v="14"/>
    <n v="1"/>
    <x v="0"/>
  </r>
  <r>
    <n v="1002"/>
    <x v="973"/>
    <s v="Bailey Williamson"/>
    <n v="88"/>
    <x v="1"/>
    <x v="0"/>
    <d v="2025-10-17T00:00:00"/>
    <d v="2025-05-24T00:00:00"/>
    <s v="George Singleton"/>
    <x v="965"/>
    <s v="Cardiology"/>
    <x v="0"/>
    <s v="$368.53"/>
    <s v="USD"/>
    <n v="368.53"/>
    <n v="368.53"/>
    <s v="No"/>
    <x v="2"/>
    <n v="7"/>
    <n v="1"/>
    <x v="0"/>
  </r>
  <r>
    <n v="1047"/>
    <x v="974"/>
    <s v="Jeffrey Johnston"/>
    <n v="36"/>
    <x v="3"/>
    <x v="2"/>
    <d v="2026-01-21T00:00:00"/>
    <d v="2025-01-06T00:00:00"/>
    <s v="Cynthia Baker"/>
    <x v="966"/>
    <s v="Orthopedics"/>
    <x v="1"/>
    <s v="Rs240.37"/>
    <s v="INR"/>
    <n v="240.37"/>
    <n v="2.8844400000000001"/>
    <n v="0"/>
    <x v="0"/>
    <n v="17"/>
    <n v="1"/>
    <x v="2"/>
  </r>
  <r>
    <n v="1043"/>
    <x v="975"/>
    <s v="Brandy Estes MD"/>
    <n v="64"/>
    <x v="4"/>
    <x v="1"/>
    <d v="2025-10-26T00:00:00"/>
    <d v="2024-05-15T00:00:00"/>
    <s v="Andrea Lam"/>
    <x v="967"/>
    <s v="Neurology"/>
    <x v="2"/>
    <s v="¬£238.59"/>
    <s v="GBP"/>
    <n v="238.59"/>
    <n v="303.0093"/>
    <s v="Y"/>
    <x v="1"/>
    <n v="12"/>
    <n v="1"/>
    <x v="1"/>
  </r>
  <r>
    <n v="1072"/>
    <x v="976"/>
    <s v="Kristin Combs"/>
    <n v="38"/>
    <x v="1"/>
    <x v="0"/>
    <d v="2025-10-28T00:00:00"/>
    <d v="2024-12-12T00:00:00"/>
    <s v="Frank Anderson"/>
    <x v="968"/>
    <s v="General"/>
    <x v="3"/>
    <s v="Rs279.32"/>
    <s v="INR"/>
    <n v="279.32"/>
    <n v="3.3518400000000002"/>
    <n v="0"/>
    <x v="0"/>
    <n v="9"/>
    <n v="1"/>
    <x v="2"/>
  </r>
  <r>
    <n v="1085"/>
    <x v="977"/>
    <s v="Alex Rowe"/>
    <n v="34"/>
    <x v="4"/>
    <x v="1"/>
    <d v="2025-11-28T00:00:00"/>
    <d v="2025-06-15T00:00:00"/>
    <s v="Derek Doyle"/>
    <x v="969"/>
    <s v="Cardiology"/>
    <x v="0"/>
    <s v="Rs114.8"/>
    <s v="INR"/>
    <n v="114.8"/>
    <n v="1.3775999999999999"/>
    <n v="0"/>
    <x v="0"/>
    <n v="12"/>
    <n v="1"/>
    <x v="2"/>
  </r>
  <r>
    <n v="1088"/>
    <x v="978"/>
    <s v="Kevin Peters"/>
    <n v="19"/>
    <x v="0"/>
    <x v="0"/>
    <d v="2025-07-23T00:00:00"/>
    <d v="2025-04-28T00:00:00"/>
    <s v="Nancy Wilson"/>
    <x v="575"/>
    <s v="General"/>
    <x v="3"/>
    <s v="‚Ç¨96.78"/>
    <s v="EUR"/>
    <n v="96.78"/>
    <n v="105.49020000000002"/>
    <s v="N"/>
    <x v="2"/>
    <n v="16"/>
    <n v="1"/>
    <x v="2"/>
  </r>
  <r>
    <n v="1059"/>
    <x v="979"/>
    <s v="Hunter Miller"/>
    <n v="65"/>
    <x v="1"/>
    <x v="0"/>
    <d v="2025-07-24T00:00:00"/>
    <d v="2025-05-31T00:00:00"/>
    <s v="Kathy Lawson"/>
    <x v="970"/>
    <s v="Neurology"/>
    <x v="2"/>
    <s v="¬£384.42"/>
    <s v="GBP"/>
    <n v="384.42"/>
    <n v="488.21340000000004"/>
    <n v="0"/>
    <x v="0"/>
    <n v="13"/>
    <n v="1"/>
    <x v="0"/>
  </r>
  <r>
    <n v="1028"/>
    <x v="980"/>
    <s v="Rebecca Franklin"/>
    <n v="43"/>
    <x v="3"/>
    <x v="2"/>
    <d v="2025-07-03T00:00:00"/>
    <d v="2024-05-16T00:00:00"/>
    <s v="Daniel Love"/>
    <x v="971"/>
    <s v="Neurology"/>
    <x v="2"/>
    <s v="Rs187.7"/>
    <s v="INR"/>
    <n v="187.7"/>
    <n v="2.2523999999999997"/>
    <n v="1"/>
    <x v="0"/>
    <n v="8"/>
    <n v="1"/>
    <x v="1"/>
  </r>
  <r>
    <n v="1019"/>
    <x v="981"/>
    <s v="David Chapman"/>
    <n v="66"/>
    <x v="1"/>
    <x v="0"/>
    <d v="2025-07-27T00:00:00"/>
    <d v="2025-07-17T00:00:00"/>
    <s v="Rachel Wells"/>
    <x v="972"/>
    <s v="Orthopedics"/>
    <x v="1"/>
    <s v="¬£382.67"/>
    <s v="GBP"/>
    <n v="382.67"/>
    <n v="485.99090000000001"/>
    <s v="No"/>
    <x v="2"/>
    <n v="6"/>
    <n v="1"/>
    <x v="0"/>
  </r>
  <r>
    <n v="1012"/>
    <x v="982"/>
    <s v="Timothy Fowler"/>
    <n v="78"/>
    <x v="0"/>
    <x v="0"/>
    <d v="2025-07-15T00:00:00"/>
    <d v="2025-07-04T00:00:00"/>
    <s v="Donna Stephens"/>
    <x v="973"/>
    <s v="General"/>
    <x v="3"/>
    <s v="‚Ç¨236.27"/>
    <s v="EUR"/>
    <n v="236.27"/>
    <n v="257.53430000000003"/>
    <n v="0"/>
    <x v="0"/>
    <n v="9"/>
    <n v="1"/>
    <x v="0"/>
  </r>
  <r>
    <n v="1049"/>
    <x v="983"/>
    <s v="Megan Russell"/>
    <n v="84"/>
    <x v="4"/>
    <x v="1"/>
    <d v="2025-12-26T00:00:00"/>
    <d v="2025-08-07T00:00:00"/>
    <s v="Autumn Hill"/>
    <x v="974"/>
    <s v="Cardiology"/>
    <x v="0"/>
    <s v="$359.17"/>
    <s v="USD"/>
    <n v="359.17"/>
    <n v="359.17"/>
    <s v="Y"/>
    <x v="1"/>
    <n v="8"/>
    <n v="1"/>
    <x v="0"/>
  </r>
  <r>
    <n v="1081"/>
    <x v="984"/>
    <s v="Courtney Wright"/>
    <n v="43"/>
    <x v="3"/>
    <x v="2"/>
    <d v="2025-07-26T00:00:00"/>
    <d v="2024-05-24T00:00:00"/>
    <s v="Daniel Morris"/>
    <x v="975"/>
    <s v="Orthopedics"/>
    <x v="1"/>
    <s v="Rs362.65"/>
    <s v="INR"/>
    <n v="362.65"/>
    <n v="4.3517999999999999"/>
    <n v="1"/>
    <x v="0"/>
    <n v="9"/>
    <n v="1"/>
    <x v="1"/>
  </r>
  <r>
    <n v="1045"/>
    <x v="985"/>
    <s v="Natalie Marquez"/>
    <n v="29"/>
    <x v="0"/>
    <x v="0"/>
    <d v="2025-07-18T00:00:00"/>
    <d v="2025-03-24T00:00:00"/>
    <s v="Jennifer Paul"/>
    <x v="976"/>
    <s v="Neurology"/>
    <x v="2"/>
    <s v="¬£401.58"/>
    <s v="GBP"/>
    <n v="401.58"/>
    <n v="510.00659999999999"/>
    <s v="No"/>
    <x v="2"/>
    <n v="8"/>
    <n v="1"/>
    <x v="2"/>
  </r>
  <r>
    <n v="1076"/>
    <x v="986"/>
    <s v="Sarah Wilson"/>
    <n v="79"/>
    <x v="2"/>
    <x v="1"/>
    <d v="2026-02-21T00:00:00"/>
    <d v="2024-08-08T00:00:00"/>
    <s v="Courtney Foley"/>
    <x v="977"/>
    <s v="Orthopedics"/>
    <x v="1"/>
    <s v="$120.7"/>
    <s v="USD"/>
    <n v="120.7"/>
    <n v="120.7"/>
    <s v="Y"/>
    <x v="1"/>
    <n v="6"/>
    <n v="1"/>
    <x v="0"/>
  </r>
  <r>
    <n v="1047"/>
    <x v="987"/>
    <s v="Ashley Estes"/>
    <n v="54"/>
    <x v="3"/>
    <x v="2"/>
    <d v="2025-06-02T00:00:00"/>
    <d v="2024-07-31T00:00:00"/>
    <s v="Stephanie Mercer"/>
    <x v="978"/>
    <s v="Cardiology"/>
    <x v="0"/>
    <s v="¬£405.15"/>
    <s v="GBP"/>
    <n v="405.15"/>
    <n v="514.54049999999995"/>
    <s v="Yes"/>
    <x v="1"/>
    <n v="17"/>
    <n v="1"/>
    <x v="1"/>
  </r>
  <r>
    <n v="1068"/>
    <x v="988"/>
    <s v="William Bentley"/>
    <n v="42"/>
    <x v="4"/>
    <x v="1"/>
    <d v="2025-10-21T00:00:00"/>
    <d v="2025-03-31T00:00:00"/>
    <s v="Jacob Mckay"/>
    <x v="979"/>
    <s v="Neurology"/>
    <x v="2"/>
    <s v="$263.3"/>
    <s v="USD"/>
    <n v="263.3"/>
    <n v="263.3"/>
    <s v="Yes"/>
    <x v="1"/>
    <n v="14"/>
    <n v="1"/>
    <x v="1"/>
  </r>
  <r>
    <n v="1021"/>
    <x v="989"/>
    <s v="James Carey"/>
    <n v="41"/>
    <x v="3"/>
    <x v="2"/>
    <d v="2025-04-03T00:00:00"/>
    <d v="2024-08-22T00:00:00"/>
    <s v="James Berger"/>
    <x v="980"/>
    <s v="Orthopedics"/>
    <x v="1"/>
    <s v="¬£470.08"/>
    <s v="GBP"/>
    <n v="470.08"/>
    <n v="597.00159999999994"/>
    <n v="1"/>
    <x v="0"/>
    <n v="16"/>
    <n v="1"/>
    <x v="1"/>
  </r>
  <r>
    <n v="1052"/>
    <x v="990"/>
    <s v="Nicholas Mcdaniel"/>
    <n v="48"/>
    <x v="1"/>
    <x v="0"/>
    <d v="2025-08-09T00:00:00"/>
    <d v="2025-04-26T00:00:00"/>
    <s v="Daniel Smith"/>
    <x v="981"/>
    <s v="Orthopedics"/>
    <x v="1"/>
    <s v="‚Ç¨79.73"/>
    <s v="EUR"/>
    <n v="79.73"/>
    <n v="86.90570000000001"/>
    <n v="0"/>
    <x v="0"/>
    <n v="8"/>
    <n v="1"/>
    <x v="1"/>
  </r>
  <r>
    <n v="1075"/>
    <x v="991"/>
    <s v="Cheryl Rogers"/>
    <n v="43"/>
    <x v="2"/>
    <x v="1"/>
    <d v="2026-01-12T00:00:00"/>
    <d v="2025-10-30T00:00:00"/>
    <s v="Victoria Hansen"/>
    <x v="982"/>
    <s v="General"/>
    <x v="3"/>
    <s v="¬£376.76"/>
    <s v="GBP"/>
    <n v="376.76"/>
    <n v="478.48520000000002"/>
    <s v="Y"/>
    <x v="1"/>
    <n v="11"/>
    <n v="1"/>
    <x v="1"/>
  </r>
  <r>
    <n v="1047"/>
    <x v="992"/>
    <s v="Patricia Jackson"/>
    <n v="76"/>
    <x v="3"/>
    <x v="2"/>
    <d v="2026-02-28T00:00:00"/>
    <d v="2024-11-19T00:00:00"/>
    <s v="Jennifer Martin"/>
    <x v="983"/>
    <s v="Cardiology"/>
    <x v="0"/>
    <s v="Rs378.92"/>
    <s v="INR"/>
    <n v="378.92"/>
    <n v="4.54704"/>
    <n v="0"/>
    <x v="0"/>
    <n v="17"/>
    <n v="1"/>
    <x v="0"/>
  </r>
  <r>
    <n v="1017"/>
    <x v="993"/>
    <s v="Erin Bates"/>
    <n v="50"/>
    <x v="2"/>
    <x v="1"/>
    <d v="2025-06-13T00:00:00"/>
    <d v="2025-01-15T00:00:00"/>
    <s v="Chelsea Harris"/>
    <x v="984"/>
    <s v="Cardiology"/>
    <x v="0"/>
    <s v="$370.13"/>
    <s v="USD"/>
    <n v="370.13"/>
    <n v="370.13"/>
    <s v="Y"/>
    <x v="1"/>
    <n v="8"/>
    <n v="1"/>
    <x v="1"/>
  </r>
  <r>
    <n v="1068"/>
    <x v="994"/>
    <s v="Aaron Holder"/>
    <n v="19"/>
    <x v="4"/>
    <x v="1"/>
    <d v="2026-01-26T00:00:00"/>
    <d v="2024-11-28T00:00:00"/>
    <s v="Lauren Ayers"/>
    <x v="985"/>
    <s v="General"/>
    <x v="3"/>
    <s v="Rs377.38"/>
    <s v="INR"/>
    <n v="377.38"/>
    <n v="4.5285599999999997"/>
    <s v="Y"/>
    <x v="1"/>
    <n v="14"/>
    <n v="1"/>
    <x v="2"/>
  </r>
  <r>
    <n v="1082"/>
    <x v="995"/>
    <s v="Thomas Roman"/>
    <n v="64"/>
    <x v="0"/>
    <x v="0"/>
    <d v="2025-09-14T00:00:00"/>
    <d v="2024-07-15T00:00:00"/>
    <s v="Robert Bass"/>
    <x v="986"/>
    <s v="General"/>
    <x v="3"/>
    <s v="Rs200.43"/>
    <s v="INR"/>
    <n v="200.43"/>
    <n v="2.40516"/>
    <s v="Yes"/>
    <x v="1"/>
    <n v="14"/>
    <n v="1"/>
    <x v="1"/>
  </r>
  <r>
    <n v="1008"/>
    <x v="996"/>
    <s v="Jack Cooper"/>
    <n v="67"/>
    <x v="1"/>
    <x v="0"/>
    <d v="2025-04-09T00:00:00"/>
    <d v="2024-06-20T00:00:00"/>
    <s v="Christopher Smith"/>
    <x v="378"/>
    <s v="General"/>
    <x v="3"/>
    <s v="Rs244.49"/>
    <s v="INR"/>
    <n v="244.49"/>
    <n v="2.9338800000000003"/>
    <s v="No"/>
    <x v="2"/>
    <n v="11"/>
    <n v="1"/>
    <x v="0"/>
  </r>
  <r>
    <n v="1022"/>
    <x v="997"/>
    <s v="Christopher Brown"/>
    <n v="28"/>
    <x v="3"/>
    <x v="2"/>
    <d v="2026-02-13T00:00:00"/>
    <d v="2024-06-13T00:00:00"/>
    <s v="Kimberly Johnson"/>
    <x v="987"/>
    <s v="Neurology"/>
    <x v="2"/>
    <s v="¬£154.48"/>
    <s v="GBP"/>
    <n v="154.47999999999999"/>
    <n v="196.18959999999998"/>
    <s v="N"/>
    <x v="2"/>
    <n v="9"/>
    <n v="1"/>
    <x v="2"/>
  </r>
  <r>
    <n v="1088"/>
    <x v="998"/>
    <s v="Michael Sullivan"/>
    <n v="65"/>
    <x v="1"/>
    <x v="0"/>
    <d v="2025-07-04T00:00:00"/>
    <d v="2024-04-15T00:00:00"/>
    <s v="Anthony Mccoy"/>
    <x v="988"/>
    <s v="Neurology"/>
    <x v="2"/>
    <s v="$434.95"/>
    <s v="USD"/>
    <n v="434.95"/>
    <n v="434.95"/>
    <n v="0"/>
    <x v="0"/>
    <n v="16"/>
    <n v="1"/>
    <x v="0"/>
  </r>
  <r>
    <n v="1003"/>
    <x v="999"/>
    <s v="Perry Crawford"/>
    <n v="79"/>
    <x v="4"/>
    <x v="1"/>
    <d v="2025-11-05T00:00:00"/>
    <d v="2024-07-22T00:00:00"/>
    <s v="Marvin Hicks"/>
    <x v="989"/>
    <s v="Cardiology"/>
    <x v="0"/>
    <s v="‚Ç¨102.23"/>
    <s v="EUR"/>
    <n v="102.23"/>
    <n v="111.43070000000002"/>
    <s v="Y"/>
    <x v="1"/>
    <n v="12"/>
    <n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F42E3C-026A-EC4B-801A-B8198CAFF9F1}"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E17" firstHeaderRow="1" firstDataRow="2" firstDataCol="1"/>
  <pivotFields count="21">
    <pivotField showAll="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6">
        <item x="1"/>
        <item x="0"/>
        <item x="2"/>
        <item x="4"/>
        <item x="3"/>
        <item t="default"/>
      </items>
    </pivotField>
    <pivotField axis="axisRow" showAll="0">
      <items count="4">
        <item x="0"/>
        <item x="1"/>
        <item x="2"/>
        <item t="default"/>
      </items>
    </pivotField>
    <pivotField numFmtId="14" showAll="0"/>
    <pivotField numFmtId="14" showAll="0"/>
    <pivotField showAll="0"/>
    <pivotField showAll="0"/>
    <pivotField showAll="0"/>
    <pivotField showAll="0">
      <items count="5">
        <item h="1" x="0"/>
        <item x="3"/>
        <item h="1" x="2"/>
        <item h="1" x="1"/>
        <item t="default"/>
      </items>
    </pivotField>
    <pivotField showAll="0"/>
    <pivotField showAll="0"/>
    <pivotField showAll="0"/>
    <pivotField showAll="0"/>
    <pivotField showAll="0"/>
    <pivotField axis="axisCol" dataField="1" showAll="0">
      <items count="4">
        <item x="0"/>
        <item x="2"/>
        <item x="1"/>
        <item t="default"/>
      </items>
    </pivotField>
    <pivotField showAll="0"/>
    <pivotField showAll="0"/>
    <pivotField showAll="0"/>
  </pivotFields>
  <rowFields count="1">
    <field x="5"/>
  </rowFields>
  <rowItems count="4">
    <i>
      <x/>
    </i>
    <i>
      <x v="1"/>
    </i>
    <i>
      <x v="2"/>
    </i>
    <i t="grand">
      <x/>
    </i>
  </rowItems>
  <colFields count="1">
    <field x="17"/>
  </colFields>
  <colItems count="4">
    <i>
      <x/>
    </i>
    <i>
      <x v="1"/>
    </i>
    <i>
      <x v="2"/>
    </i>
    <i t="grand">
      <x/>
    </i>
  </colItems>
  <dataFields count="1">
    <dataField name="Count of follow_up_required fix" fld="17" subtotal="count" baseField="0" baseItem="0"/>
  </dataFields>
  <chartFormats count="9">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0" format="2" series="1">
      <pivotArea type="data" outline="0" fieldPosition="0">
        <references count="2">
          <reference field="4294967294" count="1" selected="0">
            <x v="0"/>
          </reference>
          <reference field="17" count="1" selected="0">
            <x v="2"/>
          </reference>
        </references>
      </pivotArea>
    </chartFormat>
    <chartFormat chart="3" format="3" series="1">
      <pivotArea type="data" outline="0" fieldPosition="0">
        <references count="2">
          <reference field="4294967294" count="1" selected="0">
            <x v="0"/>
          </reference>
          <reference field="17" count="1" selected="0">
            <x v="0"/>
          </reference>
        </references>
      </pivotArea>
    </chartFormat>
    <chartFormat chart="3" format="4" series="1">
      <pivotArea type="data" outline="0" fieldPosition="0">
        <references count="2">
          <reference field="4294967294" count="1" selected="0">
            <x v="0"/>
          </reference>
          <reference field="17" count="1" selected="0">
            <x v="1"/>
          </reference>
        </references>
      </pivotArea>
    </chartFormat>
    <chartFormat chart="3" format="5" series="1">
      <pivotArea type="data" outline="0" fieldPosition="0">
        <references count="2">
          <reference field="4294967294" count="1" selected="0">
            <x v="0"/>
          </reference>
          <reference field="17" count="1" selected="0">
            <x v="2"/>
          </reference>
        </references>
      </pivotArea>
    </chartFormat>
    <chartFormat chart="4" format="6" series="1">
      <pivotArea type="data" outline="0" fieldPosition="0">
        <references count="2">
          <reference field="4294967294" count="1" selected="0">
            <x v="0"/>
          </reference>
          <reference field="17" count="1" selected="0">
            <x v="0"/>
          </reference>
        </references>
      </pivotArea>
    </chartFormat>
    <chartFormat chart="4" format="7" series="1">
      <pivotArea type="data" outline="0" fieldPosition="0">
        <references count="2">
          <reference field="4294967294" count="1" selected="0">
            <x v="0"/>
          </reference>
          <reference field="17" count="1" selected="0">
            <x v="1"/>
          </reference>
        </references>
      </pivotArea>
    </chartFormat>
    <chartFormat chart="4" format="8" series="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3F3616-F091-794E-B371-B823CB121F9E}"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E10" firstHeaderRow="1" firstDataRow="2" firstDataCol="1"/>
  <pivotFields count="21">
    <pivotField showAll="0"/>
    <pivotField showAll="0"/>
    <pivotField showAll="0"/>
    <pivotField showAll="0"/>
    <pivotField showAll="0"/>
    <pivotField showAll="0"/>
    <pivotField numFmtId="14" showAll="0"/>
    <pivotField numFmtId="14" showAll="0"/>
    <pivotField showAll="0"/>
    <pivotField showAll="0"/>
    <pivotField showAll="0"/>
    <pivotField showAll="0">
      <items count="5">
        <item h="1" x="0"/>
        <item x="3"/>
        <item h="1" x="2"/>
        <item h="1" x="1"/>
        <item t="default"/>
      </items>
    </pivotField>
    <pivotField showAll="0"/>
    <pivotField showAll="0"/>
    <pivotField showAll="0"/>
    <pivotField dataField="1" showAll="0"/>
    <pivotField showAll="0"/>
    <pivotField axis="axisCol" showAll="0">
      <items count="4">
        <item x="0"/>
        <item x="2"/>
        <item x="1"/>
        <item t="default"/>
      </items>
    </pivotField>
    <pivotField showAll="0"/>
    <pivotField showAll="0"/>
    <pivotField showAll="0"/>
  </pivotFields>
  <rowItems count="1">
    <i/>
  </rowItems>
  <colFields count="1">
    <field x="17"/>
  </colFields>
  <colItems count="4">
    <i>
      <x/>
    </i>
    <i>
      <x v="1"/>
    </i>
    <i>
      <x v="2"/>
    </i>
    <i t="grand">
      <x/>
    </i>
  </colItems>
  <dataFields count="1">
    <dataField name="Average of billing_amount USD" fld="15" subtotal="average" baseField="0" baseItem="0"/>
  </dataFields>
  <chartFormats count="6">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0" format="2" series="1">
      <pivotArea type="data" outline="0" fieldPosition="0">
        <references count="2">
          <reference field="4294967294" count="1" selected="0">
            <x v="0"/>
          </reference>
          <reference field="17" count="1" selected="0">
            <x v="2"/>
          </reference>
        </references>
      </pivotArea>
    </chartFormat>
    <chartFormat chart="4" format="6" series="1">
      <pivotArea type="data" outline="0" fieldPosition="0">
        <references count="2">
          <reference field="4294967294" count="1" selected="0">
            <x v="0"/>
          </reference>
          <reference field="17" count="1" selected="0">
            <x v="0"/>
          </reference>
        </references>
      </pivotArea>
    </chartFormat>
    <chartFormat chart="4" format="7" series="1">
      <pivotArea type="data" outline="0" fieldPosition="0">
        <references count="2">
          <reference field="4294967294" count="1" selected="0">
            <x v="0"/>
          </reference>
          <reference field="17" count="1" selected="0">
            <x v="1"/>
          </reference>
        </references>
      </pivotArea>
    </chartFormat>
    <chartFormat chart="4" format="8" series="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B6E00C-FE70-B446-988C-A782DEEE8094}"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E6" firstHeaderRow="1" firstDataRow="2" firstDataCol="1"/>
  <pivotFields count="21">
    <pivotField showAll="0"/>
    <pivotField showAll="0"/>
    <pivotField showAll="0"/>
    <pivotField showAll="0"/>
    <pivotField showAll="0"/>
    <pivotField showAll="0"/>
    <pivotField numFmtId="14" showAll="0"/>
    <pivotField numFmtId="14" showAll="0"/>
    <pivotField showAll="0"/>
    <pivotField showAll="0">
      <items count="991">
        <item h="1" x="565"/>
        <item h="1" x="939"/>
        <item h="1" x="644"/>
        <item x="635"/>
        <item h="1" x="796"/>
        <item h="1" x="853"/>
        <item h="1" x="582"/>
        <item h="1" x="309"/>
        <item h="1" x="448"/>
        <item h="1" x="147"/>
        <item h="1" x="325"/>
        <item h="1" x="346"/>
        <item h="1" x="92"/>
        <item h="1" x="620"/>
        <item h="1" x="268"/>
        <item h="1" x="558"/>
        <item h="1" x="242"/>
        <item h="1" x="393"/>
        <item h="1" x="65"/>
        <item h="1" x="193"/>
        <item h="1" x="711"/>
        <item h="1" x="327"/>
        <item h="1" x="40"/>
        <item h="1" x="143"/>
        <item h="1" x="211"/>
        <item h="1" x="810"/>
        <item h="1" x="828"/>
        <item h="1" x="190"/>
        <item h="1" x="570"/>
        <item h="1" x="681"/>
        <item h="1" x="285"/>
        <item h="1" x="739"/>
        <item h="1" x="222"/>
        <item h="1" x="217"/>
        <item h="1" x="814"/>
        <item h="1" x="371"/>
        <item h="1" x="610"/>
        <item h="1" x="175"/>
        <item h="1" x="434"/>
        <item h="1" x="484"/>
        <item h="1" x="165"/>
        <item h="1" x="236"/>
        <item h="1" x="745"/>
        <item h="1" x="604"/>
        <item h="1" x="229"/>
        <item h="1" x="333"/>
        <item h="1" x="12"/>
        <item h="1" x="134"/>
        <item h="1" x="889"/>
        <item h="1" x="557"/>
        <item h="1" x="861"/>
        <item h="1" x="73"/>
        <item h="1" x="14"/>
        <item h="1" x="4"/>
        <item h="1" x="956"/>
        <item h="1" x="967"/>
        <item h="1" x="881"/>
        <item h="1" x="503"/>
        <item h="1" x="473"/>
        <item h="1" x="591"/>
        <item h="1" x="840"/>
        <item h="1" x="109"/>
        <item h="1" x="541"/>
        <item h="1" x="180"/>
        <item h="1" x="647"/>
        <item h="1" x="31"/>
        <item h="1" x="703"/>
        <item h="1" x="535"/>
        <item h="1" x="792"/>
        <item h="1" x="432"/>
        <item h="1" x="836"/>
        <item h="1" x="931"/>
        <item h="1" x="795"/>
        <item h="1" x="131"/>
        <item h="1" x="100"/>
        <item h="1" x="944"/>
        <item h="1" x="37"/>
        <item h="1" x="988"/>
        <item h="1" x="257"/>
        <item h="1" x="612"/>
        <item h="1" x="516"/>
        <item h="1" x="797"/>
        <item h="1" x="563"/>
        <item h="1" x="878"/>
        <item h="1" x="953"/>
        <item h="1" x="423"/>
        <item h="1" x="179"/>
        <item h="1" x="332"/>
        <item h="1" x="774"/>
        <item h="1" x="110"/>
        <item h="1" x="841"/>
        <item h="1" x="537"/>
        <item h="1" x="355"/>
        <item h="1" x="490"/>
        <item h="1" x="909"/>
        <item h="1" x="555"/>
        <item h="1" x="974"/>
        <item h="1" x="368"/>
        <item h="1" x="150"/>
        <item h="1" x="680"/>
        <item h="1" x="618"/>
        <item h="1" x="312"/>
        <item h="1" x="922"/>
        <item h="1" x="778"/>
        <item h="1" x="506"/>
        <item h="1" x="954"/>
        <item h="1" x="762"/>
        <item h="1" x="695"/>
        <item h="1" x="770"/>
        <item h="1" x="377"/>
        <item h="1" x="442"/>
        <item h="1" x="920"/>
        <item h="1" x="74"/>
        <item h="1" x="875"/>
        <item h="1" x="433"/>
        <item h="1" x="1"/>
        <item h="1" x="139"/>
        <item h="1" x="220"/>
        <item h="1" x="159"/>
        <item h="1" x="149"/>
        <item h="1" x="117"/>
        <item h="1" x="279"/>
        <item h="1" x="93"/>
        <item h="1" x="284"/>
        <item h="1" x="542"/>
        <item h="1" x="321"/>
        <item h="1" x="553"/>
        <item h="1" x="696"/>
        <item h="1" x="738"/>
        <item h="1" x="519"/>
        <item h="1" x="823"/>
        <item h="1" x="891"/>
        <item h="1" x="47"/>
        <item h="1" x="693"/>
        <item h="1" x="816"/>
        <item h="1" x="690"/>
        <item h="1" x="492"/>
        <item h="1" x="23"/>
        <item h="1" x="929"/>
        <item h="1" x="479"/>
        <item h="1" x="758"/>
        <item h="1" x="683"/>
        <item h="1" x="359"/>
        <item h="1" x="88"/>
        <item h="1" x="636"/>
        <item h="1" x="407"/>
        <item h="1" x="807"/>
        <item h="1" x="533"/>
        <item h="1" x="917"/>
        <item h="1" x="350"/>
        <item h="1" x="447"/>
        <item h="1" x="754"/>
        <item h="1" x="178"/>
        <item h="1" x="29"/>
        <item h="1" x="955"/>
        <item h="1" x="356"/>
        <item h="1" x="240"/>
        <item h="1" x="671"/>
        <item h="1" x="399"/>
        <item h="1" x="301"/>
        <item h="1" x="334"/>
        <item h="1" x="911"/>
        <item h="1" x="56"/>
        <item h="1" x="197"/>
        <item h="1" x="963"/>
        <item h="1" x="551"/>
        <item h="1" x="707"/>
        <item h="1" x="120"/>
        <item h="1" x="523"/>
        <item h="1" x="525"/>
        <item h="1" x="984"/>
        <item h="1" x="627"/>
        <item h="1" x="959"/>
        <item h="1" x="349"/>
        <item h="1" x="607"/>
        <item h="1" x="17"/>
        <item h="1" x="630"/>
        <item h="1" x="177"/>
        <item h="1" x="921"/>
        <item h="1" x="238"/>
        <item h="1" x="52"/>
        <item h="1" x="311"/>
        <item h="1" x="16"/>
        <item h="1" x="803"/>
        <item h="1" x="129"/>
        <item h="1" x="300"/>
        <item h="1" x="0"/>
        <item h="1" x="935"/>
        <item h="1" x="185"/>
        <item h="1" x="514"/>
        <item h="1" x="54"/>
        <item h="1" x="41"/>
        <item h="1" x="429"/>
        <item h="1" x="317"/>
        <item h="1" x="530"/>
        <item h="1" x="308"/>
        <item h="1" x="218"/>
        <item h="1" x="691"/>
        <item h="1" x="378"/>
        <item h="1" x="243"/>
        <item h="1" x="961"/>
        <item h="1" x="244"/>
        <item h="1" x="420"/>
        <item h="1" x="654"/>
        <item h="1" x="133"/>
        <item h="1" x="897"/>
        <item h="1" x="526"/>
        <item h="1" x="421"/>
        <item h="1" x="148"/>
        <item h="1" x="595"/>
        <item h="1" x="63"/>
        <item h="1" x="818"/>
        <item h="1" x="603"/>
        <item h="1" x="977"/>
        <item h="1" x="55"/>
        <item h="1" x="642"/>
        <item h="1" x="388"/>
        <item h="1" x="746"/>
        <item h="1" x="75"/>
        <item h="1" x="224"/>
        <item h="1" x="521"/>
        <item h="1" x="966"/>
        <item h="1" x="140"/>
        <item h="1" x="145"/>
        <item h="1" x="712"/>
        <item h="1" x="934"/>
        <item h="1" x="347"/>
        <item h="1" x="622"/>
        <item h="1" x="806"/>
        <item h="1" x="585"/>
        <item h="1" x="207"/>
        <item h="1" x="157"/>
        <item h="1" x="867"/>
        <item h="1" x="702"/>
        <item h="1" x="813"/>
        <item h="1" x="122"/>
        <item h="1" x="465"/>
        <item h="1" x="540"/>
        <item h="1" x="206"/>
        <item h="1" x="24"/>
        <item h="1" x="18"/>
        <item h="1" x="87"/>
        <item h="1" x="971"/>
        <item h="1" x="975"/>
        <item h="1" x="278"/>
        <item h="1" x="981"/>
        <item h="1" x="416"/>
        <item h="1" x="749"/>
        <item h="1" x="539"/>
        <item h="1" x="777"/>
        <item h="1" x="25"/>
        <item h="1" x="619"/>
        <item h="1" x="461"/>
        <item h="1" x="943"/>
        <item h="1" x="293"/>
        <item h="1" x="688"/>
        <item h="1" x="679"/>
        <item h="1" x="534"/>
        <item h="1" x="162"/>
        <item h="1" x="613"/>
        <item h="1" x="510"/>
        <item h="1" x="589"/>
        <item h="1" x="376"/>
        <item h="1" x="657"/>
        <item h="1" x="296"/>
        <item h="1" x="27"/>
        <item h="1" x="669"/>
        <item h="1" x="903"/>
        <item h="1" x="873"/>
        <item h="1" x="900"/>
        <item h="1" x="786"/>
        <item h="1" x="2"/>
        <item h="1" x="594"/>
        <item h="1" x="605"/>
        <item h="1" x="668"/>
        <item h="1" x="769"/>
        <item h="1" x="182"/>
        <item h="1" x="634"/>
        <item h="1" x="304"/>
        <item h="1" x="932"/>
        <item h="1" x="969"/>
        <item h="1" x="495"/>
        <item h="1" x="167"/>
        <item h="1" x="374"/>
        <item h="1" x="101"/>
        <item h="1" x="104"/>
        <item h="1" x="46"/>
        <item h="1" x="802"/>
        <item h="1" x="316"/>
        <item h="1" x="866"/>
        <item h="1" x="670"/>
        <item h="1" x="446"/>
        <item h="1" x="631"/>
        <item h="1" x="915"/>
        <item h="1" x="740"/>
        <item h="1" x="598"/>
        <item h="1" x="725"/>
        <item h="1" x="724"/>
        <item h="1" x="478"/>
        <item h="1" x="973"/>
        <item h="1" x="128"/>
        <item h="1" x="964"/>
        <item h="1" x="678"/>
        <item h="1" x="727"/>
        <item h="1" x="737"/>
        <item h="1" x="324"/>
        <item h="1" x="234"/>
        <item h="1" x="904"/>
        <item h="1" x="283"/>
        <item h="1" x="76"/>
        <item h="1" x="168"/>
        <item h="1" x="384"/>
        <item h="1" x="322"/>
        <item h="1" x="682"/>
        <item h="1" x="107"/>
        <item h="1" x="885"/>
        <item h="1" x="628"/>
        <item h="1" x="775"/>
        <item h="1" x="367"/>
        <item h="1" x="391"/>
        <item h="1" x="161"/>
        <item h="1" x="656"/>
        <item h="1" x="592"/>
        <item h="1" x="784"/>
        <item h="1" x="576"/>
        <item h="1" x="940"/>
        <item h="1" x="831"/>
        <item h="1" x="771"/>
        <item h="1" x="658"/>
        <item h="1" x="708"/>
        <item h="1" x="496"/>
        <item h="1" x="489"/>
        <item h="1" x="908"/>
        <item h="1" x="609"/>
        <item h="1" x="527"/>
        <item h="1" x="520"/>
        <item h="1" x="968"/>
        <item h="1" x="470"/>
        <item h="1" x="621"/>
        <item h="1" x="130"/>
        <item h="1" x="203"/>
        <item h="1" x="914"/>
        <item h="1" x="586"/>
        <item h="1" x="918"/>
        <item h="1" x="118"/>
        <item h="1" x="965"/>
        <item h="1" x="418"/>
        <item h="1" x="71"/>
        <item h="1" x="829"/>
        <item h="1" x="488"/>
        <item h="1" x="214"/>
        <item h="1" x="260"/>
        <item h="1" x="930"/>
        <item h="1" x="928"/>
        <item h="1" x="353"/>
        <item h="1" x="28"/>
        <item h="1" x="292"/>
        <item h="1" x="700"/>
        <item h="1" x="883"/>
        <item h="1" x="209"/>
        <item h="1" x="646"/>
        <item h="1" x="790"/>
        <item h="1" x="638"/>
        <item h="1" x="839"/>
        <item h="1" x="79"/>
        <item h="1" x="941"/>
        <item h="1" x="611"/>
        <item h="1" x="436"/>
        <item h="1" x="948"/>
        <item h="1" x="507"/>
        <item h="1" x="780"/>
        <item h="1" x="501"/>
        <item h="1" x="907"/>
        <item h="1" x="415"/>
        <item h="1" x="643"/>
        <item h="1" x="524"/>
        <item h="1" x="673"/>
        <item h="1" x="860"/>
        <item h="1" x="274"/>
        <item h="1" x="375"/>
        <item h="1" x="625"/>
        <item h="1" x="715"/>
        <item h="1" x="788"/>
        <item h="1" x="205"/>
        <item h="1" x="689"/>
        <item h="1" x="856"/>
        <item h="1" x="455"/>
        <item h="1" x="141"/>
        <item h="1" x="499"/>
        <item h="1" x="979"/>
        <item h="1" x="320"/>
        <item h="1" x="764"/>
        <item h="1" x="263"/>
        <item h="1" x="408"/>
        <item h="1" x="980"/>
        <item h="1" x="7"/>
        <item h="1" x="262"/>
        <item h="1" x="734"/>
        <item h="1" x="962"/>
        <item h="1" x="957"/>
        <item h="1" x="369"/>
        <item h="1" x="750"/>
        <item h="1" x="60"/>
        <item h="1" x="820"/>
        <item h="1" x="765"/>
        <item h="1" x="826"/>
        <item h="1" x="8"/>
        <item h="1" x="573"/>
        <item h="1" x="62"/>
        <item h="1" x="412"/>
        <item h="1" x="44"/>
        <item h="1" x="578"/>
        <item h="1" x="26"/>
        <item h="1" x="452"/>
        <item h="1" x="744"/>
        <item h="1" x="192"/>
        <item h="1" x="172"/>
        <item h="1" x="808"/>
        <item h="1" x="335"/>
        <item h="1" x="64"/>
        <item h="1" x="357"/>
        <item h="1" x="513"/>
        <item h="1" x="287"/>
        <item h="1" x="200"/>
        <item h="1" x="219"/>
        <item h="1" x="888"/>
        <item h="1" x="69"/>
        <item h="1" x="782"/>
        <item h="1" x="466"/>
        <item h="1" x="164"/>
        <item h="1" x="532"/>
        <item h="1" x="215"/>
        <item h="1" x="787"/>
        <item h="1" x="245"/>
        <item h="1" x="119"/>
        <item h="1" x="983"/>
        <item h="1" x="976"/>
        <item h="1" x="854"/>
        <item h="1" x="543"/>
        <item h="1" x="132"/>
        <item h="1" x="326"/>
        <item h="1" x="231"/>
        <item h="1" x="50"/>
        <item h="1" x="48"/>
        <item h="1" x="653"/>
        <item h="1" x="735"/>
        <item h="1" x="536"/>
        <item h="1" x="153"/>
        <item h="1" x="748"/>
        <item h="1" x="714"/>
        <item h="1" x="798"/>
        <item h="1" x="599"/>
        <item h="1" x="606"/>
        <item h="1" x="723"/>
        <item h="1" x="173"/>
        <item h="1" x="529"/>
        <item h="1" x="383"/>
        <item h="1" x="6"/>
        <item h="1" x="78"/>
        <item h="1" x="280"/>
        <item h="1" x="430"/>
        <item h="1" x="362"/>
        <item h="1" x="226"/>
        <item h="1" x="752"/>
        <item h="1" x="13"/>
        <item h="1" x="195"/>
        <item h="1" x="202"/>
        <item h="1" x="872"/>
        <item h="1" x="887"/>
        <item h="1" x="259"/>
        <item h="1" x="666"/>
        <item h="1" x="842"/>
        <item h="1" x="295"/>
        <item h="1" x="184"/>
        <item h="1" x="772"/>
        <item h="1" x="672"/>
        <item h="1" x="241"/>
        <item h="1" x="515"/>
        <item h="1" x="640"/>
        <item h="1" x="960"/>
        <item h="1" x="639"/>
        <item h="1" x="721"/>
        <item h="1" x="624"/>
        <item h="1" x="469"/>
        <item h="1" x="237"/>
        <item h="1" x="297"/>
        <item h="1" x="216"/>
        <item h="1" x="544"/>
        <item h="1" x="938"/>
        <item h="1" x="343"/>
        <item h="1" x="137"/>
        <item h="1" x="799"/>
        <item h="1" x="483"/>
        <item h="1" x="791"/>
        <item h="1" x="951"/>
        <item h="1" x="361"/>
        <item h="1" x="709"/>
        <item h="1" x="255"/>
        <item h="1" x="850"/>
        <item h="1" x="394"/>
        <item h="1" x="427"/>
        <item h="1" x="910"/>
        <item h="1" x="564"/>
        <item h="1" x="661"/>
        <item h="1" x="459"/>
        <item h="1" x="645"/>
        <item h="1" x="497"/>
        <item h="1" x="409"/>
        <item h="1" x="811"/>
        <item h="1" x="713"/>
        <item h="1" x="859"/>
        <item h="1" x="824"/>
        <item h="1" x="685"/>
        <item h="1" x="146"/>
        <item h="1" x="266"/>
        <item h="1" x="3"/>
        <item h="1" x="365"/>
        <item h="1" x="183"/>
        <item h="1" x="451"/>
        <item h="1" x="204"/>
        <item h="1" x="731"/>
        <item h="1" x="687"/>
        <item h="1" x="80"/>
        <item h="1" x="718"/>
        <item h="1" x="269"/>
        <item h="1" x="817"/>
        <item h="1" x="970"/>
        <item h="1" x="201"/>
        <item h="1" x="248"/>
        <item h="1" x="863"/>
        <item h="1" x="742"/>
        <item h="1" x="837"/>
        <item h="1" x="19"/>
        <item h="1" x="108"/>
        <item h="1" x="674"/>
        <item h="1" x="428"/>
        <item h="1" x="676"/>
        <item h="1" x="637"/>
        <item h="1" x="728"/>
        <item h="1" x="538"/>
        <item h="1" x="548"/>
        <item h="1" x="664"/>
        <item h="1" x="531"/>
        <item h="1" x="272"/>
        <item h="1" x="692"/>
        <item h="1" x="776"/>
        <item h="1" x="38"/>
        <item h="1" x="254"/>
        <item h="1" x="768"/>
        <item h="1" x="916"/>
        <item h="1" x="868"/>
        <item h="1" x="404"/>
        <item h="1" x="282"/>
        <item h="1" x="386"/>
        <item h="1" x="588"/>
        <item h="1" x="730"/>
        <item h="1" x="363"/>
        <item h="1" x="313"/>
        <item h="1" x="5"/>
        <item h="1" x="751"/>
        <item h="1" x="135"/>
        <item h="1" x="987"/>
        <item h="1" x="380"/>
        <item h="1" x="819"/>
        <item h="1" x="462"/>
        <item h="1" x="822"/>
        <item h="1" x="923"/>
        <item h="1" x="632"/>
        <item h="1" x="722"/>
        <item h="1" x="508"/>
        <item h="1" x="719"/>
        <item h="1" x="194"/>
        <item h="1" x="97"/>
        <item h="1" x="699"/>
        <item h="1" x="339"/>
        <item h="1" x="186"/>
        <item h="1" x="880"/>
        <item h="1" x="686"/>
        <item h="1" x="261"/>
        <item h="1" x="96"/>
        <item h="1" x="152"/>
        <item h="1" x="445"/>
        <item h="1" x="382"/>
        <item h="1" x="590"/>
        <item h="1" x="597"/>
        <item h="1" x="340"/>
        <item h="1" x="32"/>
        <item h="1" x="352"/>
        <item h="1" x="985"/>
        <item h="1" x="424"/>
        <item h="1" x="809"/>
        <item h="1" x="562"/>
        <item h="1" x="566"/>
        <item h="1" x="460"/>
        <item h="1" x="230"/>
        <item h="1" x="617"/>
        <item h="1" x="360"/>
        <item h="1" x="342"/>
        <item h="1" x="249"/>
        <item h="1" x="138"/>
        <item h="1" x="684"/>
        <item h="1" x="370"/>
        <item h="1" x="303"/>
        <item h="1" x="151"/>
        <item h="1" x="522"/>
        <item h="1" x="869"/>
        <item h="1" x="877"/>
        <item h="1" x="477"/>
        <item h="1" x="336"/>
        <item h="1" x="154"/>
        <item h="1" x="323"/>
        <item h="1" x="61"/>
        <item h="1" x="176"/>
        <item h="1" x="22"/>
        <item h="1" x="805"/>
        <item h="1" x="756"/>
        <item h="1" x="411"/>
        <item h="1" x="142"/>
        <item h="1" x="865"/>
        <item h="1" x="319"/>
        <item h="1" x="845"/>
        <item h="1" x="103"/>
        <item h="1" x="893"/>
        <item h="1" x="252"/>
        <item h="1" x="779"/>
        <item h="1" x="456"/>
        <item h="1" x="453"/>
        <item h="1" x="546"/>
        <item h="1" x="435"/>
        <item h="1" x="899"/>
        <item h="1" x="213"/>
        <item h="1" x="258"/>
        <item h="1" x="652"/>
        <item h="1" x="450"/>
        <item h="1" x="901"/>
        <item h="1" x="86"/>
        <item h="1" x="759"/>
        <item h="1" x="892"/>
        <item h="1" x="800"/>
        <item h="1" x="481"/>
        <item h="1" x="946"/>
        <item h="1" x="989"/>
        <item h="1" x="587"/>
        <item h="1" x="898"/>
        <item h="1" x="584"/>
        <item h="1" x="706"/>
        <item h="1" x="275"/>
        <item h="1" x="410"/>
        <item h="1" x="406"/>
        <item h="1" x="743"/>
        <item h="1" x="579"/>
        <item h="1" x="191"/>
        <item h="1" x="163"/>
        <item h="1" x="318"/>
        <item h="1" x="838"/>
        <item h="1" x="425"/>
        <item h="1" x="781"/>
        <item h="1" x="821"/>
        <item h="1" x="733"/>
        <item h="1" x="328"/>
        <item h="1" x="487"/>
        <item h="1" x="136"/>
        <item h="1" x="298"/>
        <item h="1" x="902"/>
        <item h="1" x="874"/>
        <item h="1" x="858"/>
        <item h="1" x="116"/>
        <item h="1" x="882"/>
        <item h="1" x="83"/>
        <item h="1" x="441"/>
        <item h="1" x="528"/>
        <item h="1" x="381"/>
        <item h="1" x="246"/>
        <item h="1" x="895"/>
        <item h="1" x="912"/>
        <item h="1" x="310"/>
        <item h="1" x="933"/>
        <item h="1" x="650"/>
        <item h="1" x="351"/>
        <item h="1" x="385"/>
        <item h="1" x="208"/>
        <item h="1" x="569"/>
        <item h="1" x="124"/>
        <item h="1" x="550"/>
        <item h="1" x="438"/>
        <item h="1" x="884"/>
        <item h="1" x="277"/>
        <item h="1" x="701"/>
        <item h="1" x="121"/>
        <item h="1" x="364"/>
        <item h="1" x="614"/>
        <item h="1" x="710"/>
        <item h="1" x="91"/>
        <item h="1" x="843"/>
        <item h="1" x="648"/>
        <item h="1" x="760"/>
        <item h="1" x="511"/>
        <item h="1" x="289"/>
        <item h="1" x="697"/>
        <item h="1" x="554"/>
        <item h="1" x="314"/>
        <item h="1" x="227"/>
        <item h="1" x="307"/>
        <item h="1" x="288"/>
        <item h="1" x="290"/>
        <item h="1" x="188"/>
        <item h="1" x="239"/>
        <item h="1" x="373"/>
        <item h="1" x="264"/>
        <item h="1" x="608"/>
        <item h="1" x="72"/>
        <item h="1" x="662"/>
        <item h="1" x="785"/>
        <item h="1" x="187"/>
        <item h="1" x="633"/>
        <item h="1" x="500"/>
        <item h="1" x="112"/>
        <item h="1" x="305"/>
        <item h="1" x="210"/>
        <item h="1" x="33"/>
        <item h="1" x="560"/>
        <item h="1" x="667"/>
        <item h="1" x="663"/>
        <item h="1" x="437"/>
        <item h="1" x="789"/>
        <item h="1" x="344"/>
        <item h="1" x="726"/>
        <item h="1" x="113"/>
        <item h="1" x="49"/>
        <item h="1" x="372"/>
        <item h="1" x="575"/>
        <item h="1" x="440"/>
        <item h="1" x="397"/>
        <item h="1" x="855"/>
        <item h="1" x="517"/>
        <item h="1" x="338"/>
        <item h="1" x="11"/>
        <item h="1" x="925"/>
        <item h="1" x="491"/>
        <item h="1" x="732"/>
        <item h="1" x="337"/>
        <item h="1" x="847"/>
        <item h="1" x="105"/>
        <item h="1" x="379"/>
        <item h="1" x="111"/>
        <item h="1" x="559"/>
        <item h="1" x="600"/>
        <item h="1" x="330"/>
        <item h="1" x="225"/>
        <item h="1" x="556"/>
        <item h="1" x="59"/>
        <item h="1" x="851"/>
        <item h="1" x="894"/>
        <item h="1" x="552"/>
        <item h="1" x="106"/>
        <item h="1" x="400"/>
        <item h="1" x="675"/>
        <item h="1" x="402"/>
        <item h="1" x="596"/>
        <item h="1" x="90"/>
        <item h="1" x="228"/>
        <item h="1" x="341"/>
        <item h="1" x="651"/>
        <item h="1" x="835"/>
        <item h="1" x="126"/>
        <item h="1" x="265"/>
        <item h="1" x="196"/>
        <item h="1" x="665"/>
        <item h="1" x="267"/>
        <item h="1" x="571"/>
        <item h="1" x="919"/>
        <item h="1" x="233"/>
        <item h="1" x="890"/>
        <item h="1" x="171"/>
        <item h="1" x="896"/>
        <item h="1" x="67"/>
        <item h="1" x="972"/>
        <item h="1" x="403"/>
        <item h="1" x="572"/>
        <item h="1" x="401"/>
        <item h="1" x="480"/>
        <item h="1" x="89"/>
        <item h="1" x="444"/>
        <item h="1" x="417"/>
        <item h="1" x="927"/>
        <item h="1" x="502"/>
        <item h="1" x="21"/>
        <item h="1" x="66"/>
        <item h="1" x="574"/>
        <item h="1" x="329"/>
        <item h="1" x="291"/>
        <item h="1" x="509"/>
        <item h="1" x="518"/>
        <item h="1" x="937"/>
        <item h="1" x="467"/>
        <item h="1" x="20"/>
        <item h="1" x="498"/>
        <item h="1" x="593"/>
        <item h="1" x="454"/>
        <item h="1" x="581"/>
        <item h="1" x="504"/>
        <item h="1" x="825"/>
        <item h="1" x="57"/>
        <item h="1" x="99"/>
        <item h="1" x="986"/>
        <item h="1" x="449"/>
        <item h="1" x="299"/>
        <item h="1" x="649"/>
        <item h="1" x="616"/>
        <item h="1" x="694"/>
        <item h="1" x="36"/>
        <item h="1" x="166"/>
        <item h="1" x="98"/>
        <item h="1" x="629"/>
        <item h="1" x="15"/>
        <item h="1" x="387"/>
        <item h="1" x="34"/>
        <item h="1" x="235"/>
        <item h="1" x="924"/>
        <item h="1" x="952"/>
        <item h="1" x="655"/>
        <item h="1" x="660"/>
        <item h="1" x="763"/>
        <item h="1" x="958"/>
        <item h="1" x="549"/>
        <item h="1" x="85"/>
        <item h="1" x="486"/>
        <item h="1" x="879"/>
        <item h="1" x="677"/>
        <item h="1" x="419"/>
        <item h="1" x="804"/>
        <item h="1" x="794"/>
        <item h="1" x="271"/>
        <item h="1" x="181"/>
        <item h="1" x="413"/>
        <item h="1" x="354"/>
        <item h="1" x="247"/>
        <item h="1" x="82"/>
        <item h="1" x="568"/>
        <item h="1" x="717"/>
        <item h="1" x="251"/>
        <item h="1" x="641"/>
        <item h="1" x="485"/>
        <item h="1" x="221"/>
        <item h="1" x="741"/>
        <item h="1" x="783"/>
        <item h="1" x="276"/>
        <item h="1" x="827"/>
        <item h="1" x="747"/>
        <item h="1" x="422"/>
        <item h="1" x="830"/>
        <item h="1" x="414"/>
        <item h="1" x="494"/>
        <item h="1" x="936"/>
        <item h="1" x="468"/>
        <item h="1" x="464"/>
        <item h="1" x="844"/>
        <item h="1" x="766"/>
        <item h="1" x="862"/>
        <item h="1" x="463"/>
        <item h="1" x="626"/>
        <item h="1" x="281"/>
        <item h="1" x="10"/>
        <item h="1" x="45"/>
        <item h="1" x="286"/>
        <item h="1" x="199"/>
        <item h="1" x="471"/>
        <item h="1" x="474"/>
        <item h="1" x="189"/>
        <item h="1" x="942"/>
        <item h="1" x="70"/>
        <item h="1" x="505"/>
        <item h="1" x="390"/>
        <item h="1" x="170"/>
        <item h="1" x="273"/>
        <item h="1" x="767"/>
        <item h="1" x="812"/>
        <item h="1" x="315"/>
        <item h="1" x="736"/>
        <item h="1" x="978"/>
        <item h="1" x="30"/>
        <item h="1" x="156"/>
        <item h="1" x="793"/>
        <item h="1" x="125"/>
        <item h="1" x="43"/>
        <item h="1" x="155"/>
        <item h="1" x="294"/>
        <item h="1" x="864"/>
        <item h="1" x="577"/>
        <item h="1" x="729"/>
        <item h="1" x="77"/>
        <item h="1" x="601"/>
        <item h="1" x="250"/>
        <item h="1" x="834"/>
        <item h="1" x="545"/>
        <item h="1" x="457"/>
        <item h="1" x="270"/>
        <item h="1" x="395"/>
        <item h="1" x="905"/>
        <item h="1" x="886"/>
        <item h="1" x="160"/>
        <item h="1" x="493"/>
        <item h="1" x="144"/>
        <item h="1" x="906"/>
        <item h="1" x="256"/>
        <item h="1" x="580"/>
        <item h="1" x="871"/>
        <item h="1" x="705"/>
        <item h="1" x="870"/>
        <item h="1" x="583"/>
        <item h="1" x="431"/>
        <item h="1" x="123"/>
        <item h="1" x="102"/>
        <item h="1" x="302"/>
        <item h="1" x="623"/>
        <item h="1" x="443"/>
        <item h="1" x="720"/>
        <item h="1" x="482"/>
        <item h="1" x="53"/>
        <item h="1" x="35"/>
        <item h="1" x="945"/>
        <item h="1" x="39"/>
        <item h="1" x="51"/>
        <item h="1" x="458"/>
        <item h="1" x="602"/>
        <item h="1" x="9"/>
        <item h="1" x="926"/>
        <item h="1" x="366"/>
        <item h="1" x="476"/>
        <item h="1" x="848"/>
        <item h="1" x="396"/>
        <item h="1" x="306"/>
        <item h="1" x="169"/>
        <item h="1" x="761"/>
        <item h="1" x="232"/>
        <item h="1" x="58"/>
        <item h="1" x="345"/>
        <item h="1" x="913"/>
        <item h="1" x="223"/>
        <item h="1" x="348"/>
        <item h="1" x="174"/>
        <item h="1" x="331"/>
        <item h="1" x="852"/>
        <item h="1" x="815"/>
        <item h="1" x="426"/>
        <item h="1" x="392"/>
        <item h="1" x="42"/>
        <item h="1" x="158"/>
        <item h="1" x="94"/>
        <item h="1" x="857"/>
        <item h="1" x="876"/>
        <item h="1" x="846"/>
        <item h="1" x="115"/>
        <item h="1" x="439"/>
        <item h="1" x="698"/>
        <item h="1" x="801"/>
        <item h="1" x="949"/>
        <item h="1" x="398"/>
        <item h="1" x="755"/>
        <item h="1" x="753"/>
        <item h="1" x="982"/>
        <item h="1" x="567"/>
        <item h="1" x="358"/>
        <item h="1" x="950"/>
        <item h="1" x="81"/>
        <item h="1" x="704"/>
        <item h="1" x="833"/>
        <item h="1" x="95"/>
        <item h="1" x="547"/>
        <item h="1" x="561"/>
        <item h="1" x="253"/>
        <item h="1" x="716"/>
        <item h="1" x="198"/>
        <item h="1" x="68"/>
        <item h="1" x="947"/>
        <item h="1" x="114"/>
        <item h="1" x="832"/>
        <item h="1" x="849"/>
        <item h="1" x="84"/>
        <item h="1" x="512"/>
        <item h="1" x="212"/>
        <item h="1" x="405"/>
        <item h="1" x="472"/>
        <item h="1" x="773"/>
        <item h="1" x="127"/>
        <item h="1" x="757"/>
        <item h="1" x="475"/>
        <item h="1" x="389"/>
        <item h="1" x="615"/>
        <item h="1" x="659"/>
        <item t="default"/>
      </items>
    </pivotField>
    <pivotField showAll="0"/>
    <pivotField showAll="0">
      <items count="5">
        <item h="1" x="0"/>
        <item x="3"/>
        <item h="1" x="2"/>
        <item h="1" x="1"/>
        <item t="default"/>
      </items>
    </pivotField>
    <pivotField showAll="0"/>
    <pivotField showAll="0"/>
    <pivotField showAll="0"/>
    <pivotField showAll="0"/>
    <pivotField showAll="0"/>
    <pivotField axis="axisCol" dataField="1" showAll="0">
      <items count="4">
        <item x="0"/>
        <item x="2"/>
        <item x="1"/>
        <item t="default"/>
      </items>
    </pivotField>
    <pivotField showAll="0"/>
    <pivotField showAll="0"/>
    <pivotField axis="axisRow" showAll="0">
      <items count="4">
        <item x="0"/>
        <item x="1"/>
        <item x="2"/>
        <item t="default"/>
      </items>
    </pivotField>
  </pivotFields>
  <rowFields count="1">
    <field x="20"/>
  </rowFields>
  <rowItems count="4">
    <i>
      <x/>
    </i>
    <i>
      <x v="1"/>
    </i>
    <i>
      <x v="2"/>
    </i>
    <i t="grand">
      <x/>
    </i>
  </rowItems>
  <colFields count="1">
    <field x="17"/>
  </colFields>
  <colItems count="4">
    <i>
      <x/>
    </i>
    <i>
      <x v="1"/>
    </i>
    <i>
      <x v="2"/>
    </i>
    <i t="grand">
      <x/>
    </i>
  </colItems>
  <dataFields count="1">
    <dataField name="Count of follow_up_required fix" fld="17" subtotal="count" baseField="0" baseItem="0"/>
  </dataFields>
  <chartFormats count="6">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0" format="2" series="1">
      <pivotArea type="data" outline="0" fieldPosition="0">
        <references count="2">
          <reference field="4294967294" count="1" selected="0">
            <x v="0"/>
          </reference>
          <reference field="17" count="1" selected="0">
            <x v="2"/>
          </reference>
        </references>
      </pivotArea>
    </chartFormat>
    <chartFormat chart="7" format="6" series="1">
      <pivotArea type="data" outline="0" fieldPosition="0">
        <references count="2">
          <reference field="4294967294" count="1" selected="0">
            <x v="0"/>
          </reference>
          <reference field="17" count="1" selected="0">
            <x v="0"/>
          </reference>
        </references>
      </pivotArea>
    </chartFormat>
    <chartFormat chart="7" format="7" series="1">
      <pivotArea type="data" outline="0" fieldPosition="0">
        <references count="2">
          <reference field="4294967294" count="1" selected="0">
            <x v="0"/>
          </reference>
          <reference field="17" count="1" selected="0">
            <x v="1"/>
          </reference>
        </references>
      </pivotArea>
    </chartFormat>
    <chartFormat chart="7" format="8" series="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fixed" xr10:uid="{66419B57-B261-6C4A-84B2-720E20CFAA0F}" sourceName="department fixed">
  <pivotTables>
    <pivotTable tabId="3" name="PivotTable1"/>
  </pivotTables>
  <data>
    <tabular pivotCacheId="1842428010">
      <items count="4">
        <i x="0"/>
        <i x="3"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fixed1" xr10:uid="{CDF6489D-DB8E-5A4B-ADA4-E2238AEF18AC}" sourceName="department fixed">
  <pivotTables>
    <pivotTable tabId="3" name="PivotTable2"/>
  </pivotTables>
  <data>
    <tabular pivotCacheId="1842428010">
      <items count="4">
        <i x="0"/>
        <i x="3" s="1"/>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fixed2" xr10:uid="{440E638F-3A4A-DB4D-93D4-8F6C338115C7}" sourceName="department fixed">
  <pivotTables>
    <pivotTable tabId="3" name="PivotTable3"/>
  </pivotTables>
  <data>
    <tabular pivotCacheId="1842428010">
      <items count="4">
        <i x="0"/>
        <i x="3"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fixed" xr10:uid="{CB8B5385-806B-5E46-A89B-C40A5E7DA5DC}" cache="Slicer_department_fixed" caption="department fixed" rowHeight="251883"/>
  <slicer name="department fixed 1" xr10:uid="{8D55FDF3-DEFF-3044-8BCC-863239C509A3}" cache="Slicer_department_fixed1" caption="department fixed" rowHeight="251883"/>
  <slicer name="department fixed 2" xr10:uid="{6C525898-137D-8749-892D-1D551C2DD3F2}" cache="Slicer_department_fixed2" caption="department fixed"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9E20-60A9-BA42-93FF-1B2232BF2E0D}">
  <dimension ref="A1:J1001"/>
  <sheetViews>
    <sheetView zoomScale="138" workbookViewId="0">
      <selection activeCell="F6" sqref="F6"/>
    </sheetView>
  </sheetViews>
  <sheetFormatPr baseColWidth="10" defaultRowHeight="16" x14ac:dyDescent="0.2"/>
  <sheetData>
    <row r="1" spans="1:10" x14ac:dyDescent="0.2">
      <c r="A1" t="s">
        <v>0</v>
      </c>
      <c r="B1" t="s">
        <v>1</v>
      </c>
      <c r="C1" t="s">
        <v>2</v>
      </c>
      <c r="D1" t="s">
        <v>3</v>
      </c>
      <c r="E1" t="s">
        <v>4</v>
      </c>
      <c r="F1" t="s">
        <v>5</v>
      </c>
      <c r="G1" t="s">
        <v>6</v>
      </c>
      <c r="H1" t="s">
        <v>7</v>
      </c>
      <c r="I1" t="s">
        <v>8</v>
      </c>
      <c r="J1" t="s">
        <v>9</v>
      </c>
    </row>
    <row r="2" spans="1:10" x14ac:dyDescent="0.2">
      <c r="A2">
        <v>1080</v>
      </c>
      <c r="B2" t="s">
        <v>10</v>
      </c>
      <c r="C2">
        <v>76</v>
      </c>
      <c r="D2" t="s">
        <v>11</v>
      </c>
      <c r="E2" s="1">
        <v>46079</v>
      </c>
      <c r="F2" s="1">
        <v>45629</v>
      </c>
      <c r="G2" t="s">
        <v>12</v>
      </c>
      <c r="H2" t="s">
        <v>13</v>
      </c>
      <c r="I2" t="s">
        <v>14</v>
      </c>
      <c r="J2">
        <v>1</v>
      </c>
    </row>
    <row r="3" spans="1:10" x14ac:dyDescent="0.2">
      <c r="A3">
        <v>1074</v>
      </c>
      <c r="B3" t="s">
        <v>15</v>
      </c>
      <c r="C3">
        <v>69</v>
      </c>
      <c r="D3" t="s">
        <v>16</v>
      </c>
      <c r="E3" s="1">
        <v>45800</v>
      </c>
      <c r="F3" s="2">
        <v>45455</v>
      </c>
      <c r="G3" t="s">
        <v>17</v>
      </c>
      <c r="H3" t="s">
        <v>18</v>
      </c>
      <c r="I3" t="s">
        <v>19</v>
      </c>
      <c r="J3" t="s">
        <v>20</v>
      </c>
    </row>
    <row r="4" spans="1:10" x14ac:dyDescent="0.2">
      <c r="A4">
        <v>1067</v>
      </c>
      <c r="B4" t="s">
        <v>21</v>
      </c>
      <c r="C4">
        <v>79</v>
      </c>
      <c r="D4" t="s">
        <v>22</v>
      </c>
      <c r="E4" s="2">
        <v>45991</v>
      </c>
      <c r="F4" s="2">
        <v>45509</v>
      </c>
      <c r="G4" t="s">
        <v>23</v>
      </c>
      <c r="H4" t="s">
        <v>24</v>
      </c>
      <c r="I4" t="s">
        <v>25</v>
      </c>
      <c r="J4" t="s">
        <v>20</v>
      </c>
    </row>
    <row r="5" spans="1:10" x14ac:dyDescent="0.2">
      <c r="A5">
        <v>1072</v>
      </c>
      <c r="B5" t="s">
        <v>26</v>
      </c>
      <c r="C5">
        <v>47</v>
      </c>
      <c r="D5" t="s">
        <v>16</v>
      </c>
      <c r="E5" s="2">
        <v>45795</v>
      </c>
      <c r="F5" s="1">
        <v>45544</v>
      </c>
      <c r="G5" t="s">
        <v>27</v>
      </c>
      <c r="H5" t="s">
        <v>28</v>
      </c>
      <c r="I5" t="s">
        <v>29</v>
      </c>
      <c r="J5" t="s">
        <v>30</v>
      </c>
    </row>
    <row r="6" spans="1:10" x14ac:dyDescent="0.2">
      <c r="A6">
        <v>1092</v>
      </c>
      <c r="B6" t="s">
        <v>31</v>
      </c>
      <c r="C6">
        <v>45</v>
      </c>
      <c r="E6" s="1">
        <v>46088</v>
      </c>
      <c r="F6" s="1">
        <v>45521</v>
      </c>
      <c r="G6" t="s">
        <v>32</v>
      </c>
      <c r="H6" t="s">
        <v>28</v>
      </c>
      <c r="I6" t="s">
        <v>33</v>
      </c>
      <c r="J6">
        <v>1</v>
      </c>
    </row>
    <row r="7" spans="1:10" x14ac:dyDescent="0.2">
      <c r="A7">
        <v>1057</v>
      </c>
      <c r="B7" t="s">
        <v>34</v>
      </c>
      <c r="C7">
        <v>78</v>
      </c>
      <c r="D7">
        <v>1</v>
      </c>
      <c r="E7" s="2">
        <v>45926</v>
      </c>
      <c r="F7" s="1">
        <v>45900</v>
      </c>
      <c r="G7" t="s">
        <v>35</v>
      </c>
      <c r="H7" t="s">
        <v>28</v>
      </c>
      <c r="J7" t="s">
        <v>36</v>
      </c>
    </row>
    <row r="8" spans="1:10" x14ac:dyDescent="0.2">
      <c r="A8">
        <v>1018</v>
      </c>
      <c r="B8" t="s">
        <v>37</v>
      </c>
      <c r="C8">
        <v>22</v>
      </c>
      <c r="D8" t="s">
        <v>38</v>
      </c>
      <c r="E8" s="2">
        <v>45960</v>
      </c>
      <c r="F8" s="1">
        <v>45655</v>
      </c>
      <c r="G8" t="s">
        <v>39</v>
      </c>
      <c r="H8" t="s">
        <v>13</v>
      </c>
      <c r="I8" t="s">
        <v>40</v>
      </c>
      <c r="J8" t="s">
        <v>30</v>
      </c>
    </row>
    <row r="9" spans="1:10" x14ac:dyDescent="0.2">
      <c r="A9">
        <v>1074</v>
      </c>
      <c r="B9" t="s">
        <v>41</v>
      </c>
      <c r="C9">
        <v>57</v>
      </c>
      <c r="D9" t="s">
        <v>22</v>
      </c>
      <c r="E9" s="1">
        <v>45770</v>
      </c>
      <c r="F9" s="2">
        <v>45744</v>
      </c>
      <c r="G9" t="s">
        <v>42</v>
      </c>
      <c r="H9" t="s">
        <v>24</v>
      </c>
      <c r="I9" t="s">
        <v>43</v>
      </c>
      <c r="J9" t="s">
        <v>30</v>
      </c>
    </row>
    <row r="10" spans="1:10" x14ac:dyDescent="0.2">
      <c r="A10">
        <v>1041</v>
      </c>
      <c r="B10" t="s">
        <v>44</v>
      </c>
      <c r="C10">
        <v>54</v>
      </c>
      <c r="D10" t="s">
        <v>11</v>
      </c>
      <c r="E10" s="2">
        <v>45891</v>
      </c>
      <c r="F10" s="1">
        <v>45603</v>
      </c>
      <c r="G10" t="s">
        <v>45</v>
      </c>
      <c r="H10" t="s">
        <v>28</v>
      </c>
      <c r="I10" t="s">
        <v>46</v>
      </c>
      <c r="J10" t="s">
        <v>36</v>
      </c>
    </row>
    <row r="11" spans="1:10" x14ac:dyDescent="0.2">
      <c r="A11">
        <v>1011</v>
      </c>
      <c r="B11" t="s">
        <v>47</v>
      </c>
      <c r="C11">
        <v>45</v>
      </c>
      <c r="D11" t="s">
        <v>22</v>
      </c>
      <c r="E11" s="1">
        <v>46097</v>
      </c>
      <c r="F11" s="2">
        <v>46003</v>
      </c>
      <c r="G11" t="s">
        <v>48</v>
      </c>
      <c r="H11" t="s">
        <v>24</v>
      </c>
      <c r="I11" t="s">
        <v>49</v>
      </c>
      <c r="J11" t="s">
        <v>36</v>
      </c>
    </row>
    <row r="12" spans="1:10" x14ac:dyDescent="0.2">
      <c r="A12">
        <v>1086</v>
      </c>
      <c r="B12" t="s">
        <v>50</v>
      </c>
      <c r="C12">
        <v>54</v>
      </c>
      <c r="D12" t="s">
        <v>51</v>
      </c>
      <c r="E12" s="1">
        <v>45771</v>
      </c>
      <c r="F12" s="2">
        <v>45572</v>
      </c>
      <c r="G12" t="s">
        <v>52</v>
      </c>
      <c r="H12" t="s">
        <v>13</v>
      </c>
      <c r="I12" t="s">
        <v>53</v>
      </c>
      <c r="J12" t="s">
        <v>20</v>
      </c>
    </row>
    <row r="13" spans="1:10" x14ac:dyDescent="0.2">
      <c r="A13">
        <v>1041</v>
      </c>
      <c r="B13" t="s">
        <v>54</v>
      </c>
      <c r="C13">
        <v>68</v>
      </c>
      <c r="D13" t="s">
        <v>16</v>
      </c>
      <c r="E13" s="1">
        <v>46088</v>
      </c>
      <c r="F13" s="1">
        <v>45406</v>
      </c>
      <c r="G13" t="s">
        <v>55</v>
      </c>
      <c r="H13" t="s">
        <v>28</v>
      </c>
      <c r="I13" t="s">
        <v>56</v>
      </c>
      <c r="J13" t="s">
        <v>36</v>
      </c>
    </row>
    <row r="14" spans="1:10" x14ac:dyDescent="0.2">
      <c r="A14">
        <v>1057</v>
      </c>
      <c r="B14" t="s">
        <v>57</v>
      </c>
      <c r="C14">
        <v>61</v>
      </c>
      <c r="D14">
        <v>1</v>
      </c>
      <c r="E14" s="1">
        <v>45869</v>
      </c>
      <c r="F14" s="2">
        <v>45417</v>
      </c>
      <c r="G14" t="s">
        <v>58</v>
      </c>
      <c r="H14" t="s">
        <v>24</v>
      </c>
      <c r="I14" t="s">
        <v>59</v>
      </c>
      <c r="J14" t="s">
        <v>60</v>
      </c>
    </row>
    <row r="15" spans="1:10" x14ac:dyDescent="0.2">
      <c r="A15">
        <v>1022</v>
      </c>
      <c r="B15" t="s">
        <v>61</v>
      </c>
      <c r="C15">
        <v>70</v>
      </c>
      <c r="D15" t="s">
        <v>22</v>
      </c>
      <c r="E15" s="2">
        <v>45921</v>
      </c>
      <c r="F15" s="2">
        <v>45602</v>
      </c>
      <c r="G15" t="s">
        <v>62</v>
      </c>
      <c r="H15" t="s">
        <v>18</v>
      </c>
      <c r="I15" t="s">
        <v>63</v>
      </c>
      <c r="J15" t="s">
        <v>20</v>
      </c>
    </row>
    <row r="16" spans="1:10" x14ac:dyDescent="0.2">
      <c r="A16">
        <v>1046</v>
      </c>
      <c r="B16" t="s">
        <v>64</v>
      </c>
      <c r="C16">
        <v>36</v>
      </c>
      <c r="D16" t="s">
        <v>16</v>
      </c>
      <c r="E16" s="1">
        <v>46093</v>
      </c>
      <c r="F16" s="1">
        <v>45969</v>
      </c>
      <c r="G16" t="s">
        <v>65</v>
      </c>
      <c r="H16" t="s">
        <v>13</v>
      </c>
      <c r="I16" t="s">
        <v>66</v>
      </c>
      <c r="J16" t="s">
        <v>60</v>
      </c>
    </row>
    <row r="17" spans="1:10" x14ac:dyDescent="0.2">
      <c r="A17">
        <v>1025</v>
      </c>
      <c r="B17" t="s">
        <v>67</v>
      </c>
      <c r="C17">
        <v>23</v>
      </c>
      <c r="D17" t="s">
        <v>11</v>
      </c>
      <c r="E17" s="2">
        <v>46059</v>
      </c>
      <c r="F17" s="1">
        <v>45725</v>
      </c>
      <c r="G17" t="s">
        <v>68</v>
      </c>
      <c r="H17" t="s">
        <v>18</v>
      </c>
      <c r="I17" t="s">
        <v>69</v>
      </c>
      <c r="J17" t="s">
        <v>20</v>
      </c>
    </row>
    <row r="18" spans="1:10" x14ac:dyDescent="0.2">
      <c r="A18">
        <v>1027</v>
      </c>
      <c r="B18" t="s">
        <v>70</v>
      </c>
      <c r="C18">
        <v>72</v>
      </c>
      <c r="D18" t="s">
        <v>71</v>
      </c>
      <c r="E18" s="2">
        <v>45896</v>
      </c>
      <c r="F18" s="2">
        <v>45701</v>
      </c>
      <c r="G18" t="s">
        <v>72</v>
      </c>
      <c r="H18" t="s">
        <v>13</v>
      </c>
      <c r="I18" t="s">
        <v>73</v>
      </c>
      <c r="J18" t="s">
        <v>36</v>
      </c>
    </row>
    <row r="19" spans="1:10" x14ac:dyDescent="0.2">
      <c r="A19">
        <v>1059</v>
      </c>
      <c r="B19" t="s">
        <v>74</v>
      </c>
      <c r="C19">
        <v>66</v>
      </c>
      <c r="D19" t="s">
        <v>38</v>
      </c>
      <c r="E19" s="2">
        <v>45972</v>
      </c>
      <c r="F19" s="2">
        <v>45627</v>
      </c>
      <c r="G19" t="s">
        <v>75</v>
      </c>
      <c r="H19" t="s">
        <v>13</v>
      </c>
      <c r="I19" t="s">
        <v>76</v>
      </c>
      <c r="J19" t="s">
        <v>20</v>
      </c>
    </row>
    <row r="20" spans="1:10" x14ac:dyDescent="0.2">
      <c r="A20">
        <v>1086</v>
      </c>
      <c r="B20" t="s">
        <v>77</v>
      </c>
      <c r="C20">
        <v>81</v>
      </c>
      <c r="D20" t="s">
        <v>22</v>
      </c>
      <c r="E20" s="1">
        <v>45757</v>
      </c>
      <c r="F20" s="1">
        <v>45642</v>
      </c>
      <c r="G20" t="s">
        <v>78</v>
      </c>
      <c r="H20" t="s">
        <v>28</v>
      </c>
      <c r="I20" t="s">
        <v>79</v>
      </c>
      <c r="J20">
        <v>1</v>
      </c>
    </row>
    <row r="21" spans="1:10" x14ac:dyDescent="0.2">
      <c r="A21">
        <v>1033</v>
      </c>
      <c r="B21" t="s">
        <v>80</v>
      </c>
      <c r="C21">
        <v>76</v>
      </c>
      <c r="D21" t="s">
        <v>38</v>
      </c>
      <c r="E21" s="1">
        <v>45966</v>
      </c>
      <c r="F21" s="1">
        <v>45800</v>
      </c>
      <c r="G21" t="s">
        <v>81</v>
      </c>
      <c r="H21" t="s">
        <v>24</v>
      </c>
      <c r="I21" t="s">
        <v>82</v>
      </c>
      <c r="J21" t="s">
        <v>36</v>
      </c>
    </row>
    <row r="22" spans="1:10" x14ac:dyDescent="0.2">
      <c r="A22">
        <v>1069</v>
      </c>
      <c r="B22" t="s">
        <v>83</v>
      </c>
      <c r="C22">
        <v>90</v>
      </c>
      <c r="D22" t="s">
        <v>51</v>
      </c>
      <c r="E22" s="2">
        <v>45944</v>
      </c>
      <c r="F22" s="2">
        <v>45440</v>
      </c>
      <c r="G22" t="s">
        <v>84</v>
      </c>
      <c r="H22" t="s">
        <v>24</v>
      </c>
      <c r="I22" t="s">
        <v>85</v>
      </c>
      <c r="J22" t="s">
        <v>60</v>
      </c>
    </row>
    <row r="23" spans="1:10" x14ac:dyDescent="0.2">
      <c r="A23">
        <v>1097</v>
      </c>
      <c r="B23" t="s">
        <v>86</v>
      </c>
      <c r="C23">
        <v>56</v>
      </c>
      <c r="D23" t="s">
        <v>51</v>
      </c>
      <c r="E23" s="2">
        <v>45792</v>
      </c>
      <c r="F23" s="2">
        <v>45417</v>
      </c>
      <c r="G23" t="s">
        <v>87</v>
      </c>
      <c r="H23" t="s">
        <v>18</v>
      </c>
      <c r="I23" t="s">
        <v>88</v>
      </c>
      <c r="J23" t="s">
        <v>20</v>
      </c>
    </row>
    <row r="24" spans="1:10" x14ac:dyDescent="0.2">
      <c r="A24">
        <v>1064</v>
      </c>
      <c r="B24" t="s">
        <v>89</v>
      </c>
      <c r="C24">
        <v>88</v>
      </c>
      <c r="D24" t="s">
        <v>11</v>
      </c>
      <c r="E24" s="1">
        <v>46052</v>
      </c>
      <c r="F24" s="1">
        <v>45516</v>
      </c>
      <c r="G24" t="s">
        <v>90</v>
      </c>
      <c r="H24" t="s">
        <v>28</v>
      </c>
      <c r="I24" t="s">
        <v>91</v>
      </c>
      <c r="J24" t="s">
        <v>30</v>
      </c>
    </row>
    <row r="25" spans="1:10" x14ac:dyDescent="0.2">
      <c r="A25">
        <v>1089</v>
      </c>
      <c r="B25" t="s">
        <v>92</v>
      </c>
      <c r="C25">
        <v>32</v>
      </c>
      <c r="D25" t="s">
        <v>16</v>
      </c>
      <c r="E25" s="1">
        <v>45788</v>
      </c>
      <c r="F25" s="1">
        <v>45479</v>
      </c>
      <c r="G25" t="s">
        <v>93</v>
      </c>
      <c r="H25" t="s">
        <v>24</v>
      </c>
      <c r="I25" t="s">
        <v>94</v>
      </c>
      <c r="J25" t="s">
        <v>60</v>
      </c>
    </row>
    <row r="26" spans="1:10" x14ac:dyDescent="0.2">
      <c r="A26">
        <v>1086</v>
      </c>
      <c r="B26" t="s">
        <v>95</v>
      </c>
      <c r="C26">
        <v>34</v>
      </c>
      <c r="D26" t="s">
        <v>16</v>
      </c>
      <c r="E26" s="1">
        <v>45869</v>
      </c>
      <c r="F26" s="1">
        <v>45391</v>
      </c>
      <c r="G26" t="s">
        <v>96</v>
      </c>
      <c r="H26" t="s">
        <v>13</v>
      </c>
      <c r="I26" t="s">
        <v>97</v>
      </c>
      <c r="J26" t="s">
        <v>20</v>
      </c>
    </row>
    <row r="27" spans="1:10" x14ac:dyDescent="0.2">
      <c r="A27">
        <v>1073</v>
      </c>
      <c r="B27" t="s">
        <v>98</v>
      </c>
      <c r="C27">
        <v>88</v>
      </c>
      <c r="D27">
        <v>0</v>
      </c>
      <c r="E27" s="2">
        <v>45835</v>
      </c>
      <c r="F27" s="1">
        <v>45783</v>
      </c>
      <c r="G27" t="s">
        <v>99</v>
      </c>
      <c r="H27" t="s">
        <v>28</v>
      </c>
      <c r="I27" t="s">
        <v>100</v>
      </c>
      <c r="J27" t="s">
        <v>20</v>
      </c>
    </row>
    <row r="28" spans="1:10" x14ac:dyDescent="0.2">
      <c r="A28">
        <v>1093</v>
      </c>
      <c r="B28" t="s">
        <v>101</v>
      </c>
      <c r="C28">
        <v>20</v>
      </c>
      <c r="D28" t="s">
        <v>51</v>
      </c>
      <c r="E28" s="1">
        <v>46104</v>
      </c>
      <c r="F28" s="2">
        <v>45821</v>
      </c>
      <c r="G28" t="s">
        <v>102</v>
      </c>
      <c r="H28" t="s">
        <v>13</v>
      </c>
      <c r="I28" t="s">
        <v>103</v>
      </c>
      <c r="J28">
        <v>1</v>
      </c>
    </row>
    <row r="29" spans="1:10" x14ac:dyDescent="0.2">
      <c r="A29">
        <v>1084</v>
      </c>
      <c r="B29" t="s">
        <v>104</v>
      </c>
      <c r="C29">
        <v>86</v>
      </c>
      <c r="D29" t="s">
        <v>51</v>
      </c>
      <c r="E29" s="1">
        <v>46089</v>
      </c>
      <c r="F29" s="2">
        <v>45482</v>
      </c>
      <c r="G29" t="s">
        <v>105</v>
      </c>
      <c r="H29" t="s">
        <v>24</v>
      </c>
      <c r="I29" t="s">
        <v>106</v>
      </c>
      <c r="J29" t="s">
        <v>36</v>
      </c>
    </row>
    <row r="30" spans="1:10" x14ac:dyDescent="0.2">
      <c r="A30">
        <v>1002</v>
      </c>
      <c r="B30" t="s">
        <v>107</v>
      </c>
      <c r="C30">
        <v>42</v>
      </c>
      <c r="D30" t="s">
        <v>22</v>
      </c>
      <c r="E30" s="2">
        <v>45944</v>
      </c>
      <c r="F30" s="1">
        <v>45600</v>
      </c>
      <c r="G30" t="s">
        <v>108</v>
      </c>
      <c r="H30" t="s">
        <v>24</v>
      </c>
      <c r="I30" t="s">
        <v>109</v>
      </c>
      <c r="J30">
        <v>0</v>
      </c>
    </row>
    <row r="31" spans="1:10" x14ac:dyDescent="0.2">
      <c r="A31">
        <v>1030</v>
      </c>
      <c r="B31" t="s">
        <v>110</v>
      </c>
      <c r="C31">
        <v>18</v>
      </c>
      <c r="D31" t="s">
        <v>51</v>
      </c>
      <c r="E31" s="1">
        <v>45911</v>
      </c>
      <c r="F31" s="2">
        <v>45570</v>
      </c>
      <c r="G31" t="s">
        <v>111</v>
      </c>
      <c r="H31" t="s">
        <v>18</v>
      </c>
      <c r="I31" t="s">
        <v>112</v>
      </c>
      <c r="J31" t="s">
        <v>60</v>
      </c>
    </row>
    <row r="32" spans="1:10" x14ac:dyDescent="0.2">
      <c r="A32">
        <v>1043</v>
      </c>
      <c r="B32" t="s">
        <v>113</v>
      </c>
      <c r="C32">
        <v>82</v>
      </c>
      <c r="D32" t="s">
        <v>38</v>
      </c>
      <c r="E32" s="1">
        <v>46006</v>
      </c>
      <c r="F32" s="2">
        <v>45859</v>
      </c>
      <c r="G32" t="s">
        <v>114</v>
      </c>
      <c r="H32" t="s">
        <v>28</v>
      </c>
      <c r="I32" t="s">
        <v>115</v>
      </c>
      <c r="J32" t="s">
        <v>30</v>
      </c>
    </row>
    <row r="33" spans="1:10" x14ac:dyDescent="0.2">
      <c r="A33">
        <v>1056</v>
      </c>
      <c r="B33" t="s">
        <v>116</v>
      </c>
      <c r="C33">
        <v>67</v>
      </c>
      <c r="D33" t="s">
        <v>11</v>
      </c>
      <c r="E33" s="2">
        <v>45913</v>
      </c>
      <c r="F33" s="1">
        <v>45664</v>
      </c>
      <c r="G33" t="s">
        <v>117</v>
      </c>
      <c r="H33" t="s">
        <v>18</v>
      </c>
      <c r="I33" t="s">
        <v>118</v>
      </c>
      <c r="J33" t="s">
        <v>36</v>
      </c>
    </row>
    <row r="34" spans="1:10" x14ac:dyDescent="0.2">
      <c r="A34">
        <v>1094</v>
      </c>
      <c r="B34" t="s">
        <v>119</v>
      </c>
      <c r="C34">
        <v>32</v>
      </c>
      <c r="D34" t="s">
        <v>51</v>
      </c>
      <c r="E34" s="2">
        <v>46090</v>
      </c>
      <c r="F34" s="1">
        <v>45610</v>
      </c>
      <c r="G34" t="s">
        <v>120</v>
      </c>
      <c r="H34" t="s">
        <v>28</v>
      </c>
      <c r="I34" t="s">
        <v>121</v>
      </c>
      <c r="J34">
        <v>0</v>
      </c>
    </row>
    <row r="35" spans="1:10" x14ac:dyDescent="0.2">
      <c r="A35">
        <v>1041</v>
      </c>
      <c r="B35" t="s">
        <v>122</v>
      </c>
      <c r="C35">
        <v>20</v>
      </c>
      <c r="D35" t="s">
        <v>51</v>
      </c>
      <c r="E35" s="1">
        <v>45784</v>
      </c>
      <c r="F35" s="1">
        <v>45676</v>
      </c>
      <c r="G35" t="s">
        <v>123</v>
      </c>
      <c r="H35" t="s">
        <v>24</v>
      </c>
      <c r="J35" t="s">
        <v>20</v>
      </c>
    </row>
    <row r="36" spans="1:10" x14ac:dyDescent="0.2">
      <c r="A36">
        <v>1071</v>
      </c>
      <c r="B36" t="s">
        <v>124</v>
      </c>
      <c r="C36">
        <v>46</v>
      </c>
      <c r="D36">
        <v>0</v>
      </c>
      <c r="E36" s="2">
        <v>46032</v>
      </c>
      <c r="F36" s="2">
        <v>45597</v>
      </c>
      <c r="G36" t="s">
        <v>125</v>
      </c>
      <c r="H36" t="s">
        <v>28</v>
      </c>
      <c r="I36" t="s">
        <v>126</v>
      </c>
      <c r="J36" t="s">
        <v>30</v>
      </c>
    </row>
    <row r="37" spans="1:10" x14ac:dyDescent="0.2">
      <c r="A37">
        <v>1051</v>
      </c>
      <c r="B37" t="s">
        <v>127</v>
      </c>
      <c r="C37">
        <v>26</v>
      </c>
      <c r="D37" t="s">
        <v>71</v>
      </c>
      <c r="E37" s="1">
        <v>45815</v>
      </c>
      <c r="F37" s="2">
        <v>45635</v>
      </c>
      <c r="G37" t="s">
        <v>128</v>
      </c>
      <c r="H37" t="s">
        <v>18</v>
      </c>
      <c r="I37" t="s">
        <v>129</v>
      </c>
      <c r="J37" t="s">
        <v>36</v>
      </c>
    </row>
    <row r="38" spans="1:10" x14ac:dyDescent="0.2">
      <c r="A38">
        <v>1003</v>
      </c>
      <c r="B38" t="s">
        <v>130</v>
      </c>
      <c r="C38">
        <v>19</v>
      </c>
      <c r="E38" s="2">
        <v>45946</v>
      </c>
      <c r="F38" s="1">
        <v>45921</v>
      </c>
      <c r="G38" t="s">
        <v>131</v>
      </c>
      <c r="H38" t="s">
        <v>24</v>
      </c>
      <c r="I38" t="s">
        <v>132</v>
      </c>
      <c r="J38">
        <v>0</v>
      </c>
    </row>
    <row r="39" spans="1:10" x14ac:dyDescent="0.2">
      <c r="A39">
        <v>1053</v>
      </c>
      <c r="B39" t="s">
        <v>133</v>
      </c>
      <c r="C39">
        <v>37</v>
      </c>
      <c r="D39">
        <v>1</v>
      </c>
      <c r="E39" s="2">
        <v>45915</v>
      </c>
      <c r="F39" s="1">
        <v>45421</v>
      </c>
      <c r="G39" t="s">
        <v>134</v>
      </c>
      <c r="H39" t="s">
        <v>18</v>
      </c>
      <c r="I39" t="s">
        <v>135</v>
      </c>
      <c r="J39">
        <v>0</v>
      </c>
    </row>
    <row r="40" spans="1:10" x14ac:dyDescent="0.2">
      <c r="A40">
        <v>1052</v>
      </c>
      <c r="B40" t="s">
        <v>136</v>
      </c>
      <c r="C40">
        <v>84</v>
      </c>
      <c r="D40">
        <v>0</v>
      </c>
      <c r="E40" s="2">
        <v>45908</v>
      </c>
      <c r="F40" s="1">
        <v>45793</v>
      </c>
      <c r="G40" t="s">
        <v>137</v>
      </c>
      <c r="H40" t="s">
        <v>18</v>
      </c>
      <c r="I40" t="s">
        <v>138</v>
      </c>
      <c r="J40">
        <v>0</v>
      </c>
    </row>
    <row r="41" spans="1:10" x14ac:dyDescent="0.2">
      <c r="A41">
        <v>1018</v>
      </c>
      <c r="B41" t="s">
        <v>139</v>
      </c>
      <c r="C41">
        <v>55</v>
      </c>
      <c r="D41" t="s">
        <v>16</v>
      </c>
      <c r="E41" s="1">
        <v>46082</v>
      </c>
      <c r="F41" s="1">
        <v>45446</v>
      </c>
      <c r="G41" t="s">
        <v>140</v>
      </c>
      <c r="H41" t="s">
        <v>24</v>
      </c>
      <c r="I41" t="s">
        <v>141</v>
      </c>
      <c r="J41">
        <v>0</v>
      </c>
    </row>
    <row r="42" spans="1:10" x14ac:dyDescent="0.2">
      <c r="A42">
        <v>1001</v>
      </c>
      <c r="B42" t="s">
        <v>142</v>
      </c>
      <c r="C42">
        <v>50</v>
      </c>
      <c r="D42" t="s">
        <v>71</v>
      </c>
      <c r="E42" s="2">
        <v>45886</v>
      </c>
      <c r="F42" s="2">
        <v>45558</v>
      </c>
      <c r="G42" t="s">
        <v>143</v>
      </c>
      <c r="H42" t="s">
        <v>18</v>
      </c>
      <c r="I42" t="s">
        <v>144</v>
      </c>
      <c r="J42" t="s">
        <v>36</v>
      </c>
    </row>
    <row r="43" spans="1:10" x14ac:dyDescent="0.2">
      <c r="A43">
        <v>1060</v>
      </c>
      <c r="B43" t="s">
        <v>145</v>
      </c>
      <c r="C43">
        <v>61</v>
      </c>
      <c r="D43">
        <v>1</v>
      </c>
      <c r="E43" s="2">
        <v>45980</v>
      </c>
      <c r="F43" s="2">
        <v>45410</v>
      </c>
      <c r="G43" t="s">
        <v>146</v>
      </c>
      <c r="H43" t="s">
        <v>28</v>
      </c>
      <c r="I43" t="s">
        <v>147</v>
      </c>
      <c r="J43" t="s">
        <v>20</v>
      </c>
    </row>
    <row r="44" spans="1:10" x14ac:dyDescent="0.2">
      <c r="A44">
        <v>1055</v>
      </c>
      <c r="B44" t="s">
        <v>148</v>
      </c>
      <c r="C44">
        <v>35</v>
      </c>
      <c r="D44" t="s">
        <v>71</v>
      </c>
      <c r="E44" s="2">
        <v>45801</v>
      </c>
      <c r="F44" s="1">
        <v>45491</v>
      </c>
      <c r="G44" t="s">
        <v>149</v>
      </c>
      <c r="H44" t="s">
        <v>18</v>
      </c>
      <c r="I44" t="s">
        <v>150</v>
      </c>
      <c r="J44">
        <v>1</v>
      </c>
    </row>
    <row r="45" spans="1:10" x14ac:dyDescent="0.2">
      <c r="A45">
        <v>1063</v>
      </c>
      <c r="B45" t="s">
        <v>151</v>
      </c>
      <c r="C45">
        <v>29</v>
      </c>
      <c r="E45" s="1">
        <v>45916</v>
      </c>
      <c r="F45" s="2">
        <v>45776</v>
      </c>
      <c r="G45" t="s">
        <v>152</v>
      </c>
      <c r="H45" t="s">
        <v>18</v>
      </c>
      <c r="I45" t="s">
        <v>153</v>
      </c>
      <c r="J45">
        <v>0</v>
      </c>
    </row>
    <row r="46" spans="1:10" x14ac:dyDescent="0.2">
      <c r="A46">
        <v>1069</v>
      </c>
      <c r="B46" t="s">
        <v>154</v>
      </c>
      <c r="C46">
        <v>72</v>
      </c>
      <c r="D46">
        <v>0</v>
      </c>
      <c r="E46" s="2">
        <v>45880</v>
      </c>
      <c r="F46" s="2">
        <v>45383</v>
      </c>
      <c r="G46" t="s">
        <v>155</v>
      </c>
      <c r="H46" t="s">
        <v>24</v>
      </c>
      <c r="I46" t="s">
        <v>156</v>
      </c>
      <c r="J46" t="s">
        <v>20</v>
      </c>
    </row>
    <row r="47" spans="1:10" x14ac:dyDescent="0.2">
      <c r="A47">
        <v>1095</v>
      </c>
      <c r="B47" t="s">
        <v>157</v>
      </c>
      <c r="C47">
        <v>29</v>
      </c>
      <c r="D47">
        <v>0</v>
      </c>
      <c r="E47" s="2">
        <v>45891</v>
      </c>
      <c r="F47" s="2">
        <v>45772</v>
      </c>
      <c r="G47" t="s">
        <v>158</v>
      </c>
      <c r="H47" t="s">
        <v>24</v>
      </c>
      <c r="I47" t="s">
        <v>159</v>
      </c>
      <c r="J47" t="s">
        <v>36</v>
      </c>
    </row>
    <row r="48" spans="1:10" x14ac:dyDescent="0.2">
      <c r="A48">
        <v>1005</v>
      </c>
      <c r="B48" t="s">
        <v>160</v>
      </c>
      <c r="C48">
        <v>49</v>
      </c>
      <c r="D48">
        <v>1</v>
      </c>
      <c r="E48" s="1">
        <v>45820</v>
      </c>
      <c r="F48" s="1">
        <v>45515</v>
      </c>
      <c r="G48" t="s">
        <v>161</v>
      </c>
      <c r="H48" t="s">
        <v>13</v>
      </c>
      <c r="I48" t="s">
        <v>162</v>
      </c>
      <c r="J48" t="s">
        <v>60</v>
      </c>
    </row>
    <row r="49" spans="1:10" x14ac:dyDescent="0.2">
      <c r="A49">
        <v>1001</v>
      </c>
      <c r="B49" t="s">
        <v>163</v>
      </c>
      <c r="C49">
        <v>64</v>
      </c>
      <c r="D49" t="s">
        <v>11</v>
      </c>
      <c r="E49" s="2">
        <v>45867</v>
      </c>
      <c r="F49" s="1">
        <v>45451</v>
      </c>
      <c r="G49" t="s">
        <v>164</v>
      </c>
      <c r="H49" t="s">
        <v>18</v>
      </c>
      <c r="I49" t="s">
        <v>165</v>
      </c>
      <c r="J49" t="s">
        <v>60</v>
      </c>
    </row>
    <row r="50" spans="1:10" x14ac:dyDescent="0.2">
      <c r="A50">
        <v>1024</v>
      </c>
      <c r="B50" t="s">
        <v>166</v>
      </c>
      <c r="C50">
        <v>34</v>
      </c>
      <c r="D50" t="s">
        <v>38</v>
      </c>
      <c r="E50" s="2">
        <v>45931</v>
      </c>
      <c r="F50" s="1">
        <v>45578</v>
      </c>
      <c r="G50" t="s">
        <v>167</v>
      </c>
      <c r="H50" t="s">
        <v>18</v>
      </c>
      <c r="I50" t="s">
        <v>168</v>
      </c>
      <c r="J50" t="s">
        <v>30</v>
      </c>
    </row>
    <row r="51" spans="1:10" x14ac:dyDescent="0.2">
      <c r="A51">
        <v>1016</v>
      </c>
      <c r="B51" t="s">
        <v>169</v>
      </c>
      <c r="C51">
        <v>35</v>
      </c>
      <c r="D51">
        <v>0</v>
      </c>
      <c r="E51" s="2">
        <v>46021</v>
      </c>
      <c r="F51" s="1">
        <v>45747</v>
      </c>
      <c r="G51" t="s">
        <v>170</v>
      </c>
      <c r="H51" t="s">
        <v>18</v>
      </c>
      <c r="I51" t="s">
        <v>171</v>
      </c>
      <c r="J51">
        <v>1</v>
      </c>
    </row>
    <row r="52" spans="1:10" x14ac:dyDescent="0.2">
      <c r="A52">
        <v>1040</v>
      </c>
      <c r="B52" t="s">
        <v>172</v>
      </c>
      <c r="C52">
        <v>26</v>
      </c>
      <c r="D52" t="s">
        <v>51</v>
      </c>
      <c r="E52" s="1">
        <v>45883</v>
      </c>
      <c r="F52" s="1">
        <v>45446</v>
      </c>
      <c r="G52" t="s">
        <v>173</v>
      </c>
      <c r="H52" t="s">
        <v>13</v>
      </c>
      <c r="I52" t="s">
        <v>174</v>
      </c>
      <c r="J52" t="s">
        <v>36</v>
      </c>
    </row>
    <row r="53" spans="1:10" x14ac:dyDescent="0.2">
      <c r="A53">
        <v>1042</v>
      </c>
      <c r="B53" t="s">
        <v>175</v>
      </c>
      <c r="C53">
        <v>30</v>
      </c>
      <c r="D53">
        <v>1</v>
      </c>
      <c r="E53" s="2">
        <v>45996</v>
      </c>
      <c r="F53" s="2">
        <v>45538</v>
      </c>
      <c r="G53" t="s">
        <v>176</v>
      </c>
      <c r="H53" t="s">
        <v>24</v>
      </c>
      <c r="I53" t="s">
        <v>177</v>
      </c>
      <c r="J53" t="s">
        <v>20</v>
      </c>
    </row>
    <row r="54" spans="1:10" x14ac:dyDescent="0.2">
      <c r="A54">
        <v>1015</v>
      </c>
      <c r="B54" t="s">
        <v>178</v>
      </c>
      <c r="C54">
        <v>66</v>
      </c>
      <c r="D54" t="s">
        <v>71</v>
      </c>
      <c r="E54" s="2">
        <v>46050</v>
      </c>
      <c r="F54" s="2">
        <v>45783</v>
      </c>
      <c r="G54" t="s">
        <v>179</v>
      </c>
      <c r="H54" t="s">
        <v>24</v>
      </c>
      <c r="I54" t="s">
        <v>180</v>
      </c>
      <c r="J54">
        <v>0</v>
      </c>
    </row>
    <row r="55" spans="1:10" x14ac:dyDescent="0.2">
      <c r="A55">
        <v>1053</v>
      </c>
      <c r="B55" t="s">
        <v>181</v>
      </c>
      <c r="C55">
        <v>49</v>
      </c>
      <c r="D55" t="s">
        <v>51</v>
      </c>
      <c r="E55" s="2">
        <v>45875</v>
      </c>
      <c r="F55" s="2">
        <v>45739</v>
      </c>
      <c r="G55" t="s">
        <v>182</v>
      </c>
      <c r="H55" t="s">
        <v>24</v>
      </c>
      <c r="I55" t="s">
        <v>183</v>
      </c>
      <c r="J55">
        <v>1</v>
      </c>
    </row>
    <row r="56" spans="1:10" x14ac:dyDescent="0.2">
      <c r="A56">
        <v>1063</v>
      </c>
      <c r="B56" t="s">
        <v>184</v>
      </c>
      <c r="C56">
        <v>62</v>
      </c>
      <c r="D56" t="s">
        <v>38</v>
      </c>
      <c r="E56" s="2">
        <v>46032</v>
      </c>
      <c r="F56" s="2">
        <v>45637</v>
      </c>
      <c r="G56" t="s">
        <v>185</v>
      </c>
      <c r="H56" t="s">
        <v>24</v>
      </c>
      <c r="I56" t="s">
        <v>186</v>
      </c>
      <c r="J56">
        <v>0</v>
      </c>
    </row>
    <row r="57" spans="1:10" x14ac:dyDescent="0.2">
      <c r="A57">
        <v>1068</v>
      </c>
      <c r="B57" t="s">
        <v>187</v>
      </c>
      <c r="C57">
        <v>63</v>
      </c>
      <c r="D57" t="s">
        <v>16</v>
      </c>
      <c r="E57" s="1">
        <v>45970</v>
      </c>
      <c r="F57" s="2">
        <v>45910</v>
      </c>
      <c r="G57" t="s">
        <v>188</v>
      </c>
      <c r="H57" t="s">
        <v>18</v>
      </c>
      <c r="I57" t="s">
        <v>189</v>
      </c>
      <c r="J57" t="s">
        <v>36</v>
      </c>
    </row>
    <row r="58" spans="1:10" x14ac:dyDescent="0.2">
      <c r="A58">
        <v>1006</v>
      </c>
      <c r="B58" t="s">
        <v>190</v>
      </c>
      <c r="C58">
        <v>48</v>
      </c>
      <c r="D58">
        <v>0</v>
      </c>
      <c r="E58" s="1">
        <v>45847</v>
      </c>
      <c r="F58" s="1">
        <v>45750</v>
      </c>
      <c r="G58" t="s">
        <v>191</v>
      </c>
      <c r="H58" t="s">
        <v>24</v>
      </c>
      <c r="I58" t="s">
        <v>192</v>
      </c>
      <c r="J58">
        <v>1</v>
      </c>
    </row>
    <row r="59" spans="1:10" x14ac:dyDescent="0.2">
      <c r="A59">
        <v>1047</v>
      </c>
      <c r="B59" t="s">
        <v>193</v>
      </c>
      <c r="C59">
        <v>87</v>
      </c>
      <c r="D59" t="s">
        <v>51</v>
      </c>
      <c r="E59" s="2">
        <v>45874</v>
      </c>
      <c r="F59" s="1">
        <v>45691</v>
      </c>
      <c r="G59" t="s">
        <v>194</v>
      </c>
      <c r="H59" t="s">
        <v>18</v>
      </c>
      <c r="I59" t="s">
        <v>195</v>
      </c>
      <c r="J59">
        <v>1</v>
      </c>
    </row>
    <row r="60" spans="1:10" x14ac:dyDescent="0.2">
      <c r="A60">
        <v>1095</v>
      </c>
      <c r="B60" t="s">
        <v>196</v>
      </c>
      <c r="C60">
        <v>58</v>
      </c>
      <c r="D60" t="s">
        <v>11</v>
      </c>
      <c r="E60" s="1">
        <v>45812</v>
      </c>
      <c r="F60" s="2">
        <v>45683</v>
      </c>
      <c r="G60" t="s">
        <v>197</v>
      </c>
      <c r="H60" t="s">
        <v>24</v>
      </c>
      <c r="I60" t="s">
        <v>198</v>
      </c>
      <c r="J60">
        <v>0</v>
      </c>
    </row>
    <row r="61" spans="1:10" x14ac:dyDescent="0.2">
      <c r="A61">
        <v>1009</v>
      </c>
      <c r="B61" t="s">
        <v>199</v>
      </c>
      <c r="C61">
        <v>63</v>
      </c>
      <c r="D61" t="s">
        <v>71</v>
      </c>
      <c r="E61" s="2">
        <v>45877</v>
      </c>
      <c r="F61" s="1">
        <v>45801</v>
      </c>
      <c r="G61" t="s">
        <v>200</v>
      </c>
      <c r="H61" t="s">
        <v>28</v>
      </c>
      <c r="I61" t="s">
        <v>201</v>
      </c>
      <c r="J61" t="s">
        <v>36</v>
      </c>
    </row>
    <row r="62" spans="1:10" x14ac:dyDescent="0.2">
      <c r="A62">
        <v>1078</v>
      </c>
      <c r="B62" t="s">
        <v>202</v>
      </c>
      <c r="C62">
        <v>54</v>
      </c>
      <c r="D62">
        <v>0</v>
      </c>
      <c r="E62" s="2">
        <v>46000</v>
      </c>
      <c r="F62" s="2">
        <v>45850</v>
      </c>
      <c r="G62" t="s">
        <v>203</v>
      </c>
      <c r="H62" t="s">
        <v>28</v>
      </c>
      <c r="I62" t="s">
        <v>204</v>
      </c>
      <c r="J62" t="s">
        <v>30</v>
      </c>
    </row>
    <row r="63" spans="1:10" x14ac:dyDescent="0.2">
      <c r="A63">
        <v>1019</v>
      </c>
      <c r="B63" t="s">
        <v>205</v>
      </c>
      <c r="C63">
        <v>35</v>
      </c>
      <c r="D63" t="s">
        <v>16</v>
      </c>
      <c r="E63" s="2">
        <v>45985</v>
      </c>
      <c r="F63" s="1">
        <v>45601</v>
      </c>
      <c r="G63" t="s">
        <v>206</v>
      </c>
      <c r="H63" t="s">
        <v>18</v>
      </c>
      <c r="I63" t="s">
        <v>207</v>
      </c>
      <c r="J63" t="s">
        <v>36</v>
      </c>
    </row>
    <row r="64" spans="1:10" x14ac:dyDescent="0.2">
      <c r="A64">
        <v>1021</v>
      </c>
      <c r="B64" t="s">
        <v>208</v>
      </c>
      <c r="C64">
        <v>39</v>
      </c>
      <c r="D64" t="s">
        <v>22</v>
      </c>
      <c r="E64" s="1">
        <v>45836</v>
      </c>
      <c r="F64" s="1">
        <v>45378</v>
      </c>
      <c r="G64" t="s">
        <v>209</v>
      </c>
      <c r="H64" t="s">
        <v>28</v>
      </c>
      <c r="I64" t="s">
        <v>210</v>
      </c>
      <c r="J64">
        <v>1</v>
      </c>
    </row>
    <row r="65" spans="1:10" x14ac:dyDescent="0.2">
      <c r="A65">
        <v>1018</v>
      </c>
      <c r="B65" t="s">
        <v>211</v>
      </c>
      <c r="C65">
        <v>78</v>
      </c>
      <c r="D65">
        <v>1</v>
      </c>
      <c r="E65" s="1">
        <v>45869</v>
      </c>
      <c r="F65" s="1">
        <v>45832</v>
      </c>
      <c r="G65" t="s">
        <v>212</v>
      </c>
      <c r="H65" t="s">
        <v>28</v>
      </c>
      <c r="I65" t="s">
        <v>213</v>
      </c>
      <c r="J65">
        <v>1</v>
      </c>
    </row>
    <row r="66" spans="1:10" x14ac:dyDescent="0.2">
      <c r="A66">
        <v>1077</v>
      </c>
      <c r="B66" t="s">
        <v>214</v>
      </c>
      <c r="C66">
        <v>34</v>
      </c>
      <c r="E66" s="1">
        <v>45837</v>
      </c>
      <c r="F66" s="2">
        <v>45630</v>
      </c>
      <c r="G66" t="s">
        <v>215</v>
      </c>
      <c r="H66" t="s">
        <v>24</v>
      </c>
      <c r="I66" t="s">
        <v>216</v>
      </c>
      <c r="J66" t="s">
        <v>60</v>
      </c>
    </row>
    <row r="67" spans="1:10" x14ac:dyDescent="0.2">
      <c r="A67">
        <v>1063</v>
      </c>
      <c r="B67" t="s">
        <v>217</v>
      </c>
      <c r="C67">
        <v>21</v>
      </c>
      <c r="D67" t="s">
        <v>51</v>
      </c>
      <c r="E67" s="1">
        <v>45973</v>
      </c>
      <c r="F67" s="2">
        <v>45838</v>
      </c>
      <c r="G67" t="s">
        <v>218</v>
      </c>
      <c r="H67" t="s">
        <v>24</v>
      </c>
      <c r="I67" t="s">
        <v>219</v>
      </c>
      <c r="J67" t="s">
        <v>36</v>
      </c>
    </row>
    <row r="68" spans="1:10" x14ac:dyDescent="0.2">
      <c r="A68">
        <v>1015</v>
      </c>
      <c r="B68" t="s">
        <v>220</v>
      </c>
      <c r="C68">
        <v>37</v>
      </c>
      <c r="D68">
        <v>0</v>
      </c>
      <c r="E68" s="2">
        <v>45857</v>
      </c>
      <c r="F68" s="2">
        <v>45453</v>
      </c>
      <c r="G68" t="s">
        <v>221</v>
      </c>
      <c r="H68" t="s">
        <v>18</v>
      </c>
      <c r="I68" t="s">
        <v>222</v>
      </c>
      <c r="J68" t="s">
        <v>30</v>
      </c>
    </row>
    <row r="69" spans="1:10" x14ac:dyDescent="0.2">
      <c r="A69">
        <v>1068</v>
      </c>
      <c r="B69" t="s">
        <v>223</v>
      </c>
      <c r="C69">
        <v>60</v>
      </c>
      <c r="D69">
        <v>1</v>
      </c>
      <c r="E69" s="2">
        <v>46072</v>
      </c>
      <c r="F69" s="2">
        <v>45609</v>
      </c>
      <c r="G69" t="s">
        <v>224</v>
      </c>
      <c r="H69" t="s">
        <v>24</v>
      </c>
      <c r="I69" t="s">
        <v>225</v>
      </c>
      <c r="J69">
        <v>1</v>
      </c>
    </row>
    <row r="70" spans="1:10" x14ac:dyDescent="0.2">
      <c r="A70">
        <v>1010</v>
      </c>
      <c r="B70" t="s">
        <v>226</v>
      </c>
      <c r="C70">
        <v>38</v>
      </c>
      <c r="D70" t="s">
        <v>38</v>
      </c>
      <c r="E70" s="1">
        <v>46064</v>
      </c>
      <c r="F70" s="2">
        <v>45928</v>
      </c>
      <c r="G70" t="s">
        <v>227</v>
      </c>
      <c r="H70" t="s">
        <v>18</v>
      </c>
      <c r="I70" t="s">
        <v>228</v>
      </c>
      <c r="J70" t="s">
        <v>60</v>
      </c>
    </row>
    <row r="71" spans="1:10" x14ac:dyDescent="0.2">
      <c r="A71">
        <v>1034</v>
      </c>
      <c r="B71" t="s">
        <v>229</v>
      </c>
      <c r="C71">
        <v>68</v>
      </c>
      <c r="D71" t="s">
        <v>71</v>
      </c>
      <c r="E71" s="1">
        <v>45843</v>
      </c>
      <c r="F71" s="2">
        <v>45680</v>
      </c>
      <c r="G71" t="s">
        <v>230</v>
      </c>
      <c r="H71" t="s">
        <v>24</v>
      </c>
      <c r="I71" t="s">
        <v>231</v>
      </c>
      <c r="J71" t="s">
        <v>60</v>
      </c>
    </row>
    <row r="72" spans="1:10" x14ac:dyDescent="0.2">
      <c r="A72">
        <v>1095</v>
      </c>
      <c r="B72" t="s">
        <v>232</v>
      </c>
      <c r="C72">
        <v>86</v>
      </c>
      <c r="E72" s="1">
        <v>45833</v>
      </c>
      <c r="F72" s="1">
        <v>45406</v>
      </c>
      <c r="G72" t="s">
        <v>233</v>
      </c>
      <c r="H72" t="s">
        <v>13</v>
      </c>
      <c r="I72" t="s">
        <v>234</v>
      </c>
      <c r="J72" t="s">
        <v>36</v>
      </c>
    </row>
    <row r="73" spans="1:10" x14ac:dyDescent="0.2">
      <c r="A73">
        <v>1070</v>
      </c>
      <c r="B73" t="s">
        <v>235</v>
      </c>
      <c r="C73">
        <v>85</v>
      </c>
      <c r="D73">
        <v>1</v>
      </c>
      <c r="E73" s="1">
        <v>45910</v>
      </c>
      <c r="F73" s="2">
        <v>45524</v>
      </c>
      <c r="G73" t="s">
        <v>236</v>
      </c>
      <c r="H73" t="s">
        <v>24</v>
      </c>
      <c r="I73" t="s">
        <v>237</v>
      </c>
      <c r="J73" t="s">
        <v>30</v>
      </c>
    </row>
    <row r="74" spans="1:10" x14ac:dyDescent="0.2">
      <c r="A74">
        <v>1099</v>
      </c>
      <c r="B74" t="s">
        <v>238</v>
      </c>
      <c r="C74">
        <v>28</v>
      </c>
      <c r="D74" t="s">
        <v>16</v>
      </c>
      <c r="E74" s="2">
        <v>45859</v>
      </c>
      <c r="F74" s="1">
        <v>45852</v>
      </c>
      <c r="G74" t="s">
        <v>239</v>
      </c>
      <c r="H74" t="s">
        <v>24</v>
      </c>
      <c r="I74" t="s">
        <v>240</v>
      </c>
      <c r="J74" t="s">
        <v>20</v>
      </c>
    </row>
    <row r="75" spans="1:10" x14ac:dyDescent="0.2">
      <c r="A75">
        <v>1022</v>
      </c>
      <c r="B75" t="s">
        <v>241</v>
      </c>
      <c r="C75">
        <v>23</v>
      </c>
      <c r="D75" t="s">
        <v>38</v>
      </c>
      <c r="E75" s="2">
        <v>46072</v>
      </c>
      <c r="F75" s="2">
        <v>45551</v>
      </c>
      <c r="G75" t="s">
        <v>242</v>
      </c>
      <c r="H75" t="s">
        <v>18</v>
      </c>
      <c r="I75" t="s">
        <v>243</v>
      </c>
      <c r="J75" t="s">
        <v>36</v>
      </c>
    </row>
    <row r="76" spans="1:10" x14ac:dyDescent="0.2">
      <c r="A76">
        <v>1095</v>
      </c>
      <c r="B76" t="s">
        <v>244</v>
      </c>
      <c r="C76">
        <v>86</v>
      </c>
      <c r="D76" t="s">
        <v>16</v>
      </c>
      <c r="E76" s="1">
        <v>45952</v>
      </c>
      <c r="F76" s="1">
        <v>45857</v>
      </c>
      <c r="G76" t="s">
        <v>245</v>
      </c>
      <c r="H76" t="s">
        <v>18</v>
      </c>
      <c r="I76" t="s">
        <v>246</v>
      </c>
      <c r="J76" t="s">
        <v>36</v>
      </c>
    </row>
    <row r="77" spans="1:10" x14ac:dyDescent="0.2">
      <c r="A77">
        <v>1061</v>
      </c>
      <c r="B77" t="s">
        <v>247</v>
      </c>
      <c r="C77">
        <v>66</v>
      </c>
      <c r="D77" t="s">
        <v>11</v>
      </c>
      <c r="E77" s="1">
        <v>45889</v>
      </c>
      <c r="F77" s="1">
        <v>45724</v>
      </c>
      <c r="G77" t="s">
        <v>248</v>
      </c>
      <c r="H77" t="s">
        <v>24</v>
      </c>
      <c r="J77" t="s">
        <v>36</v>
      </c>
    </row>
    <row r="78" spans="1:10" x14ac:dyDescent="0.2">
      <c r="A78">
        <v>1088</v>
      </c>
      <c r="B78" t="s">
        <v>249</v>
      </c>
      <c r="C78">
        <v>22</v>
      </c>
      <c r="D78" t="s">
        <v>51</v>
      </c>
      <c r="E78" s="1">
        <v>45963</v>
      </c>
      <c r="F78" s="1">
        <v>45771</v>
      </c>
      <c r="G78" t="s">
        <v>250</v>
      </c>
      <c r="H78" t="s">
        <v>28</v>
      </c>
      <c r="I78" t="s">
        <v>251</v>
      </c>
      <c r="J78">
        <v>1</v>
      </c>
    </row>
    <row r="79" spans="1:10" x14ac:dyDescent="0.2">
      <c r="A79">
        <v>1008</v>
      </c>
      <c r="B79" t="s">
        <v>252</v>
      </c>
      <c r="C79">
        <v>69</v>
      </c>
      <c r="D79" t="s">
        <v>16</v>
      </c>
      <c r="E79" s="2">
        <v>45931</v>
      </c>
      <c r="F79" s="1">
        <v>45435</v>
      </c>
      <c r="G79" t="s">
        <v>253</v>
      </c>
      <c r="H79" t="s">
        <v>18</v>
      </c>
      <c r="I79" t="s">
        <v>254</v>
      </c>
      <c r="J79">
        <v>0</v>
      </c>
    </row>
    <row r="80" spans="1:10" x14ac:dyDescent="0.2">
      <c r="A80">
        <v>1014</v>
      </c>
      <c r="B80" t="s">
        <v>255</v>
      </c>
      <c r="C80">
        <v>26</v>
      </c>
      <c r="D80">
        <v>0</v>
      </c>
      <c r="E80" s="1">
        <v>45928</v>
      </c>
      <c r="F80" s="2">
        <v>45481</v>
      </c>
      <c r="G80" t="s">
        <v>256</v>
      </c>
      <c r="H80" t="s">
        <v>13</v>
      </c>
      <c r="I80" t="s">
        <v>257</v>
      </c>
      <c r="J80">
        <v>1</v>
      </c>
    </row>
    <row r="81" spans="1:10" x14ac:dyDescent="0.2">
      <c r="A81">
        <v>1005</v>
      </c>
      <c r="B81" t="s">
        <v>258</v>
      </c>
      <c r="C81">
        <v>69</v>
      </c>
      <c r="D81" t="s">
        <v>22</v>
      </c>
      <c r="E81" s="2">
        <v>46083</v>
      </c>
      <c r="F81" s="2">
        <v>45617</v>
      </c>
      <c r="G81" t="s">
        <v>259</v>
      </c>
      <c r="H81" t="s">
        <v>28</v>
      </c>
      <c r="I81" t="s">
        <v>260</v>
      </c>
      <c r="J81">
        <v>1</v>
      </c>
    </row>
    <row r="82" spans="1:10" x14ac:dyDescent="0.2">
      <c r="A82">
        <v>1098</v>
      </c>
      <c r="B82" t="s">
        <v>261</v>
      </c>
      <c r="C82">
        <v>35</v>
      </c>
      <c r="D82" t="s">
        <v>11</v>
      </c>
      <c r="E82" s="2">
        <v>46094</v>
      </c>
      <c r="F82" s="2">
        <v>45865</v>
      </c>
      <c r="G82" t="s">
        <v>262</v>
      </c>
      <c r="H82" t="s">
        <v>18</v>
      </c>
      <c r="I82" t="s">
        <v>263</v>
      </c>
      <c r="J82">
        <v>1</v>
      </c>
    </row>
    <row r="83" spans="1:10" x14ac:dyDescent="0.2">
      <c r="A83">
        <v>1074</v>
      </c>
      <c r="B83" t="s">
        <v>264</v>
      </c>
      <c r="C83">
        <v>23</v>
      </c>
      <c r="D83">
        <v>0</v>
      </c>
      <c r="E83" s="2">
        <v>46004</v>
      </c>
      <c r="F83" s="1">
        <v>45826</v>
      </c>
      <c r="G83" t="s">
        <v>265</v>
      </c>
      <c r="H83" t="s">
        <v>18</v>
      </c>
      <c r="I83" t="s">
        <v>266</v>
      </c>
      <c r="J83" t="s">
        <v>20</v>
      </c>
    </row>
    <row r="84" spans="1:10" x14ac:dyDescent="0.2">
      <c r="A84">
        <v>1097</v>
      </c>
      <c r="B84" t="s">
        <v>267</v>
      </c>
      <c r="C84">
        <v>50</v>
      </c>
      <c r="D84" t="s">
        <v>22</v>
      </c>
      <c r="E84" s="1">
        <v>45984</v>
      </c>
      <c r="F84" s="1">
        <v>45924</v>
      </c>
      <c r="G84" t="s">
        <v>268</v>
      </c>
      <c r="H84" t="s">
        <v>18</v>
      </c>
      <c r="I84" t="s">
        <v>269</v>
      </c>
      <c r="J84">
        <v>1</v>
      </c>
    </row>
    <row r="85" spans="1:10" x14ac:dyDescent="0.2">
      <c r="A85">
        <v>1047</v>
      </c>
      <c r="B85" t="s">
        <v>270</v>
      </c>
      <c r="C85">
        <v>40</v>
      </c>
      <c r="D85" t="s">
        <v>22</v>
      </c>
      <c r="E85" s="1">
        <v>46078</v>
      </c>
      <c r="F85" s="1">
        <v>45809</v>
      </c>
      <c r="G85" t="s">
        <v>271</v>
      </c>
      <c r="H85" t="s">
        <v>18</v>
      </c>
      <c r="I85" t="s">
        <v>272</v>
      </c>
      <c r="J85" t="s">
        <v>36</v>
      </c>
    </row>
    <row r="86" spans="1:10" x14ac:dyDescent="0.2">
      <c r="A86">
        <v>1093</v>
      </c>
      <c r="B86" t="s">
        <v>273</v>
      </c>
      <c r="C86">
        <v>55</v>
      </c>
      <c r="E86" s="1">
        <v>45942</v>
      </c>
      <c r="F86" s="1">
        <v>45889</v>
      </c>
      <c r="G86" t="s">
        <v>274</v>
      </c>
      <c r="H86" t="s">
        <v>24</v>
      </c>
      <c r="I86" t="s">
        <v>275</v>
      </c>
      <c r="J86" t="s">
        <v>30</v>
      </c>
    </row>
    <row r="87" spans="1:10" x14ac:dyDescent="0.2">
      <c r="A87">
        <v>1044</v>
      </c>
      <c r="B87" t="s">
        <v>276</v>
      </c>
      <c r="C87">
        <v>57</v>
      </c>
      <c r="D87">
        <v>0</v>
      </c>
      <c r="E87" s="1">
        <v>45786</v>
      </c>
      <c r="F87" s="2">
        <v>45644</v>
      </c>
      <c r="G87" t="s">
        <v>277</v>
      </c>
      <c r="H87" t="s">
        <v>18</v>
      </c>
      <c r="I87" t="s">
        <v>278</v>
      </c>
      <c r="J87" t="s">
        <v>60</v>
      </c>
    </row>
    <row r="88" spans="1:10" x14ac:dyDescent="0.2">
      <c r="A88">
        <v>1050</v>
      </c>
      <c r="B88" t="s">
        <v>279</v>
      </c>
      <c r="C88">
        <v>60</v>
      </c>
      <c r="D88">
        <v>1</v>
      </c>
      <c r="E88" s="2">
        <v>45933</v>
      </c>
      <c r="F88" s="1">
        <v>45895</v>
      </c>
      <c r="G88" t="s">
        <v>280</v>
      </c>
      <c r="H88" t="s">
        <v>28</v>
      </c>
      <c r="I88" t="s">
        <v>281</v>
      </c>
      <c r="J88" t="s">
        <v>20</v>
      </c>
    </row>
    <row r="89" spans="1:10" x14ac:dyDescent="0.2">
      <c r="A89">
        <v>1100</v>
      </c>
      <c r="B89" t="s">
        <v>282</v>
      </c>
      <c r="C89">
        <v>58</v>
      </c>
      <c r="D89" t="s">
        <v>22</v>
      </c>
      <c r="E89" s="1">
        <v>45841</v>
      </c>
      <c r="F89" s="2">
        <v>45529</v>
      </c>
      <c r="G89" t="s">
        <v>283</v>
      </c>
      <c r="H89" t="s">
        <v>24</v>
      </c>
      <c r="I89" t="s">
        <v>284</v>
      </c>
      <c r="J89" t="s">
        <v>30</v>
      </c>
    </row>
    <row r="90" spans="1:10" x14ac:dyDescent="0.2">
      <c r="A90">
        <v>1095</v>
      </c>
      <c r="B90" t="s">
        <v>285</v>
      </c>
      <c r="C90">
        <v>61</v>
      </c>
      <c r="D90" t="s">
        <v>71</v>
      </c>
      <c r="E90" s="1">
        <v>45949</v>
      </c>
      <c r="F90" s="1">
        <v>45891</v>
      </c>
      <c r="G90" t="s">
        <v>286</v>
      </c>
      <c r="H90" t="s">
        <v>24</v>
      </c>
      <c r="I90" t="s">
        <v>287</v>
      </c>
      <c r="J90">
        <v>0</v>
      </c>
    </row>
    <row r="91" spans="1:10" x14ac:dyDescent="0.2">
      <c r="A91">
        <v>1088</v>
      </c>
      <c r="B91" t="s">
        <v>288</v>
      </c>
      <c r="C91">
        <v>34</v>
      </c>
      <c r="D91" t="s">
        <v>38</v>
      </c>
      <c r="E91" s="2">
        <v>45942</v>
      </c>
      <c r="F91" s="2">
        <v>45672</v>
      </c>
      <c r="G91" t="s">
        <v>289</v>
      </c>
      <c r="H91" t="s">
        <v>13</v>
      </c>
      <c r="I91" t="s">
        <v>290</v>
      </c>
      <c r="J91" t="s">
        <v>36</v>
      </c>
    </row>
    <row r="92" spans="1:10" x14ac:dyDescent="0.2">
      <c r="A92">
        <v>1027</v>
      </c>
      <c r="B92" t="s">
        <v>291</v>
      </c>
      <c r="C92">
        <v>35</v>
      </c>
      <c r="D92" t="s">
        <v>22</v>
      </c>
      <c r="E92" s="2">
        <v>45923</v>
      </c>
      <c r="F92" s="2">
        <v>45488</v>
      </c>
      <c r="G92" t="s">
        <v>292</v>
      </c>
      <c r="H92" t="s">
        <v>18</v>
      </c>
      <c r="I92" t="s">
        <v>293</v>
      </c>
      <c r="J92">
        <v>1</v>
      </c>
    </row>
    <row r="93" spans="1:10" x14ac:dyDescent="0.2">
      <c r="A93">
        <v>1040</v>
      </c>
      <c r="B93" t="s">
        <v>294</v>
      </c>
      <c r="C93">
        <v>62</v>
      </c>
      <c r="E93" s="2">
        <v>46020</v>
      </c>
      <c r="F93" s="2">
        <v>45425</v>
      </c>
      <c r="G93" t="s">
        <v>295</v>
      </c>
      <c r="H93" t="s">
        <v>13</v>
      </c>
      <c r="I93" t="s">
        <v>296</v>
      </c>
      <c r="J93" t="s">
        <v>36</v>
      </c>
    </row>
    <row r="94" spans="1:10" x14ac:dyDescent="0.2">
      <c r="A94">
        <v>1099</v>
      </c>
      <c r="B94" t="s">
        <v>297</v>
      </c>
      <c r="C94">
        <v>31</v>
      </c>
      <c r="D94" t="s">
        <v>51</v>
      </c>
      <c r="E94" s="1">
        <v>45849</v>
      </c>
      <c r="F94" s="2">
        <v>45735</v>
      </c>
      <c r="G94" t="s">
        <v>298</v>
      </c>
      <c r="H94" t="s">
        <v>18</v>
      </c>
      <c r="I94" t="s">
        <v>299</v>
      </c>
      <c r="J94" t="s">
        <v>36</v>
      </c>
    </row>
    <row r="95" spans="1:10" x14ac:dyDescent="0.2">
      <c r="A95">
        <v>1070</v>
      </c>
      <c r="B95" t="s">
        <v>300</v>
      </c>
      <c r="C95">
        <v>28</v>
      </c>
      <c r="D95" t="s">
        <v>38</v>
      </c>
      <c r="E95" s="2">
        <v>45938</v>
      </c>
      <c r="F95" s="2">
        <v>45787</v>
      </c>
      <c r="G95" t="s">
        <v>301</v>
      </c>
      <c r="H95" t="s">
        <v>24</v>
      </c>
      <c r="I95" t="s">
        <v>302</v>
      </c>
      <c r="J95" t="s">
        <v>30</v>
      </c>
    </row>
    <row r="96" spans="1:10" x14ac:dyDescent="0.2">
      <c r="A96">
        <v>1058</v>
      </c>
      <c r="B96" t="s">
        <v>303</v>
      </c>
      <c r="C96">
        <v>18</v>
      </c>
      <c r="D96" t="s">
        <v>38</v>
      </c>
      <c r="E96" s="2">
        <v>46057</v>
      </c>
      <c r="F96" s="1">
        <v>45636</v>
      </c>
      <c r="G96" t="s">
        <v>304</v>
      </c>
      <c r="H96" t="s">
        <v>28</v>
      </c>
      <c r="I96" t="s">
        <v>305</v>
      </c>
      <c r="J96" t="s">
        <v>30</v>
      </c>
    </row>
    <row r="97" spans="1:10" x14ac:dyDescent="0.2">
      <c r="A97">
        <v>1040</v>
      </c>
      <c r="B97" t="s">
        <v>306</v>
      </c>
      <c r="C97">
        <v>34</v>
      </c>
      <c r="D97">
        <v>0</v>
      </c>
      <c r="E97" s="2">
        <v>45961</v>
      </c>
      <c r="F97" s="2">
        <v>45735</v>
      </c>
      <c r="G97" t="s">
        <v>307</v>
      </c>
      <c r="H97" t="s">
        <v>24</v>
      </c>
      <c r="I97" t="s">
        <v>308</v>
      </c>
      <c r="J97">
        <v>0</v>
      </c>
    </row>
    <row r="98" spans="1:10" x14ac:dyDescent="0.2">
      <c r="A98">
        <v>1018</v>
      </c>
      <c r="B98" t="s">
        <v>309</v>
      </c>
      <c r="C98">
        <v>34</v>
      </c>
      <c r="D98" t="s">
        <v>38</v>
      </c>
      <c r="E98" s="2">
        <v>46016</v>
      </c>
      <c r="F98" s="1">
        <v>45547</v>
      </c>
      <c r="G98" t="s">
        <v>310</v>
      </c>
      <c r="H98" t="s">
        <v>13</v>
      </c>
      <c r="I98" t="s">
        <v>311</v>
      </c>
      <c r="J98" t="s">
        <v>30</v>
      </c>
    </row>
    <row r="99" spans="1:10" x14ac:dyDescent="0.2">
      <c r="A99">
        <v>1052</v>
      </c>
      <c r="B99" t="s">
        <v>312</v>
      </c>
      <c r="C99">
        <v>60</v>
      </c>
      <c r="D99" t="s">
        <v>11</v>
      </c>
      <c r="E99" s="1">
        <v>45968</v>
      </c>
      <c r="F99" s="2">
        <v>45532</v>
      </c>
      <c r="G99" t="s">
        <v>313</v>
      </c>
      <c r="H99" t="s">
        <v>28</v>
      </c>
      <c r="J99" t="s">
        <v>20</v>
      </c>
    </row>
    <row r="100" spans="1:10" x14ac:dyDescent="0.2">
      <c r="A100">
        <v>1031</v>
      </c>
      <c r="B100" t="s">
        <v>314</v>
      </c>
      <c r="C100">
        <v>65</v>
      </c>
      <c r="D100" t="s">
        <v>38</v>
      </c>
      <c r="E100" s="2">
        <v>45816</v>
      </c>
      <c r="F100" s="1">
        <v>45671</v>
      </c>
      <c r="G100" t="s">
        <v>315</v>
      </c>
      <c r="H100" t="s">
        <v>28</v>
      </c>
      <c r="I100" t="s">
        <v>316</v>
      </c>
      <c r="J100">
        <v>0</v>
      </c>
    </row>
    <row r="101" spans="1:10" x14ac:dyDescent="0.2">
      <c r="A101">
        <v>1028</v>
      </c>
      <c r="B101" t="s">
        <v>317</v>
      </c>
      <c r="C101">
        <v>21</v>
      </c>
      <c r="D101" t="s">
        <v>11</v>
      </c>
      <c r="E101" s="1">
        <v>45968</v>
      </c>
      <c r="F101" s="2">
        <v>45865</v>
      </c>
      <c r="G101" t="s">
        <v>318</v>
      </c>
      <c r="H101" t="s">
        <v>24</v>
      </c>
      <c r="I101" t="s">
        <v>319</v>
      </c>
      <c r="J101" t="s">
        <v>60</v>
      </c>
    </row>
    <row r="102" spans="1:10" x14ac:dyDescent="0.2">
      <c r="A102">
        <v>1089</v>
      </c>
      <c r="B102" t="s">
        <v>320</v>
      </c>
      <c r="C102">
        <v>56</v>
      </c>
      <c r="D102" t="s">
        <v>71</v>
      </c>
      <c r="E102" s="1">
        <v>46071</v>
      </c>
      <c r="F102" s="2">
        <v>45634</v>
      </c>
      <c r="G102" t="s">
        <v>321</v>
      </c>
      <c r="H102" t="s">
        <v>18</v>
      </c>
      <c r="I102" t="s">
        <v>322</v>
      </c>
      <c r="J102">
        <v>1</v>
      </c>
    </row>
    <row r="103" spans="1:10" x14ac:dyDescent="0.2">
      <c r="A103">
        <v>1092</v>
      </c>
      <c r="B103" t="s">
        <v>323</v>
      </c>
      <c r="C103">
        <v>40</v>
      </c>
      <c r="D103" t="s">
        <v>11</v>
      </c>
      <c r="E103" s="2">
        <v>46063</v>
      </c>
      <c r="F103" s="2">
        <v>46009</v>
      </c>
      <c r="G103" t="s">
        <v>324</v>
      </c>
      <c r="H103" t="s">
        <v>24</v>
      </c>
      <c r="I103" t="s">
        <v>325</v>
      </c>
      <c r="J103" t="s">
        <v>36</v>
      </c>
    </row>
    <row r="104" spans="1:10" x14ac:dyDescent="0.2">
      <c r="A104">
        <v>1088</v>
      </c>
      <c r="B104" t="s">
        <v>326</v>
      </c>
      <c r="C104">
        <v>60</v>
      </c>
      <c r="E104" s="2">
        <v>46100</v>
      </c>
      <c r="F104" s="1">
        <v>45583</v>
      </c>
      <c r="G104" t="s">
        <v>327</v>
      </c>
      <c r="H104" t="s">
        <v>28</v>
      </c>
      <c r="I104" t="s">
        <v>328</v>
      </c>
      <c r="J104" t="s">
        <v>36</v>
      </c>
    </row>
    <row r="105" spans="1:10" x14ac:dyDescent="0.2">
      <c r="A105">
        <v>1058</v>
      </c>
      <c r="B105" t="s">
        <v>329</v>
      </c>
      <c r="C105">
        <v>24</v>
      </c>
      <c r="D105" t="s">
        <v>11</v>
      </c>
      <c r="E105" s="2">
        <v>46069</v>
      </c>
      <c r="F105" s="2">
        <v>45895</v>
      </c>
      <c r="G105" t="s">
        <v>330</v>
      </c>
      <c r="H105" t="s">
        <v>28</v>
      </c>
      <c r="I105" t="s">
        <v>331</v>
      </c>
      <c r="J105">
        <v>0</v>
      </c>
    </row>
    <row r="106" spans="1:10" x14ac:dyDescent="0.2">
      <c r="A106">
        <v>1078</v>
      </c>
      <c r="B106" t="s">
        <v>332</v>
      </c>
      <c r="C106">
        <v>69</v>
      </c>
      <c r="D106">
        <v>1</v>
      </c>
      <c r="E106" s="2">
        <v>45988</v>
      </c>
      <c r="F106" s="1">
        <v>45430</v>
      </c>
      <c r="G106" t="s">
        <v>333</v>
      </c>
      <c r="H106" t="s">
        <v>18</v>
      </c>
      <c r="I106" t="s">
        <v>334</v>
      </c>
      <c r="J106" t="s">
        <v>30</v>
      </c>
    </row>
    <row r="107" spans="1:10" x14ac:dyDescent="0.2">
      <c r="A107">
        <v>1027</v>
      </c>
      <c r="B107" t="s">
        <v>335</v>
      </c>
      <c r="C107">
        <v>32</v>
      </c>
      <c r="D107" t="s">
        <v>16</v>
      </c>
      <c r="E107" s="1">
        <v>46083</v>
      </c>
      <c r="F107" s="2">
        <v>46008</v>
      </c>
      <c r="G107" t="s">
        <v>336</v>
      </c>
      <c r="H107" t="s">
        <v>13</v>
      </c>
      <c r="I107" t="s">
        <v>337</v>
      </c>
      <c r="J107">
        <v>1</v>
      </c>
    </row>
    <row r="108" spans="1:10" x14ac:dyDescent="0.2">
      <c r="A108">
        <v>1062</v>
      </c>
      <c r="B108" t="s">
        <v>338</v>
      </c>
      <c r="C108">
        <v>60</v>
      </c>
      <c r="D108" t="s">
        <v>51</v>
      </c>
      <c r="E108" s="2">
        <v>46049</v>
      </c>
      <c r="F108" s="1">
        <v>46040</v>
      </c>
      <c r="G108" t="s">
        <v>339</v>
      </c>
      <c r="H108" t="s">
        <v>13</v>
      </c>
      <c r="I108" t="s">
        <v>340</v>
      </c>
      <c r="J108" t="s">
        <v>30</v>
      </c>
    </row>
    <row r="109" spans="1:10" x14ac:dyDescent="0.2">
      <c r="A109">
        <v>1015</v>
      </c>
      <c r="B109" t="s">
        <v>341</v>
      </c>
      <c r="C109">
        <v>68</v>
      </c>
      <c r="D109" t="s">
        <v>16</v>
      </c>
      <c r="E109" s="1">
        <v>45998</v>
      </c>
      <c r="F109" s="1">
        <v>45740</v>
      </c>
      <c r="G109" t="s">
        <v>342</v>
      </c>
      <c r="H109" t="s">
        <v>18</v>
      </c>
      <c r="I109" t="s">
        <v>343</v>
      </c>
      <c r="J109" t="s">
        <v>20</v>
      </c>
    </row>
    <row r="110" spans="1:10" x14ac:dyDescent="0.2">
      <c r="A110">
        <v>1018</v>
      </c>
      <c r="B110" t="s">
        <v>344</v>
      </c>
      <c r="C110">
        <v>53</v>
      </c>
      <c r="E110" s="2">
        <v>45941</v>
      </c>
      <c r="F110" s="2">
        <v>45381</v>
      </c>
      <c r="G110" t="s">
        <v>345</v>
      </c>
      <c r="H110" t="s">
        <v>24</v>
      </c>
      <c r="I110" t="s">
        <v>346</v>
      </c>
      <c r="J110" t="s">
        <v>36</v>
      </c>
    </row>
    <row r="111" spans="1:10" x14ac:dyDescent="0.2">
      <c r="A111">
        <v>1061</v>
      </c>
      <c r="B111" t="s">
        <v>347</v>
      </c>
      <c r="C111">
        <v>18</v>
      </c>
      <c r="D111" t="s">
        <v>51</v>
      </c>
      <c r="E111" s="1">
        <v>46103</v>
      </c>
      <c r="F111" s="2">
        <v>45570</v>
      </c>
      <c r="G111" t="s">
        <v>348</v>
      </c>
      <c r="H111" t="s">
        <v>24</v>
      </c>
      <c r="I111" t="s">
        <v>349</v>
      </c>
      <c r="J111" t="s">
        <v>30</v>
      </c>
    </row>
    <row r="112" spans="1:10" x14ac:dyDescent="0.2">
      <c r="A112">
        <v>1013</v>
      </c>
      <c r="B112" t="s">
        <v>350</v>
      </c>
      <c r="C112">
        <v>60</v>
      </c>
      <c r="D112">
        <v>0</v>
      </c>
      <c r="E112" s="2">
        <v>45759</v>
      </c>
      <c r="F112" s="1">
        <v>45680</v>
      </c>
      <c r="G112" t="s">
        <v>351</v>
      </c>
      <c r="H112" t="s">
        <v>24</v>
      </c>
      <c r="I112" t="s">
        <v>352</v>
      </c>
      <c r="J112" t="s">
        <v>36</v>
      </c>
    </row>
    <row r="113" spans="1:10" x14ac:dyDescent="0.2">
      <c r="A113">
        <v>1087</v>
      </c>
      <c r="B113" t="s">
        <v>353</v>
      </c>
      <c r="C113">
        <v>72</v>
      </c>
      <c r="D113" t="s">
        <v>38</v>
      </c>
      <c r="E113" s="1">
        <v>45834</v>
      </c>
      <c r="F113" s="1">
        <v>45796</v>
      </c>
      <c r="G113" t="s">
        <v>354</v>
      </c>
      <c r="H113" t="s">
        <v>28</v>
      </c>
      <c r="I113" t="s">
        <v>355</v>
      </c>
      <c r="J113">
        <v>1</v>
      </c>
    </row>
    <row r="114" spans="1:10" x14ac:dyDescent="0.2">
      <c r="A114">
        <v>1090</v>
      </c>
      <c r="B114" t="s">
        <v>356</v>
      </c>
      <c r="C114">
        <v>63</v>
      </c>
      <c r="D114" t="s">
        <v>16</v>
      </c>
      <c r="E114" s="1">
        <v>46019</v>
      </c>
      <c r="F114" s="2">
        <v>46013</v>
      </c>
      <c r="G114" t="s">
        <v>357</v>
      </c>
      <c r="H114" t="s">
        <v>24</v>
      </c>
      <c r="I114" t="s">
        <v>358</v>
      </c>
      <c r="J114" t="s">
        <v>20</v>
      </c>
    </row>
    <row r="115" spans="1:10" x14ac:dyDescent="0.2">
      <c r="A115">
        <v>1086</v>
      </c>
      <c r="B115" t="s">
        <v>359</v>
      </c>
      <c r="C115">
        <v>80</v>
      </c>
      <c r="D115" t="s">
        <v>38</v>
      </c>
      <c r="E115" s="1">
        <v>45992</v>
      </c>
      <c r="F115" s="2">
        <v>45593</v>
      </c>
      <c r="G115" t="s">
        <v>360</v>
      </c>
      <c r="H115" t="s">
        <v>18</v>
      </c>
      <c r="I115" t="s">
        <v>361</v>
      </c>
      <c r="J115" t="s">
        <v>36</v>
      </c>
    </row>
    <row r="116" spans="1:10" x14ac:dyDescent="0.2">
      <c r="A116">
        <v>1047</v>
      </c>
      <c r="B116" t="s">
        <v>362</v>
      </c>
      <c r="C116">
        <v>39</v>
      </c>
      <c r="D116" t="s">
        <v>22</v>
      </c>
      <c r="E116" s="1">
        <v>45983</v>
      </c>
      <c r="F116" s="2">
        <v>45610</v>
      </c>
      <c r="G116" t="s">
        <v>363</v>
      </c>
      <c r="H116" t="s">
        <v>24</v>
      </c>
      <c r="I116" t="s">
        <v>364</v>
      </c>
      <c r="J116">
        <v>0</v>
      </c>
    </row>
    <row r="117" spans="1:10" x14ac:dyDescent="0.2">
      <c r="A117">
        <v>1014</v>
      </c>
      <c r="B117" t="s">
        <v>365</v>
      </c>
      <c r="C117">
        <v>81</v>
      </c>
      <c r="D117" t="s">
        <v>11</v>
      </c>
      <c r="E117" s="1">
        <v>45809</v>
      </c>
      <c r="F117" s="1">
        <v>45523</v>
      </c>
      <c r="G117" t="s">
        <v>366</v>
      </c>
      <c r="H117" t="s">
        <v>13</v>
      </c>
      <c r="I117" t="s">
        <v>367</v>
      </c>
      <c r="J117" t="s">
        <v>60</v>
      </c>
    </row>
    <row r="118" spans="1:10" x14ac:dyDescent="0.2">
      <c r="A118">
        <v>1047</v>
      </c>
      <c r="B118" t="s">
        <v>368</v>
      </c>
      <c r="C118">
        <v>38</v>
      </c>
      <c r="D118" t="s">
        <v>22</v>
      </c>
      <c r="E118" s="2">
        <v>46006</v>
      </c>
      <c r="F118" s="1">
        <v>45651</v>
      </c>
      <c r="G118" t="s">
        <v>369</v>
      </c>
      <c r="H118" t="s">
        <v>13</v>
      </c>
      <c r="I118" t="s">
        <v>370</v>
      </c>
      <c r="J118" t="s">
        <v>20</v>
      </c>
    </row>
    <row r="119" spans="1:10" x14ac:dyDescent="0.2">
      <c r="A119">
        <v>1073</v>
      </c>
      <c r="B119" t="s">
        <v>371</v>
      </c>
      <c r="C119">
        <v>38</v>
      </c>
      <c r="D119">
        <v>0</v>
      </c>
      <c r="E119" s="1">
        <v>45990</v>
      </c>
      <c r="F119" s="2">
        <v>45849</v>
      </c>
      <c r="G119" t="s">
        <v>372</v>
      </c>
      <c r="H119" t="s">
        <v>18</v>
      </c>
      <c r="I119" t="s">
        <v>373</v>
      </c>
      <c r="J119" t="s">
        <v>60</v>
      </c>
    </row>
    <row r="120" spans="1:10" x14ac:dyDescent="0.2">
      <c r="A120">
        <v>1093</v>
      </c>
      <c r="B120" t="s">
        <v>374</v>
      </c>
      <c r="C120">
        <v>79</v>
      </c>
      <c r="D120" t="s">
        <v>11</v>
      </c>
      <c r="E120" s="1">
        <v>45745</v>
      </c>
      <c r="F120" s="2">
        <v>45470</v>
      </c>
      <c r="G120" t="s">
        <v>375</v>
      </c>
      <c r="H120" t="s">
        <v>18</v>
      </c>
      <c r="I120" t="s">
        <v>376</v>
      </c>
      <c r="J120" t="s">
        <v>20</v>
      </c>
    </row>
    <row r="121" spans="1:10" x14ac:dyDescent="0.2">
      <c r="A121">
        <v>1027</v>
      </c>
      <c r="B121" t="s">
        <v>377</v>
      </c>
      <c r="C121">
        <v>54</v>
      </c>
      <c r="D121" t="s">
        <v>38</v>
      </c>
      <c r="E121" s="1">
        <v>46018</v>
      </c>
      <c r="F121" s="2">
        <v>45804</v>
      </c>
      <c r="G121" t="s">
        <v>378</v>
      </c>
      <c r="H121" t="s">
        <v>18</v>
      </c>
      <c r="I121" t="s">
        <v>379</v>
      </c>
      <c r="J121">
        <v>0</v>
      </c>
    </row>
    <row r="122" spans="1:10" x14ac:dyDescent="0.2">
      <c r="A122">
        <v>1037</v>
      </c>
      <c r="B122" t="s">
        <v>380</v>
      </c>
      <c r="C122">
        <v>22</v>
      </c>
      <c r="D122" t="s">
        <v>38</v>
      </c>
      <c r="E122" s="2">
        <v>46081</v>
      </c>
      <c r="F122" s="2">
        <v>45738</v>
      </c>
      <c r="G122" t="s">
        <v>381</v>
      </c>
      <c r="H122" t="s">
        <v>24</v>
      </c>
      <c r="I122" t="s">
        <v>382</v>
      </c>
      <c r="J122">
        <v>1</v>
      </c>
    </row>
    <row r="123" spans="1:10" x14ac:dyDescent="0.2">
      <c r="A123">
        <v>1021</v>
      </c>
      <c r="B123" t="s">
        <v>383</v>
      </c>
      <c r="C123">
        <v>27</v>
      </c>
      <c r="D123">
        <v>0</v>
      </c>
      <c r="E123" s="2">
        <v>45781</v>
      </c>
      <c r="F123" s="2">
        <v>45484</v>
      </c>
      <c r="G123" t="s">
        <v>384</v>
      </c>
      <c r="H123" t="s">
        <v>28</v>
      </c>
      <c r="I123" t="s">
        <v>385</v>
      </c>
      <c r="J123">
        <v>1</v>
      </c>
    </row>
    <row r="124" spans="1:10" x14ac:dyDescent="0.2">
      <c r="A124">
        <v>1007</v>
      </c>
      <c r="B124" t="s">
        <v>386</v>
      </c>
      <c r="C124">
        <v>20</v>
      </c>
      <c r="D124" t="s">
        <v>51</v>
      </c>
      <c r="E124" s="2">
        <v>45977</v>
      </c>
      <c r="F124" s="1">
        <v>45918</v>
      </c>
      <c r="G124" t="s">
        <v>387</v>
      </c>
      <c r="H124" t="s">
        <v>28</v>
      </c>
      <c r="I124" t="s">
        <v>388</v>
      </c>
      <c r="J124">
        <v>0</v>
      </c>
    </row>
    <row r="125" spans="1:10" x14ac:dyDescent="0.2">
      <c r="A125">
        <v>1043</v>
      </c>
      <c r="B125" t="s">
        <v>389</v>
      </c>
      <c r="C125">
        <v>31</v>
      </c>
      <c r="D125">
        <v>1</v>
      </c>
      <c r="E125" s="1">
        <v>45841</v>
      </c>
      <c r="F125" s="1">
        <v>45773</v>
      </c>
      <c r="G125" t="s">
        <v>390</v>
      </c>
      <c r="H125" t="s">
        <v>18</v>
      </c>
      <c r="I125" t="s">
        <v>391</v>
      </c>
      <c r="J125" t="s">
        <v>60</v>
      </c>
    </row>
    <row r="126" spans="1:10" x14ac:dyDescent="0.2">
      <c r="A126">
        <v>1081</v>
      </c>
      <c r="B126" t="s">
        <v>392</v>
      </c>
      <c r="C126">
        <v>86</v>
      </c>
      <c r="D126">
        <v>1</v>
      </c>
      <c r="E126" s="1">
        <v>45861</v>
      </c>
      <c r="F126" s="2">
        <v>45769</v>
      </c>
      <c r="G126" t="s">
        <v>393</v>
      </c>
      <c r="H126" t="s">
        <v>28</v>
      </c>
      <c r="I126" t="s">
        <v>394</v>
      </c>
      <c r="J126" t="s">
        <v>30</v>
      </c>
    </row>
    <row r="127" spans="1:10" x14ac:dyDescent="0.2">
      <c r="A127">
        <v>1053</v>
      </c>
      <c r="B127" t="s">
        <v>395</v>
      </c>
      <c r="C127">
        <v>81</v>
      </c>
      <c r="E127" s="2">
        <v>45770</v>
      </c>
      <c r="F127" s="1">
        <v>45656</v>
      </c>
      <c r="G127" t="s">
        <v>396</v>
      </c>
      <c r="H127" t="s">
        <v>28</v>
      </c>
      <c r="I127" t="s">
        <v>397</v>
      </c>
      <c r="J127" t="s">
        <v>60</v>
      </c>
    </row>
    <row r="128" spans="1:10" x14ac:dyDescent="0.2">
      <c r="A128">
        <v>1035</v>
      </c>
      <c r="B128" t="s">
        <v>398</v>
      </c>
      <c r="C128">
        <v>58</v>
      </c>
      <c r="D128" t="s">
        <v>22</v>
      </c>
      <c r="E128" s="1">
        <v>46045</v>
      </c>
      <c r="F128" s="2">
        <v>45396</v>
      </c>
      <c r="G128" t="s">
        <v>399</v>
      </c>
      <c r="H128" t="s">
        <v>13</v>
      </c>
      <c r="I128" t="s">
        <v>400</v>
      </c>
      <c r="J128" t="s">
        <v>20</v>
      </c>
    </row>
    <row r="129" spans="1:10" x14ac:dyDescent="0.2">
      <c r="A129">
        <v>1036</v>
      </c>
      <c r="B129" t="s">
        <v>401</v>
      </c>
      <c r="C129">
        <v>38</v>
      </c>
      <c r="D129">
        <v>1</v>
      </c>
      <c r="E129" s="1">
        <v>45742</v>
      </c>
      <c r="F129" s="2">
        <v>45718</v>
      </c>
      <c r="G129" t="s">
        <v>402</v>
      </c>
      <c r="H129" t="s">
        <v>13</v>
      </c>
      <c r="I129" t="s">
        <v>403</v>
      </c>
      <c r="J129" t="s">
        <v>60</v>
      </c>
    </row>
    <row r="130" spans="1:10" x14ac:dyDescent="0.2">
      <c r="A130">
        <v>1052</v>
      </c>
      <c r="B130" t="s">
        <v>404</v>
      </c>
      <c r="C130">
        <v>22</v>
      </c>
      <c r="D130" t="s">
        <v>38</v>
      </c>
      <c r="E130" s="1">
        <v>45954</v>
      </c>
      <c r="F130" s="1">
        <v>45663</v>
      </c>
      <c r="G130" t="s">
        <v>405</v>
      </c>
      <c r="H130" t="s">
        <v>18</v>
      </c>
      <c r="I130" t="s">
        <v>406</v>
      </c>
      <c r="J130">
        <v>0</v>
      </c>
    </row>
    <row r="131" spans="1:10" x14ac:dyDescent="0.2">
      <c r="A131">
        <v>1058</v>
      </c>
      <c r="B131" t="s">
        <v>407</v>
      </c>
      <c r="C131">
        <v>83</v>
      </c>
      <c r="D131" t="s">
        <v>11</v>
      </c>
      <c r="E131" s="1">
        <v>46009</v>
      </c>
      <c r="F131" s="1">
        <v>45768</v>
      </c>
      <c r="G131" t="s">
        <v>408</v>
      </c>
      <c r="H131" t="s">
        <v>24</v>
      </c>
      <c r="I131" t="s">
        <v>409</v>
      </c>
      <c r="J131" t="s">
        <v>36</v>
      </c>
    </row>
    <row r="132" spans="1:10" x14ac:dyDescent="0.2">
      <c r="A132">
        <v>1074</v>
      </c>
      <c r="B132" t="s">
        <v>410</v>
      </c>
      <c r="C132">
        <v>19</v>
      </c>
      <c r="D132" t="s">
        <v>16</v>
      </c>
      <c r="E132" s="2">
        <v>45771</v>
      </c>
      <c r="F132" s="2">
        <v>45573</v>
      </c>
      <c r="G132" t="s">
        <v>411</v>
      </c>
      <c r="H132" t="s">
        <v>24</v>
      </c>
      <c r="I132" t="s">
        <v>412</v>
      </c>
      <c r="J132">
        <v>0</v>
      </c>
    </row>
    <row r="133" spans="1:10" x14ac:dyDescent="0.2">
      <c r="A133">
        <v>1018</v>
      </c>
      <c r="B133" t="s">
        <v>413</v>
      </c>
      <c r="C133">
        <v>54</v>
      </c>
      <c r="D133" t="s">
        <v>16</v>
      </c>
      <c r="E133" s="2">
        <v>46106</v>
      </c>
      <c r="F133" s="1">
        <v>45540</v>
      </c>
      <c r="G133" t="s">
        <v>414</v>
      </c>
      <c r="H133" t="s">
        <v>28</v>
      </c>
      <c r="I133" t="s">
        <v>415</v>
      </c>
      <c r="J133">
        <v>1</v>
      </c>
    </row>
    <row r="134" spans="1:10" x14ac:dyDescent="0.2">
      <c r="A134">
        <v>1033</v>
      </c>
      <c r="B134" t="s">
        <v>416</v>
      </c>
      <c r="C134">
        <v>68</v>
      </c>
      <c r="D134" t="s">
        <v>51</v>
      </c>
      <c r="E134" s="2">
        <v>45958</v>
      </c>
      <c r="F134" s="1">
        <v>45581</v>
      </c>
      <c r="G134" t="s">
        <v>230</v>
      </c>
      <c r="H134" t="s">
        <v>28</v>
      </c>
      <c r="I134" t="s">
        <v>417</v>
      </c>
      <c r="J134" t="s">
        <v>36</v>
      </c>
    </row>
    <row r="135" spans="1:10" x14ac:dyDescent="0.2">
      <c r="A135">
        <v>1045</v>
      </c>
      <c r="B135" t="s">
        <v>418</v>
      </c>
      <c r="C135">
        <v>55</v>
      </c>
      <c r="D135" t="s">
        <v>38</v>
      </c>
      <c r="E135" s="2">
        <v>46024</v>
      </c>
      <c r="F135" s="1">
        <v>45393</v>
      </c>
      <c r="G135" t="s">
        <v>419</v>
      </c>
      <c r="H135" t="s">
        <v>28</v>
      </c>
      <c r="I135" t="s">
        <v>420</v>
      </c>
      <c r="J135" t="s">
        <v>36</v>
      </c>
    </row>
    <row r="136" spans="1:10" x14ac:dyDescent="0.2">
      <c r="A136">
        <v>1087</v>
      </c>
      <c r="B136" t="s">
        <v>421</v>
      </c>
      <c r="C136">
        <v>80</v>
      </c>
      <c r="D136">
        <v>1</v>
      </c>
      <c r="E136" s="1">
        <v>46029</v>
      </c>
      <c r="F136" s="1">
        <v>45438</v>
      </c>
      <c r="G136" t="s">
        <v>422</v>
      </c>
      <c r="H136" t="s">
        <v>24</v>
      </c>
      <c r="I136" t="s">
        <v>423</v>
      </c>
      <c r="J136" t="s">
        <v>30</v>
      </c>
    </row>
    <row r="137" spans="1:10" x14ac:dyDescent="0.2">
      <c r="A137">
        <v>1043</v>
      </c>
      <c r="B137" t="s">
        <v>424</v>
      </c>
      <c r="C137">
        <v>58</v>
      </c>
      <c r="D137">
        <v>1</v>
      </c>
      <c r="E137" s="2">
        <v>45967</v>
      </c>
      <c r="F137" s="1">
        <v>45792</v>
      </c>
      <c r="G137" t="s">
        <v>425</v>
      </c>
      <c r="H137" t="s">
        <v>13</v>
      </c>
      <c r="I137" t="s">
        <v>426</v>
      </c>
      <c r="J137">
        <v>0</v>
      </c>
    </row>
    <row r="138" spans="1:10" x14ac:dyDescent="0.2">
      <c r="A138">
        <v>1020</v>
      </c>
      <c r="B138" t="s">
        <v>427</v>
      </c>
      <c r="C138">
        <v>31</v>
      </c>
      <c r="D138">
        <v>1</v>
      </c>
      <c r="E138" s="1">
        <v>45929</v>
      </c>
      <c r="F138" s="1">
        <v>45600</v>
      </c>
      <c r="G138" t="s">
        <v>428</v>
      </c>
      <c r="H138" t="s">
        <v>24</v>
      </c>
      <c r="I138" t="s">
        <v>429</v>
      </c>
      <c r="J138" t="s">
        <v>20</v>
      </c>
    </row>
    <row r="139" spans="1:10" x14ac:dyDescent="0.2">
      <c r="A139">
        <v>1089</v>
      </c>
      <c r="B139" t="s">
        <v>430</v>
      </c>
      <c r="C139">
        <v>73</v>
      </c>
      <c r="D139" t="s">
        <v>16</v>
      </c>
      <c r="E139" s="1">
        <v>45778</v>
      </c>
      <c r="F139" s="2">
        <v>45498</v>
      </c>
      <c r="G139" t="s">
        <v>431</v>
      </c>
      <c r="H139" t="s">
        <v>13</v>
      </c>
      <c r="I139" t="s">
        <v>432</v>
      </c>
      <c r="J139" t="s">
        <v>60</v>
      </c>
    </row>
    <row r="140" spans="1:10" x14ac:dyDescent="0.2">
      <c r="A140">
        <v>1005</v>
      </c>
      <c r="B140" t="s">
        <v>433</v>
      </c>
      <c r="C140">
        <v>63</v>
      </c>
      <c r="D140">
        <v>1</v>
      </c>
      <c r="E140" s="2">
        <v>45921</v>
      </c>
      <c r="F140" s="1">
        <v>45601</v>
      </c>
      <c r="G140" t="s">
        <v>434</v>
      </c>
      <c r="H140" t="s">
        <v>13</v>
      </c>
      <c r="I140" t="s">
        <v>435</v>
      </c>
      <c r="J140" t="s">
        <v>20</v>
      </c>
    </row>
    <row r="141" spans="1:10" x14ac:dyDescent="0.2">
      <c r="A141">
        <v>1031</v>
      </c>
      <c r="B141" t="s">
        <v>436</v>
      </c>
      <c r="C141">
        <v>49</v>
      </c>
      <c r="D141" t="s">
        <v>11</v>
      </c>
      <c r="E141" s="1">
        <v>46024</v>
      </c>
      <c r="F141" s="2">
        <v>45990</v>
      </c>
      <c r="G141" t="s">
        <v>437</v>
      </c>
      <c r="H141" t="s">
        <v>24</v>
      </c>
      <c r="I141" t="s">
        <v>438</v>
      </c>
      <c r="J141" t="s">
        <v>60</v>
      </c>
    </row>
    <row r="142" spans="1:10" x14ac:dyDescent="0.2">
      <c r="A142">
        <v>1069</v>
      </c>
      <c r="B142" t="s">
        <v>439</v>
      </c>
      <c r="C142">
        <v>60</v>
      </c>
      <c r="D142">
        <v>1</v>
      </c>
      <c r="E142" s="2">
        <v>45903</v>
      </c>
      <c r="F142" s="1">
        <v>45870</v>
      </c>
      <c r="G142" t="s">
        <v>440</v>
      </c>
      <c r="H142" t="s">
        <v>28</v>
      </c>
      <c r="J142" t="s">
        <v>30</v>
      </c>
    </row>
    <row r="143" spans="1:10" x14ac:dyDescent="0.2">
      <c r="A143">
        <v>1093</v>
      </c>
      <c r="B143" t="s">
        <v>441</v>
      </c>
      <c r="C143">
        <v>77</v>
      </c>
      <c r="D143" t="s">
        <v>38</v>
      </c>
      <c r="E143" s="2">
        <v>46042</v>
      </c>
      <c r="F143" s="1">
        <v>45386</v>
      </c>
      <c r="G143" t="s">
        <v>442</v>
      </c>
      <c r="H143" t="s">
        <v>24</v>
      </c>
      <c r="I143" t="s">
        <v>443</v>
      </c>
      <c r="J143">
        <v>1</v>
      </c>
    </row>
    <row r="144" spans="1:10" x14ac:dyDescent="0.2">
      <c r="A144">
        <v>1073</v>
      </c>
      <c r="B144" t="s">
        <v>444</v>
      </c>
      <c r="C144">
        <v>29</v>
      </c>
      <c r="D144" t="s">
        <v>71</v>
      </c>
      <c r="E144" s="1">
        <v>45865</v>
      </c>
      <c r="F144" s="1">
        <v>45816</v>
      </c>
      <c r="G144" t="s">
        <v>445</v>
      </c>
      <c r="H144" t="s">
        <v>28</v>
      </c>
      <c r="I144" t="s">
        <v>446</v>
      </c>
      <c r="J144" t="s">
        <v>20</v>
      </c>
    </row>
    <row r="145" spans="1:10" x14ac:dyDescent="0.2">
      <c r="A145">
        <v>1040</v>
      </c>
      <c r="B145" t="s">
        <v>447</v>
      </c>
      <c r="C145">
        <v>52</v>
      </c>
      <c r="D145" t="s">
        <v>71</v>
      </c>
      <c r="E145" s="2">
        <v>45795</v>
      </c>
      <c r="F145" s="1">
        <v>45703</v>
      </c>
      <c r="G145" t="s">
        <v>448</v>
      </c>
      <c r="H145" t="s">
        <v>13</v>
      </c>
      <c r="I145" t="s">
        <v>449</v>
      </c>
      <c r="J145" t="s">
        <v>60</v>
      </c>
    </row>
    <row r="146" spans="1:10" x14ac:dyDescent="0.2">
      <c r="A146">
        <v>1066</v>
      </c>
      <c r="B146" t="s">
        <v>450</v>
      </c>
      <c r="C146">
        <v>54</v>
      </c>
      <c r="D146" t="s">
        <v>71</v>
      </c>
      <c r="E146" s="2">
        <v>45881</v>
      </c>
      <c r="F146" s="2">
        <v>45863</v>
      </c>
      <c r="G146" t="s">
        <v>451</v>
      </c>
      <c r="H146" t="s">
        <v>28</v>
      </c>
      <c r="I146" t="s">
        <v>452</v>
      </c>
      <c r="J146">
        <v>1</v>
      </c>
    </row>
    <row r="147" spans="1:10" x14ac:dyDescent="0.2">
      <c r="A147">
        <v>1047</v>
      </c>
      <c r="B147" t="s">
        <v>453</v>
      </c>
      <c r="C147">
        <v>67</v>
      </c>
      <c r="D147">
        <v>0</v>
      </c>
      <c r="E147" s="2">
        <v>46063</v>
      </c>
      <c r="F147" s="1">
        <v>45464</v>
      </c>
      <c r="G147" t="s">
        <v>454</v>
      </c>
      <c r="H147" t="s">
        <v>18</v>
      </c>
      <c r="J147" t="s">
        <v>60</v>
      </c>
    </row>
    <row r="148" spans="1:10" x14ac:dyDescent="0.2">
      <c r="A148">
        <v>1021</v>
      </c>
      <c r="B148" t="s">
        <v>455</v>
      </c>
      <c r="C148">
        <v>38</v>
      </c>
      <c r="D148" t="s">
        <v>38</v>
      </c>
      <c r="E148" s="2">
        <v>45962</v>
      </c>
      <c r="F148" s="2">
        <v>45437</v>
      </c>
      <c r="G148" t="s">
        <v>456</v>
      </c>
      <c r="H148" t="s">
        <v>24</v>
      </c>
      <c r="I148" t="s">
        <v>457</v>
      </c>
      <c r="J148" t="s">
        <v>36</v>
      </c>
    </row>
    <row r="149" spans="1:10" x14ac:dyDescent="0.2">
      <c r="A149">
        <v>1072</v>
      </c>
      <c r="B149" t="s">
        <v>458</v>
      </c>
      <c r="C149">
        <v>37</v>
      </c>
      <c r="D149" t="s">
        <v>51</v>
      </c>
      <c r="E149" s="2">
        <v>45883</v>
      </c>
      <c r="F149" s="2">
        <v>45880</v>
      </c>
      <c r="G149" t="s">
        <v>459</v>
      </c>
      <c r="H149" t="s">
        <v>13</v>
      </c>
      <c r="I149" t="s">
        <v>460</v>
      </c>
      <c r="J149">
        <v>0</v>
      </c>
    </row>
    <row r="150" spans="1:10" x14ac:dyDescent="0.2">
      <c r="A150">
        <v>1011</v>
      </c>
      <c r="B150" t="s">
        <v>461</v>
      </c>
      <c r="C150">
        <v>66</v>
      </c>
      <c r="D150" t="s">
        <v>71</v>
      </c>
      <c r="E150" s="2">
        <v>45776</v>
      </c>
      <c r="F150" s="2">
        <v>45754</v>
      </c>
      <c r="G150" t="s">
        <v>462</v>
      </c>
      <c r="H150" t="s">
        <v>28</v>
      </c>
      <c r="I150" t="s">
        <v>463</v>
      </c>
      <c r="J150">
        <v>1</v>
      </c>
    </row>
    <row r="151" spans="1:10" x14ac:dyDescent="0.2">
      <c r="A151">
        <v>1097</v>
      </c>
      <c r="B151" t="s">
        <v>464</v>
      </c>
      <c r="C151">
        <v>48</v>
      </c>
      <c r="D151">
        <v>0</v>
      </c>
      <c r="E151" s="1">
        <v>45914</v>
      </c>
      <c r="F151" s="1">
        <v>45624</v>
      </c>
      <c r="G151" t="s">
        <v>465</v>
      </c>
      <c r="H151" t="s">
        <v>13</v>
      </c>
      <c r="I151" t="s">
        <v>466</v>
      </c>
      <c r="J151" t="s">
        <v>60</v>
      </c>
    </row>
    <row r="152" spans="1:10" x14ac:dyDescent="0.2">
      <c r="A152">
        <v>1028</v>
      </c>
      <c r="B152" t="s">
        <v>467</v>
      </c>
      <c r="C152">
        <v>56</v>
      </c>
      <c r="D152" t="s">
        <v>51</v>
      </c>
      <c r="E152" s="1">
        <v>45960</v>
      </c>
      <c r="F152" s="1">
        <v>45430</v>
      </c>
      <c r="G152" t="s">
        <v>468</v>
      </c>
      <c r="H152" t="s">
        <v>18</v>
      </c>
      <c r="I152" t="s">
        <v>469</v>
      </c>
      <c r="J152" t="s">
        <v>60</v>
      </c>
    </row>
    <row r="153" spans="1:10" x14ac:dyDescent="0.2">
      <c r="A153">
        <v>1057</v>
      </c>
      <c r="B153" t="s">
        <v>470</v>
      </c>
      <c r="C153">
        <v>32</v>
      </c>
      <c r="D153" t="s">
        <v>71</v>
      </c>
      <c r="E153" s="2">
        <v>45746</v>
      </c>
      <c r="F153" s="1">
        <v>45415</v>
      </c>
      <c r="G153" t="s">
        <v>471</v>
      </c>
      <c r="H153" t="s">
        <v>28</v>
      </c>
      <c r="I153" t="s">
        <v>472</v>
      </c>
      <c r="J153">
        <v>1</v>
      </c>
    </row>
    <row r="154" spans="1:10" x14ac:dyDescent="0.2">
      <c r="A154">
        <v>1002</v>
      </c>
      <c r="B154" t="s">
        <v>473</v>
      </c>
      <c r="C154">
        <v>87</v>
      </c>
      <c r="D154" t="s">
        <v>22</v>
      </c>
      <c r="E154" s="2">
        <v>45755</v>
      </c>
      <c r="F154" s="2">
        <v>45630</v>
      </c>
      <c r="G154" t="s">
        <v>474</v>
      </c>
      <c r="H154" t="s">
        <v>13</v>
      </c>
      <c r="I154" t="s">
        <v>475</v>
      </c>
      <c r="J154" t="s">
        <v>36</v>
      </c>
    </row>
    <row r="155" spans="1:10" x14ac:dyDescent="0.2">
      <c r="A155">
        <v>1065</v>
      </c>
      <c r="B155" t="s">
        <v>476</v>
      </c>
      <c r="C155">
        <v>18</v>
      </c>
      <c r="D155">
        <v>0</v>
      </c>
      <c r="E155" s="1">
        <v>45955</v>
      </c>
      <c r="F155" s="1">
        <v>45538</v>
      </c>
      <c r="G155" t="s">
        <v>477</v>
      </c>
      <c r="H155" t="s">
        <v>24</v>
      </c>
      <c r="I155" t="s">
        <v>478</v>
      </c>
      <c r="J155">
        <v>0</v>
      </c>
    </row>
    <row r="156" spans="1:10" x14ac:dyDescent="0.2">
      <c r="A156">
        <v>1026</v>
      </c>
      <c r="B156" t="s">
        <v>479</v>
      </c>
      <c r="C156">
        <v>87</v>
      </c>
      <c r="D156">
        <v>1</v>
      </c>
      <c r="E156" s="1">
        <v>46056</v>
      </c>
      <c r="F156" s="1">
        <v>45850</v>
      </c>
      <c r="G156" t="s">
        <v>480</v>
      </c>
      <c r="H156" t="s">
        <v>24</v>
      </c>
      <c r="I156" t="s">
        <v>481</v>
      </c>
      <c r="J156" t="s">
        <v>20</v>
      </c>
    </row>
    <row r="157" spans="1:10" x14ac:dyDescent="0.2">
      <c r="A157">
        <v>1100</v>
      </c>
      <c r="B157" t="s">
        <v>482</v>
      </c>
      <c r="C157">
        <v>62</v>
      </c>
      <c r="D157">
        <v>0</v>
      </c>
      <c r="E157" s="2">
        <v>45750</v>
      </c>
      <c r="F157" s="1">
        <v>45734</v>
      </c>
      <c r="G157" t="s">
        <v>483</v>
      </c>
      <c r="H157" t="s">
        <v>18</v>
      </c>
      <c r="I157" t="s">
        <v>484</v>
      </c>
      <c r="J157" t="s">
        <v>20</v>
      </c>
    </row>
    <row r="158" spans="1:10" x14ac:dyDescent="0.2">
      <c r="A158">
        <v>1066</v>
      </c>
      <c r="B158" t="s">
        <v>485</v>
      </c>
      <c r="C158">
        <v>86</v>
      </c>
      <c r="D158" t="s">
        <v>16</v>
      </c>
      <c r="E158" s="2">
        <v>46071</v>
      </c>
      <c r="F158" s="1">
        <v>45577</v>
      </c>
      <c r="G158" t="s">
        <v>486</v>
      </c>
      <c r="H158" t="s">
        <v>13</v>
      </c>
      <c r="I158" t="s">
        <v>487</v>
      </c>
      <c r="J158">
        <v>1</v>
      </c>
    </row>
    <row r="159" spans="1:10" x14ac:dyDescent="0.2">
      <c r="A159">
        <v>1025</v>
      </c>
      <c r="B159" t="s">
        <v>488</v>
      </c>
      <c r="C159">
        <v>25</v>
      </c>
      <c r="D159" t="s">
        <v>51</v>
      </c>
      <c r="E159" s="2">
        <v>45938</v>
      </c>
      <c r="F159" s="2">
        <v>45740</v>
      </c>
      <c r="G159" t="s">
        <v>489</v>
      </c>
      <c r="H159" t="s">
        <v>18</v>
      </c>
      <c r="I159" t="s">
        <v>490</v>
      </c>
      <c r="J159">
        <v>0</v>
      </c>
    </row>
    <row r="160" spans="1:10" x14ac:dyDescent="0.2">
      <c r="A160">
        <v>1038</v>
      </c>
      <c r="B160" t="s">
        <v>491</v>
      </c>
      <c r="C160">
        <v>46</v>
      </c>
      <c r="D160" t="s">
        <v>38</v>
      </c>
      <c r="E160" s="2">
        <v>45904</v>
      </c>
      <c r="F160" s="2">
        <v>45785</v>
      </c>
      <c r="G160" t="s">
        <v>492</v>
      </c>
      <c r="H160" t="s">
        <v>18</v>
      </c>
      <c r="I160" t="s">
        <v>493</v>
      </c>
      <c r="J160">
        <v>1</v>
      </c>
    </row>
    <row r="161" spans="1:10" x14ac:dyDescent="0.2">
      <c r="A161">
        <v>1038</v>
      </c>
      <c r="B161" t="s">
        <v>494</v>
      </c>
      <c r="C161">
        <v>39</v>
      </c>
      <c r="D161" t="s">
        <v>51</v>
      </c>
      <c r="E161" s="2">
        <v>45953</v>
      </c>
      <c r="F161" s="1">
        <v>45856</v>
      </c>
      <c r="G161" t="s">
        <v>495</v>
      </c>
      <c r="H161" t="s">
        <v>18</v>
      </c>
      <c r="J161">
        <v>0</v>
      </c>
    </row>
    <row r="162" spans="1:10" x14ac:dyDescent="0.2">
      <c r="A162">
        <v>1000</v>
      </c>
      <c r="B162" t="s">
        <v>496</v>
      </c>
      <c r="C162">
        <v>81</v>
      </c>
      <c r="D162" t="s">
        <v>16</v>
      </c>
      <c r="E162" s="2">
        <v>45956</v>
      </c>
      <c r="F162" s="1">
        <v>45707</v>
      </c>
      <c r="G162" t="s">
        <v>497</v>
      </c>
      <c r="H162" t="s">
        <v>28</v>
      </c>
      <c r="I162" t="s">
        <v>498</v>
      </c>
      <c r="J162">
        <v>1</v>
      </c>
    </row>
    <row r="163" spans="1:10" x14ac:dyDescent="0.2">
      <c r="A163">
        <v>1008</v>
      </c>
      <c r="B163" t="s">
        <v>499</v>
      </c>
      <c r="C163">
        <v>69</v>
      </c>
      <c r="D163">
        <v>0</v>
      </c>
      <c r="E163" s="1">
        <v>45785</v>
      </c>
      <c r="F163" s="1">
        <v>45681</v>
      </c>
      <c r="G163" t="s">
        <v>500</v>
      </c>
      <c r="H163" t="s">
        <v>24</v>
      </c>
      <c r="I163" t="s">
        <v>501</v>
      </c>
      <c r="J163" t="s">
        <v>36</v>
      </c>
    </row>
    <row r="164" spans="1:10" x14ac:dyDescent="0.2">
      <c r="A164">
        <v>1078</v>
      </c>
      <c r="B164" t="s">
        <v>502</v>
      </c>
      <c r="C164">
        <v>54</v>
      </c>
      <c r="D164">
        <v>0</v>
      </c>
      <c r="E164" s="2">
        <v>45867</v>
      </c>
      <c r="F164" s="1">
        <v>45449</v>
      </c>
      <c r="G164" t="s">
        <v>503</v>
      </c>
      <c r="H164" t="s">
        <v>24</v>
      </c>
      <c r="I164" t="s">
        <v>504</v>
      </c>
      <c r="J164" t="s">
        <v>30</v>
      </c>
    </row>
    <row r="165" spans="1:10" x14ac:dyDescent="0.2">
      <c r="A165">
        <v>1038</v>
      </c>
      <c r="B165" t="s">
        <v>505</v>
      </c>
      <c r="C165">
        <v>79</v>
      </c>
      <c r="D165" t="s">
        <v>16</v>
      </c>
      <c r="E165" s="1">
        <v>45790</v>
      </c>
      <c r="F165" s="2">
        <v>45537</v>
      </c>
      <c r="G165" t="s">
        <v>506</v>
      </c>
      <c r="H165" t="s">
        <v>18</v>
      </c>
      <c r="I165" t="s">
        <v>507</v>
      </c>
      <c r="J165" t="s">
        <v>30</v>
      </c>
    </row>
    <row r="166" spans="1:10" x14ac:dyDescent="0.2">
      <c r="A166">
        <v>1082</v>
      </c>
      <c r="B166" t="s">
        <v>508</v>
      </c>
      <c r="C166">
        <v>87</v>
      </c>
      <c r="E166" s="2">
        <v>45742</v>
      </c>
      <c r="F166" s="2">
        <v>45377</v>
      </c>
      <c r="G166" t="s">
        <v>509</v>
      </c>
      <c r="H166" t="s">
        <v>18</v>
      </c>
      <c r="I166" t="s">
        <v>510</v>
      </c>
      <c r="J166" t="s">
        <v>36</v>
      </c>
    </row>
    <row r="167" spans="1:10" x14ac:dyDescent="0.2">
      <c r="A167">
        <v>1028</v>
      </c>
      <c r="B167" t="s">
        <v>511</v>
      </c>
      <c r="C167">
        <v>24</v>
      </c>
      <c r="D167" t="s">
        <v>51</v>
      </c>
      <c r="E167" s="1">
        <v>46010</v>
      </c>
      <c r="F167" s="1">
        <v>45839</v>
      </c>
      <c r="G167" t="s">
        <v>512</v>
      </c>
      <c r="H167" t="s">
        <v>28</v>
      </c>
      <c r="I167" t="s">
        <v>513</v>
      </c>
      <c r="J167" t="s">
        <v>36</v>
      </c>
    </row>
    <row r="168" spans="1:10" x14ac:dyDescent="0.2">
      <c r="A168">
        <v>1048</v>
      </c>
      <c r="B168" t="s">
        <v>514</v>
      </c>
      <c r="C168">
        <v>77</v>
      </c>
      <c r="D168" t="s">
        <v>11</v>
      </c>
      <c r="E168" s="2">
        <v>45951</v>
      </c>
      <c r="F168" s="2">
        <v>45491</v>
      </c>
      <c r="G168" t="s">
        <v>515</v>
      </c>
      <c r="H168" t="s">
        <v>28</v>
      </c>
      <c r="I168" t="s">
        <v>516</v>
      </c>
      <c r="J168" t="s">
        <v>60</v>
      </c>
    </row>
    <row r="169" spans="1:10" x14ac:dyDescent="0.2">
      <c r="A169">
        <v>1035</v>
      </c>
      <c r="B169" t="s">
        <v>517</v>
      </c>
      <c r="C169">
        <v>60</v>
      </c>
      <c r="D169">
        <v>1</v>
      </c>
      <c r="E169" s="2">
        <v>45974</v>
      </c>
      <c r="F169" s="2">
        <v>45831</v>
      </c>
      <c r="G169" t="s">
        <v>518</v>
      </c>
      <c r="H169" t="s">
        <v>13</v>
      </c>
      <c r="I169" t="s">
        <v>519</v>
      </c>
      <c r="J169" t="s">
        <v>60</v>
      </c>
    </row>
    <row r="170" spans="1:10" x14ac:dyDescent="0.2">
      <c r="A170">
        <v>1010</v>
      </c>
      <c r="B170" t="s">
        <v>520</v>
      </c>
      <c r="C170">
        <v>57</v>
      </c>
      <c r="D170" t="s">
        <v>71</v>
      </c>
      <c r="E170" s="2">
        <v>45802</v>
      </c>
      <c r="F170" s="2">
        <v>45744</v>
      </c>
      <c r="G170" t="s">
        <v>521</v>
      </c>
      <c r="H170" t="s">
        <v>28</v>
      </c>
      <c r="I170" t="s">
        <v>522</v>
      </c>
      <c r="J170" t="s">
        <v>20</v>
      </c>
    </row>
    <row r="171" spans="1:10" x14ac:dyDescent="0.2">
      <c r="A171">
        <v>1043</v>
      </c>
      <c r="B171" t="s">
        <v>523</v>
      </c>
      <c r="C171">
        <v>69</v>
      </c>
      <c r="D171" t="s">
        <v>51</v>
      </c>
      <c r="E171" s="1">
        <v>45783</v>
      </c>
      <c r="F171" s="2">
        <v>45563</v>
      </c>
      <c r="G171" t="s">
        <v>524</v>
      </c>
      <c r="H171" t="s">
        <v>13</v>
      </c>
      <c r="I171" t="s">
        <v>525</v>
      </c>
      <c r="J171" t="s">
        <v>36</v>
      </c>
    </row>
    <row r="172" spans="1:10" x14ac:dyDescent="0.2">
      <c r="A172">
        <v>1083</v>
      </c>
      <c r="B172" t="s">
        <v>526</v>
      </c>
      <c r="C172">
        <v>58</v>
      </c>
      <c r="D172" t="s">
        <v>22</v>
      </c>
      <c r="E172" s="2">
        <v>46039</v>
      </c>
      <c r="F172" s="2">
        <v>45859</v>
      </c>
      <c r="G172" t="s">
        <v>527</v>
      </c>
      <c r="H172" t="s">
        <v>13</v>
      </c>
      <c r="I172" t="s">
        <v>528</v>
      </c>
      <c r="J172" t="s">
        <v>60</v>
      </c>
    </row>
    <row r="173" spans="1:10" x14ac:dyDescent="0.2">
      <c r="A173">
        <v>1026</v>
      </c>
      <c r="B173" t="s">
        <v>529</v>
      </c>
      <c r="C173">
        <v>86</v>
      </c>
      <c r="D173" t="s">
        <v>16</v>
      </c>
      <c r="E173" s="2">
        <v>46008</v>
      </c>
      <c r="F173" s="2">
        <v>45919</v>
      </c>
      <c r="G173" t="s">
        <v>530</v>
      </c>
      <c r="H173" t="s">
        <v>18</v>
      </c>
      <c r="I173" t="s">
        <v>531</v>
      </c>
      <c r="J173">
        <v>0</v>
      </c>
    </row>
    <row r="174" spans="1:10" x14ac:dyDescent="0.2">
      <c r="A174">
        <v>1046</v>
      </c>
      <c r="B174" t="s">
        <v>532</v>
      </c>
      <c r="C174">
        <v>50</v>
      </c>
      <c r="D174" t="s">
        <v>16</v>
      </c>
      <c r="E174" s="1">
        <v>45994</v>
      </c>
      <c r="F174" s="2">
        <v>45506</v>
      </c>
      <c r="G174" t="s">
        <v>533</v>
      </c>
      <c r="H174" t="s">
        <v>18</v>
      </c>
      <c r="I174" t="s">
        <v>534</v>
      </c>
      <c r="J174" t="s">
        <v>36</v>
      </c>
    </row>
    <row r="175" spans="1:10" x14ac:dyDescent="0.2">
      <c r="A175">
        <v>1084</v>
      </c>
      <c r="B175" t="s">
        <v>535</v>
      </c>
      <c r="C175">
        <v>52</v>
      </c>
      <c r="E175" s="2">
        <v>46019</v>
      </c>
      <c r="F175" s="2">
        <v>45712</v>
      </c>
      <c r="G175" t="s">
        <v>536</v>
      </c>
      <c r="H175" t="s">
        <v>28</v>
      </c>
      <c r="I175" t="s">
        <v>537</v>
      </c>
      <c r="J175" t="s">
        <v>36</v>
      </c>
    </row>
    <row r="176" spans="1:10" x14ac:dyDescent="0.2">
      <c r="A176">
        <v>1006</v>
      </c>
      <c r="B176" t="s">
        <v>538</v>
      </c>
      <c r="C176">
        <v>54</v>
      </c>
      <c r="D176" t="s">
        <v>11</v>
      </c>
      <c r="E176" s="1">
        <v>46049</v>
      </c>
      <c r="F176" s="1">
        <v>45536</v>
      </c>
      <c r="G176" t="s">
        <v>539</v>
      </c>
      <c r="H176" t="s">
        <v>18</v>
      </c>
      <c r="I176" t="s">
        <v>540</v>
      </c>
      <c r="J176" t="s">
        <v>30</v>
      </c>
    </row>
    <row r="177" spans="1:10" x14ac:dyDescent="0.2">
      <c r="A177">
        <v>1015</v>
      </c>
      <c r="B177" t="s">
        <v>541</v>
      </c>
      <c r="C177">
        <v>43</v>
      </c>
      <c r="D177">
        <v>0</v>
      </c>
      <c r="E177" s="1">
        <v>45987</v>
      </c>
      <c r="F177" s="1">
        <v>45894</v>
      </c>
      <c r="G177" t="s">
        <v>542</v>
      </c>
      <c r="H177" t="s">
        <v>24</v>
      </c>
      <c r="I177" t="s">
        <v>543</v>
      </c>
      <c r="J177" t="s">
        <v>20</v>
      </c>
    </row>
    <row r="178" spans="1:10" x14ac:dyDescent="0.2">
      <c r="A178">
        <v>1091</v>
      </c>
      <c r="B178" t="s">
        <v>544</v>
      </c>
      <c r="C178">
        <v>80</v>
      </c>
      <c r="D178" t="s">
        <v>71</v>
      </c>
      <c r="E178" s="1">
        <v>45913</v>
      </c>
      <c r="F178" s="2">
        <v>45845</v>
      </c>
      <c r="G178" t="s">
        <v>545</v>
      </c>
      <c r="H178" t="s">
        <v>13</v>
      </c>
      <c r="J178" t="s">
        <v>20</v>
      </c>
    </row>
    <row r="179" spans="1:10" x14ac:dyDescent="0.2">
      <c r="A179">
        <v>1024</v>
      </c>
      <c r="B179" t="s">
        <v>546</v>
      </c>
      <c r="C179">
        <v>34</v>
      </c>
      <c r="D179" t="s">
        <v>22</v>
      </c>
      <c r="E179" s="1">
        <v>46064</v>
      </c>
      <c r="F179" s="1">
        <v>45650</v>
      </c>
      <c r="G179" t="s">
        <v>547</v>
      </c>
      <c r="H179" t="s">
        <v>18</v>
      </c>
      <c r="I179" t="s">
        <v>548</v>
      </c>
      <c r="J179">
        <v>1</v>
      </c>
    </row>
    <row r="180" spans="1:10" x14ac:dyDescent="0.2">
      <c r="A180">
        <v>1033</v>
      </c>
      <c r="B180" t="s">
        <v>549</v>
      </c>
      <c r="C180">
        <v>87</v>
      </c>
      <c r="D180" t="s">
        <v>11</v>
      </c>
      <c r="E180" s="1">
        <v>45753</v>
      </c>
      <c r="F180" s="1">
        <v>45506</v>
      </c>
      <c r="G180" t="s">
        <v>550</v>
      </c>
      <c r="H180" t="s">
        <v>18</v>
      </c>
      <c r="I180" t="s">
        <v>551</v>
      </c>
      <c r="J180" t="s">
        <v>60</v>
      </c>
    </row>
    <row r="181" spans="1:10" x14ac:dyDescent="0.2">
      <c r="A181">
        <v>1010</v>
      </c>
      <c r="B181" t="s">
        <v>552</v>
      </c>
      <c r="C181">
        <v>21</v>
      </c>
      <c r="D181" t="s">
        <v>16</v>
      </c>
      <c r="E181" s="1">
        <v>46065</v>
      </c>
      <c r="F181" s="1">
        <v>45695</v>
      </c>
      <c r="G181" t="s">
        <v>553</v>
      </c>
      <c r="H181" t="s">
        <v>24</v>
      </c>
      <c r="I181" t="s">
        <v>554</v>
      </c>
      <c r="J181" t="s">
        <v>20</v>
      </c>
    </row>
    <row r="182" spans="1:10" x14ac:dyDescent="0.2">
      <c r="A182">
        <v>1082</v>
      </c>
      <c r="B182" t="s">
        <v>555</v>
      </c>
      <c r="C182">
        <v>37</v>
      </c>
      <c r="D182" t="s">
        <v>22</v>
      </c>
      <c r="E182" s="2">
        <v>45978</v>
      </c>
      <c r="F182" s="1">
        <v>45664</v>
      </c>
      <c r="G182" t="s">
        <v>556</v>
      </c>
      <c r="H182" t="s">
        <v>18</v>
      </c>
      <c r="I182" t="s">
        <v>557</v>
      </c>
      <c r="J182">
        <v>0</v>
      </c>
    </row>
    <row r="183" spans="1:10" x14ac:dyDescent="0.2">
      <c r="A183">
        <v>1096</v>
      </c>
      <c r="B183" t="s">
        <v>558</v>
      </c>
      <c r="C183">
        <v>42</v>
      </c>
      <c r="D183" t="s">
        <v>51</v>
      </c>
      <c r="E183" s="1">
        <v>45881</v>
      </c>
      <c r="F183" s="1">
        <v>45543</v>
      </c>
      <c r="G183" t="s">
        <v>559</v>
      </c>
      <c r="H183" t="s">
        <v>24</v>
      </c>
      <c r="I183" t="s">
        <v>560</v>
      </c>
      <c r="J183" t="s">
        <v>30</v>
      </c>
    </row>
    <row r="184" spans="1:10" x14ac:dyDescent="0.2">
      <c r="A184">
        <v>1011</v>
      </c>
      <c r="B184" t="s">
        <v>561</v>
      </c>
      <c r="C184">
        <v>53</v>
      </c>
      <c r="D184">
        <v>1</v>
      </c>
      <c r="E184" s="2">
        <v>45956</v>
      </c>
      <c r="F184" s="1">
        <v>45914</v>
      </c>
      <c r="G184" t="s">
        <v>562</v>
      </c>
      <c r="H184" t="s">
        <v>24</v>
      </c>
      <c r="I184" t="s">
        <v>563</v>
      </c>
      <c r="J184">
        <v>0</v>
      </c>
    </row>
    <row r="185" spans="1:10" x14ac:dyDescent="0.2">
      <c r="A185">
        <v>1002</v>
      </c>
      <c r="B185" t="s">
        <v>564</v>
      </c>
      <c r="C185">
        <v>35</v>
      </c>
      <c r="D185">
        <v>1</v>
      </c>
      <c r="E185" s="1">
        <v>45925</v>
      </c>
      <c r="F185" s="2">
        <v>45436</v>
      </c>
      <c r="G185" t="s">
        <v>565</v>
      </c>
      <c r="H185" t="s">
        <v>24</v>
      </c>
      <c r="I185" t="s">
        <v>566</v>
      </c>
      <c r="J185" t="s">
        <v>20</v>
      </c>
    </row>
    <row r="186" spans="1:10" x14ac:dyDescent="0.2">
      <c r="A186">
        <v>1016</v>
      </c>
      <c r="B186" t="s">
        <v>567</v>
      </c>
      <c r="C186">
        <v>44</v>
      </c>
      <c r="D186" t="s">
        <v>51</v>
      </c>
      <c r="E186" s="2">
        <v>45830</v>
      </c>
      <c r="F186" s="1">
        <v>45461</v>
      </c>
      <c r="G186" t="s">
        <v>568</v>
      </c>
      <c r="H186" t="s">
        <v>18</v>
      </c>
      <c r="I186" t="s">
        <v>569</v>
      </c>
      <c r="J186">
        <v>1</v>
      </c>
    </row>
    <row r="187" spans="1:10" x14ac:dyDescent="0.2">
      <c r="A187">
        <v>1077</v>
      </c>
      <c r="B187" t="s">
        <v>570</v>
      </c>
      <c r="C187">
        <v>83</v>
      </c>
      <c r="D187" t="s">
        <v>71</v>
      </c>
      <c r="E187" s="1">
        <v>45790</v>
      </c>
      <c r="F187" s="2">
        <v>45716</v>
      </c>
      <c r="G187" t="s">
        <v>133</v>
      </c>
      <c r="H187" t="s">
        <v>28</v>
      </c>
      <c r="I187" t="s">
        <v>571</v>
      </c>
      <c r="J187" t="s">
        <v>36</v>
      </c>
    </row>
    <row r="188" spans="1:10" x14ac:dyDescent="0.2">
      <c r="A188">
        <v>1026</v>
      </c>
      <c r="B188" t="s">
        <v>572</v>
      </c>
      <c r="C188">
        <v>25</v>
      </c>
      <c r="D188" t="s">
        <v>11</v>
      </c>
      <c r="E188" s="2">
        <v>45845</v>
      </c>
      <c r="F188" s="2">
        <v>45449</v>
      </c>
      <c r="G188" t="s">
        <v>573</v>
      </c>
      <c r="H188" t="s">
        <v>28</v>
      </c>
      <c r="I188" t="s">
        <v>574</v>
      </c>
      <c r="J188" t="s">
        <v>20</v>
      </c>
    </row>
    <row r="189" spans="1:10" x14ac:dyDescent="0.2">
      <c r="A189">
        <v>1052</v>
      </c>
      <c r="B189" t="s">
        <v>575</v>
      </c>
      <c r="C189">
        <v>59</v>
      </c>
      <c r="D189">
        <v>0</v>
      </c>
      <c r="E189" s="1">
        <v>46095</v>
      </c>
      <c r="F189" s="2">
        <v>45683</v>
      </c>
      <c r="G189" t="s">
        <v>576</v>
      </c>
      <c r="H189" t="s">
        <v>18</v>
      </c>
      <c r="I189" t="s">
        <v>577</v>
      </c>
      <c r="J189" t="s">
        <v>60</v>
      </c>
    </row>
    <row r="190" spans="1:10" x14ac:dyDescent="0.2">
      <c r="A190">
        <v>1040</v>
      </c>
      <c r="B190" t="s">
        <v>578</v>
      </c>
      <c r="C190">
        <v>33</v>
      </c>
      <c r="D190" t="s">
        <v>38</v>
      </c>
      <c r="E190" s="2">
        <v>46041</v>
      </c>
      <c r="F190" s="1">
        <v>45381</v>
      </c>
      <c r="G190" t="s">
        <v>579</v>
      </c>
      <c r="H190" t="s">
        <v>28</v>
      </c>
      <c r="I190" t="s">
        <v>580</v>
      </c>
      <c r="J190">
        <v>1</v>
      </c>
    </row>
    <row r="191" spans="1:10" x14ac:dyDescent="0.2">
      <c r="A191">
        <v>1068</v>
      </c>
      <c r="B191" t="s">
        <v>581</v>
      </c>
      <c r="C191">
        <v>29</v>
      </c>
      <c r="D191" t="s">
        <v>51</v>
      </c>
      <c r="E191" s="2">
        <v>45804</v>
      </c>
      <c r="F191" s="2">
        <v>45588</v>
      </c>
      <c r="G191" t="s">
        <v>582</v>
      </c>
      <c r="H191" t="s">
        <v>28</v>
      </c>
      <c r="I191" t="s">
        <v>583</v>
      </c>
      <c r="J191" t="s">
        <v>36</v>
      </c>
    </row>
    <row r="192" spans="1:10" x14ac:dyDescent="0.2">
      <c r="A192">
        <v>1013</v>
      </c>
      <c r="B192" t="s">
        <v>584</v>
      </c>
      <c r="C192">
        <v>25</v>
      </c>
      <c r="D192" t="s">
        <v>22</v>
      </c>
      <c r="E192" s="2">
        <v>45962</v>
      </c>
      <c r="F192" s="1">
        <v>45502</v>
      </c>
      <c r="G192" t="s">
        <v>585</v>
      </c>
      <c r="H192" t="s">
        <v>18</v>
      </c>
      <c r="I192" t="s">
        <v>586</v>
      </c>
      <c r="J192" t="s">
        <v>30</v>
      </c>
    </row>
    <row r="193" spans="1:10" x14ac:dyDescent="0.2">
      <c r="A193">
        <v>1024</v>
      </c>
      <c r="B193" t="s">
        <v>587</v>
      </c>
      <c r="C193">
        <v>33</v>
      </c>
      <c r="D193">
        <v>0</v>
      </c>
      <c r="E193" s="2">
        <v>46075</v>
      </c>
      <c r="F193" s="2">
        <v>45919</v>
      </c>
      <c r="G193" t="s">
        <v>588</v>
      </c>
      <c r="H193" t="s">
        <v>18</v>
      </c>
      <c r="I193" t="s">
        <v>589</v>
      </c>
      <c r="J193" t="s">
        <v>20</v>
      </c>
    </row>
    <row r="194" spans="1:10" x14ac:dyDescent="0.2">
      <c r="A194">
        <v>1033</v>
      </c>
      <c r="B194" t="s">
        <v>590</v>
      </c>
      <c r="C194">
        <v>56</v>
      </c>
      <c r="D194">
        <v>0</v>
      </c>
      <c r="E194" s="1">
        <v>45968</v>
      </c>
      <c r="F194" s="2">
        <v>45632</v>
      </c>
      <c r="G194" t="s">
        <v>591</v>
      </c>
      <c r="H194" t="s">
        <v>18</v>
      </c>
      <c r="I194" t="s">
        <v>592</v>
      </c>
      <c r="J194" t="s">
        <v>36</v>
      </c>
    </row>
    <row r="195" spans="1:10" x14ac:dyDescent="0.2">
      <c r="A195">
        <v>1067</v>
      </c>
      <c r="B195" t="s">
        <v>593</v>
      </c>
      <c r="C195">
        <v>85</v>
      </c>
      <c r="D195" t="s">
        <v>71</v>
      </c>
      <c r="E195" s="2">
        <v>45955</v>
      </c>
      <c r="F195" s="1">
        <v>45709</v>
      </c>
      <c r="G195" t="s">
        <v>594</v>
      </c>
      <c r="H195" t="s">
        <v>18</v>
      </c>
      <c r="I195" t="s">
        <v>595</v>
      </c>
      <c r="J195" t="s">
        <v>20</v>
      </c>
    </row>
    <row r="196" spans="1:10" x14ac:dyDescent="0.2">
      <c r="A196">
        <v>1045</v>
      </c>
      <c r="B196" t="s">
        <v>596</v>
      </c>
      <c r="C196">
        <v>24</v>
      </c>
      <c r="D196" t="s">
        <v>38</v>
      </c>
      <c r="E196" s="2">
        <v>45807</v>
      </c>
      <c r="F196" s="1">
        <v>45736</v>
      </c>
      <c r="G196" t="s">
        <v>597</v>
      </c>
      <c r="H196" t="s">
        <v>24</v>
      </c>
      <c r="I196" t="s">
        <v>598</v>
      </c>
      <c r="J196" t="s">
        <v>36</v>
      </c>
    </row>
    <row r="197" spans="1:10" x14ac:dyDescent="0.2">
      <c r="A197">
        <v>1087</v>
      </c>
      <c r="B197" t="s">
        <v>599</v>
      </c>
      <c r="C197">
        <v>31</v>
      </c>
      <c r="D197">
        <v>0</v>
      </c>
      <c r="E197" s="1">
        <v>45979</v>
      </c>
      <c r="F197" s="2">
        <v>45749</v>
      </c>
      <c r="G197" t="s">
        <v>600</v>
      </c>
      <c r="H197" t="s">
        <v>28</v>
      </c>
      <c r="J197" t="s">
        <v>20</v>
      </c>
    </row>
    <row r="198" spans="1:10" x14ac:dyDescent="0.2">
      <c r="A198">
        <v>1056</v>
      </c>
      <c r="B198" t="s">
        <v>601</v>
      </c>
      <c r="C198">
        <v>24</v>
      </c>
      <c r="D198" t="s">
        <v>16</v>
      </c>
      <c r="E198" s="2">
        <v>45769</v>
      </c>
      <c r="F198" s="2">
        <v>45740</v>
      </c>
      <c r="G198" t="s">
        <v>602</v>
      </c>
      <c r="H198" t="s">
        <v>28</v>
      </c>
      <c r="J198" t="s">
        <v>36</v>
      </c>
    </row>
    <row r="199" spans="1:10" x14ac:dyDescent="0.2">
      <c r="A199">
        <v>1053</v>
      </c>
      <c r="B199" t="s">
        <v>603</v>
      </c>
      <c r="C199">
        <v>81</v>
      </c>
      <c r="D199" t="s">
        <v>38</v>
      </c>
      <c r="E199" s="2">
        <v>45760</v>
      </c>
      <c r="F199" s="2">
        <v>45629</v>
      </c>
      <c r="G199" t="s">
        <v>604</v>
      </c>
      <c r="H199" t="s">
        <v>13</v>
      </c>
      <c r="I199" t="s">
        <v>605</v>
      </c>
      <c r="J199" t="s">
        <v>20</v>
      </c>
    </row>
    <row r="200" spans="1:10" x14ac:dyDescent="0.2">
      <c r="A200">
        <v>1059</v>
      </c>
      <c r="B200" t="s">
        <v>606</v>
      </c>
      <c r="C200">
        <v>79</v>
      </c>
      <c r="D200" t="s">
        <v>51</v>
      </c>
      <c r="E200" s="2">
        <v>45893</v>
      </c>
      <c r="F200" s="1">
        <v>45890</v>
      </c>
      <c r="G200" t="s">
        <v>607</v>
      </c>
      <c r="H200" t="s">
        <v>18</v>
      </c>
      <c r="I200" t="s">
        <v>608</v>
      </c>
      <c r="J200" t="s">
        <v>36</v>
      </c>
    </row>
    <row r="201" spans="1:10" x14ac:dyDescent="0.2">
      <c r="A201">
        <v>1050</v>
      </c>
      <c r="B201" t="s">
        <v>609</v>
      </c>
      <c r="C201">
        <v>32</v>
      </c>
      <c r="D201" t="s">
        <v>22</v>
      </c>
      <c r="E201" s="2">
        <v>45751</v>
      </c>
      <c r="F201" s="1">
        <v>45428</v>
      </c>
      <c r="G201" t="s">
        <v>610</v>
      </c>
      <c r="H201" t="s">
        <v>18</v>
      </c>
      <c r="I201" t="s">
        <v>611</v>
      </c>
      <c r="J201" t="s">
        <v>20</v>
      </c>
    </row>
    <row r="202" spans="1:10" x14ac:dyDescent="0.2">
      <c r="A202">
        <v>1044</v>
      </c>
      <c r="B202" t="s">
        <v>612</v>
      </c>
      <c r="C202">
        <v>21</v>
      </c>
      <c r="D202" t="s">
        <v>11</v>
      </c>
      <c r="E202" s="1">
        <v>45830</v>
      </c>
      <c r="F202" s="1">
        <v>45452</v>
      </c>
      <c r="G202" t="s">
        <v>613</v>
      </c>
      <c r="H202" t="s">
        <v>18</v>
      </c>
      <c r="I202" t="s">
        <v>614</v>
      </c>
      <c r="J202" t="s">
        <v>60</v>
      </c>
    </row>
    <row r="203" spans="1:10" x14ac:dyDescent="0.2">
      <c r="A203">
        <v>1089</v>
      </c>
      <c r="B203" t="s">
        <v>615</v>
      </c>
      <c r="C203">
        <v>48</v>
      </c>
      <c r="D203">
        <v>1</v>
      </c>
      <c r="E203" s="2">
        <v>45742</v>
      </c>
      <c r="F203" s="1">
        <v>45629</v>
      </c>
      <c r="G203" t="s">
        <v>616</v>
      </c>
      <c r="H203" t="s">
        <v>13</v>
      </c>
      <c r="I203" t="s">
        <v>617</v>
      </c>
      <c r="J203">
        <v>0</v>
      </c>
    </row>
    <row r="204" spans="1:10" x14ac:dyDescent="0.2">
      <c r="A204">
        <v>1074</v>
      </c>
      <c r="B204" t="s">
        <v>618</v>
      </c>
      <c r="C204">
        <v>23</v>
      </c>
      <c r="D204" t="s">
        <v>71</v>
      </c>
      <c r="E204" s="2">
        <v>45984</v>
      </c>
      <c r="F204" s="1">
        <v>45910</v>
      </c>
      <c r="G204" t="s">
        <v>619</v>
      </c>
      <c r="H204" t="s">
        <v>18</v>
      </c>
      <c r="I204" t="s">
        <v>620</v>
      </c>
      <c r="J204" t="s">
        <v>60</v>
      </c>
    </row>
    <row r="205" spans="1:10" x14ac:dyDescent="0.2">
      <c r="A205">
        <v>1026</v>
      </c>
      <c r="B205" t="s">
        <v>621</v>
      </c>
      <c r="C205">
        <v>87</v>
      </c>
      <c r="D205">
        <v>0</v>
      </c>
      <c r="E205" s="2">
        <v>46059</v>
      </c>
      <c r="F205" s="1">
        <v>45515</v>
      </c>
      <c r="G205" t="s">
        <v>622</v>
      </c>
      <c r="H205" t="s">
        <v>24</v>
      </c>
      <c r="I205" t="s">
        <v>623</v>
      </c>
      <c r="J205" t="s">
        <v>36</v>
      </c>
    </row>
    <row r="206" spans="1:10" x14ac:dyDescent="0.2">
      <c r="A206">
        <v>1059</v>
      </c>
      <c r="B206" t="s">
        <v>624</v>
      </c>
      <c r="C206">
        <v>27</v>
      </c>
      <c r="D206">
        <v>0</v>
      </c>
      <c r="E206" s="2">
        <v>45892</v>
      </c>
      <c r="F206" s="1">
        <v>45608</v>
      </c>
      <c r="G206" t="s">
        <v>625</v>
      </c>
      <c r="H206" t="s">
        <v>28</v>
      </c>
      <c r="I206" t="s">
        <v>626</v>
      </c>
      <c r="J206" t="s">
        <v>20</v>
      </c>
    </row>
    <row r="207" spans="1:10" x14ac:dyDescent="0.2">
      <c r="A207">
        <v>1065</v>
      </c>
      <c r="B207" t="s">
        <v>627</v>
      </c>
      <c r="C207">
        <v>71</v>
      </c>
      <c r="D207" t="s">
        <v>38</v>
      </c>
      <c r="E207" s="1">
        <v>46088</v>
      </c>
      <c r="F207" s="1">
        <v>45746</v>
      </c>
      <c r="G207" t="s">
        <v>628</v>
      </c>
      <c r="H207" t="s">
        <v>13</v>
      </c>
      <c r="I207" t="s">
        <v>629</v>
      </c>
      <c r="J207">
        <v>1</v>
      </c>
    </row>
    <row r="208" spans="1:10" x14ac:dyDescent="0.2">
      <c r="A208">
        <v>1085</v>
      </c>
      <c r="B208" t="s">
        <v>630</v>
      </c>
      <c r="C208">
        <v>75</v>
      </c>
      <c r="D208" t="s">
        <v>51</v>
      </c>
      <c r="E208" s="2">
        <v>45967</v>
      </c>
      <c r="F208" s="1">
        <v>45579</v>
      </c>
      <c r="G208" t="s">
        <v>631</v>
      </c>
      <c r="H208" t="s">
        <v>18</v>
      </c>
      <c r="J208" t="s">
        <v>20</v>
      </c>
    </row>
    <row r="209" spans="1:10" x14ac:dyDescent="0.2">
      <c r="A209">
        <v>1024</v>
      </c>
      <c r="B209" t="s">
        <v>632</v>
      </c>
      <c r="C209">
        <v>86</v>
      </c>
      <c r="D209">
        <v>1</v>
      </c>
      <c r="E209" s="2">
        <v>46070</v>
      </c>
      <c r="F209" s="2">
        <v>46037</v>
      </c>
      <c r="G209" t="s">
        <v>633</v>
      </c>
      <c r="H209" t="s">
        <v>18</v>
      </c>
      <c r="I209" t="s">
        <v>634</v>
      </c>
      <c r="J209" t="s">
        <v>36</v>
      </c>
    </row>
    <row r="210" spans="1:10" x14ac:dyDescent="0.2">
      <c r="A210">
        <v>1048</v>
      </c>
      <c r="B210" t="s">
        <v>635</v>
      </c>
      <c r="C210">
        <v>33</v>
      </c>
      <c r="E210" s="1">
        <v>45926</v>
      </c>
      <c r="F210" s="2">
        <v>45538</v>
      </c>
      <c r="G210" t="s">
        <v>636</v>
      </c>
      <c r="H210" t="s">
        <v>24</v>
      </c>
      <c r="J210" t="s">
        <v>20</v>
      </c>
    </row>
    <row r="211" spans="1:10" x14ac:dyDescent="0.2">
      <c r="A211">
        <v>1069</v>
      </c>
      <c r="B211" t="s">
        <v>637</v>
      </c>
      <c r="C211">
        <v>73</v>
      </c>
      <c r="D211" t="s">
        <v>16</v>
      </c>
      <c r="E211" s="1">
        <v>46030</v>
      </c>
      <c r="F211" s="1">
        <v>45517</v>
      </c>
      <c r="G211" t="s">
        <v>638</v>
      </c>
      <c r="H211" t="s">
        <v>28</v>
      </c>
      <c r="I211" t="s">
        <v>639</v>
      </c>
      <c r="J211" t="s">
        <v>36</v>
      </c>
    </row>
    <row r="212" spans="1:10" x14ac:dyDescent="0.2">
      <c r="A212">
        <v>1071</v>
      </c>
      <c r="B212" t="s">
        <v>640</v>
      </c>
      <c r="C212">
        <v>73</v>
      </c>
      <c r="D212">
        <v>1</v>
      </c>
      <c r="E212" s="2">
        <v>45964</v>
      </c>
      <c r="F212" s="2">
        <v>45408</v>
      </c>
      <c r="G212" t="s">
        <v>641</v>
      </c>
      <c r="H212" t="s">
        <v>18</v>
      </c>
      <c r="I212" t="s">
        <v>642</v>
      </c>
      <c r="J212" t="s">
        <v>20</v>
      </c>
    </row>
    <row r="213" spans="1:10" x14ac:dyDescent="0.2">
      <c r="A213">
        <v>1076</v>
      </c>
      <c r="B213" t="s">
        <v>643</v>
      </c>
      <c r="C213">
        <v>21</v>
      </c>
      <c r="D213" t="s">
        <v>38</v>
      </c>
      <c r="E213" s="2">
        <v>45949</v>
      </c>
      <c r="F213" s="2">
        <v>45871</v>
      </c>
      <c r="G213" t="s">
        <v>644</v>
      </c>
      <c r="H213" t="s">
        <v>18</v>
      </c>
      <c r="I213" t="s">
        <v>645</v>
      </c>
      <c r="J213" t="s">
        <v>36</v>
      </c>
    </row>
    <row r="214" spans="1:10" x14ac:dyDescent="0.2">
      <c r="A214">
        <v>1057</v>
      </c>
      <c r="B214" t="s">
        <v>646</v>
      </c>
      <c r="C214">
        <v>28</v>
      </c>
      <c r="D214">
        <v>1</v>
      </c>
      <c r="E214" s="2">
        <v>45816</v>
      </c>
      <c r="F214" s="1">
        <v>45814</v>
      </c>
      <c r="G214" t="s">
        <v>647</v>
      </c>
      <c r="H214" t="s">
        <v>24</v>
      </c>
      <c r="I214" t="s">
        <v>648</v>
      </c>
      <c r="J214" t="s">
        <v>60</v>
      </c>
    </row>
    <row r="215" spans="1:10" x14ac:dyDescent="0.2">
      <c r="A215">
        <v>1029</v>
      </c>
      <c r="B215" t="s">
        <v>649</v>
      </c>
      <c r="C215">
        <v>49</v>
      </c>
      <c r="D215" t="s">
        <v>38</v>
      </c>
      <c r="E215" s="1">
        <v>45792</v>
      </c>
      <c r="F215" s="2">
        <v>45756</v>
      </c>
      <c r="G215" t="s">
        <v>650</v>
      </c>
      <c r="H215" t="s">
        <v>24</v>
      </c>
      <c r="I215" t="s">
        <v>651</v>
      </c>
      <c r="J215" t="s">
        <v>36</v>
      </c>
    </row>
    <row r="216" spans="1:10" x14ac:dyDescent="0.2">
      <c r="A216">
        <v>1049</v>
      </c>
      <c r="B216" t="s">
        <v>652</v>
      </c>
      <c r="C216">
        <v>65</v>
      </c>
      <c r="D216" t="s">
        <v>51</v>
      </c>
      <c r="E216" s="1">
        <v>46032</v>
      </c>
      <c r="F216" s="2">
        <v>46028</v>
      </c>
      <c r="G216" t="s">
        <v>653</v>
      </c>
      <c r="H216" t="s">
        <v>28</v>
      </c>
      <c r="I216" t="s">
        <v>654</v>
      </c>
      <c r="J216" t="s">
        <v>20</v>
      </c>
    </row>
    <row r="217" spans="1:10" x14ac:dyDescent="0.2">
      <c r="A217">
        <v>1049</v>
      </c>
      <c r="B217" t="s">
        <v>655</v>
      </c>
      <c r="C217">
        <v>59</v>
      </c>
      <c r="D217" t="s">
        <v>71</v>
      </c>
      <c r="E217" s="1">
        <v>45975</v>
      </c>
      <c r="F217" s="1">
        <v>45770</v>
      </c>
      <c r="G217" t="s">
        <v>656</v>
      </c>
      <c r="H217" t="s">
        <v>24</v>
      </c>
      <c r="I217" t="s">
        <v>657</v>
      </c>
      <c r="J217" t="s">
        <v>30</v>
      </c>
    </row>
    <row r="218" spans="1:10" x14ac:dyDescent="0.2">
      <c r="A218">
        <v>1076</v>
      </c>
      <c r="B218" t="s">
        <v>658</v>
      </c>
      <c r="C218">
        <v>24</v>
      </c>
      <c r="D218" t="s">
        <v>16</v>
      </c>
      <c r="E218" s="1">
        <v>45936</v>
      </c>
      <c r="F218" s="1">
        <v>45456</v>
      </c>
      <c r="G218" t="s">
        <v>659</v>
      </c>
      <c r="H218" t="s">
        <v>18</v>
      </c>
      <c r="I218" t="s">
        <v>660</v>
      </c>
      <c r="J218" t="s">
        <v>36</v>
      </c>
    </row>
    <row r="219" spans="1:10" x14ac:dyDescent="0.2">
      <c r="A219">
        <v>1083</v>
      </c>
      <c r="B219" t="s">
        <v>661</v>
      </c>
      <c r="C219">
        <v>56</v>
      </c>
      <c r="D219" t="s">
        <v>38</v>
      </c>
      <c r="E219" s="1">
        <v>45754</v>
      </c>
      <c r="F219" s="2">
        <v>45665</v>
      </c>
      <c r="G219" t="s">
        <v>662</v>
      </c>
      <c r="H219" t="s">
        <v>24</v>
      </c>
      <c r="I219" t="s">
        <v>663</v>
      </c>
      <c r="J219">
        <v>1</v>
      </c>
    </row>
    <row r="220" spans="1:10" x14ac:dyDescent="0.2">
      <c r="A220">
        <v>1083</v>
      </c>
      <c r="B220" t="s">
        <v>664</v>
      </c>
      <c r="C220">
        <v>21</v>
      </c>
      <c r="D220">
        <v>0</v>
      </c>
      <c r="E220" s="2">
        <v>45887</v>
      </c>
      <c r="F220" s="2">
        <v>45496</v>
      </c>
      <c r="G220" t="s">
        <v>665</v>
      </c>
      <c r="H220" t="s">
        <v>13</v>
      </c>
      <c r="I220" t="s">
        <v>666</v>
      </c>
      <c r="J220">
        <v>1</v>
      </c>
    </row>
    <row r="221" spans="1:10" x14ac:dyDescent="0.2">
      <c r="A221">
        <v>1091</v>
      </c>
      <c r="B221" t="s">
        <v>667</v>
      </c>
      <c r="C221">
        <v>20</v>
      </c>
      <c r="D221" t="s">
        <v>22</v>
      </c>
      <c r="E221" s="2">
        <v>45997</v>
      </c>
      <c r="F221" s="2">
        <v>45986</v>
      </c>
      <c r="G221" t="s">
        <v>668</v>
      </c>
      <c r="H221" t="s">
        <v>28</v>
      </c>
      <c r="I221" t="s">
        <v>669</v>
      </c>
      <c r="J221" t="s">
        <v>36</v>
      </c>
    </row>
    <row r="222" spans="1:10" x14ac:dyDescent="0.2">
      <c r="A222">
        <v>1099</v>
      </c>
      <c r="B222" t="s">
        <v>670</v>
      </c>
      <c r="C222">
        <v>23</v>
      </c>
      <c r="D222">
        <v>1</v>
      </c>
      <c r="E222" s="2">
        <v>45897</v>
      </c>
      <c r="F222" s="1">
        <v>45539</v>
      </c>
      <c r="G222" t="s">
        <v>671</v>
      </c>
      <c r="H222" t="s">
        <v>13</v>
      </c>
      <c r="I222" t="s">
        <v>672</v>
      </c>
      <c r="J222" t="s">
        <v>60</v>
      </c>
    </row>
    <row r="223" spans="1:10" x14ac:dyDescent="0.2">
      <c r="A223">
        <v>1098</v>
      </c>
      <c r="B223" t="s">
        <v>673</v>
      </c>
      <c r="C223">
        <v>39</v>
      </c>
      <c r="D223">
        <v>0</v>
      </c>
      <c r="E223" s="1">
        <v>45962</v>
      </c>
      <c r="F223" s="1">
        <v>45578</v>
      </c>
      <c r="G223" t="s">
        <v>674</v>
      </c>
      <c r="H223" t="s">
        <v>28</v>
      </c>
      <c r="I223" t="s">
        <v>675</v>
      </c>
      <c r="J223" t="s">
        <v>60</v>
      </c>
    </row>
    <row r="224" spans="1:10" x14ac:dyDescent="0.2">
      <c r="A224">
        <v>1060</v>
      </c>
      <c r="B224" t="s">
        <v>676</v>
      </c>
      <c r="C224">
        <v>32</v>
      </c>
      <c r="E224" s="1">
        <v>46024</v>
      </c>
      <c r="F224" s="1">
        <v>45706</v>
      </c>
      <c r="G224" t="s">
        <v>677</v>
      </c>
      <c r="H224" t="s">
        <v>18</v>
      </c>
      <c r="I224" t="s">
        <v>678</v>
      </c>
      <c r="J224" t="s">
        <v>36</v>
      </c>
    </row>
    <row r="225" spans="1:10" x14ac:dyDescent="0.2">
      <c r="A225">
        <v>1091</v>
      </c>
      <c r="B225" t="s">
        <v>679</v>
      </c>
      <c r="C225">
        <v>67</v>
      </c>
      <c r="D225">
        <v>1</v>
      </c>
      <c r="E225" s="2">
        <v>45870</v>
      </c>
      <c r="F225" s="1">
        <v>45786</v>
      </c>
      <c r="G225" t="s">
        <v>680</v>
      </c>
      <c r="H225" t="s">
        <v>24</v>
      </c>
      <c r="I225" t="s">
        <v>681</v>
      </c>
      <c r="J225">
        <v>0</v>
      </c>
    </row>
    <row r="226" spans="1:10" x14ac:dyDescent="0.2">
      <c r="A226">
        <v>1031</v>
      </c>
      <c r="B226" t="s">
        <v>682</v>
      </c>
      <c r="C226">
        <v>23</v>
      </c>
      <c r="D226" t="s">
        <v>51</v>
      </c>
      <c r="E226" s="2">
        <v>46087</v>
      </c>
      <c r="F226" s="2">
        <v>45493</v>
      </c>
      <c r="G226" t="s">
        <v>683</v>
      </c>
      <c r="H226" t="s">
        <v>13</v>
      </c>
      <c r="I226" t="s">
        <v>684</v>
      </c>
      <c r="J226" t="s">
        <v>36</v>
      </c>
    </row>
    <row r="227" spans="1:10" x14ac:dyDescent="0.2">
      <c r="A227">
        <v>1018</v>
      </c>
      <c r="B227" t="s">
        <v>685</v>
      </c>
      <c r="C227">
        <v>71</v>
      </c>
      <c r="D227" t="s">
        <v>22</v>
      </c>
      <c r="E227" s="2">
        <v>45794</v>
      </c>
      <c r="F227" s="2">
        <v>45651</v>
      </c>
      <c r="G227" t="s">
        <v>686</v>
      </c>
      <c r="H227" t="s">
        <v>24</v>
      </c>
      <c r="I227" t="s">
        <v>687</v>
      </c>
      <c r="J227" t="s">
        <v>36</v>
      </c>
    </row>
    <row r="228" spans="1:10" x14ac:dyDescent="0.2">
      <c r="A228">
        <v>1054</v>
      </c>
      <c r="B228" t="s">
        <v>688</v>
      </c>
      <c r="C228">
        <v>68</v>
      </c>
      <c r="D228" t="s">
        <v>51</v>
      </c>
      <c r="E228" s="1">
        <v>45761</v>
      </c>
      <c r="F228" s="2">
        <v>45701</v>
      </c>
      <c r="G228" t="s">
        <v>689</v>
      </c>
      <c r="H228" t="s">
        <v>28</v>
      </c>
      <c r="I228" t="s">
        <v>690</v>
      </c>
      <c r="J228">
        <v>0</v>
      </c>
    </row>
    <row r="229" spans="1:10" x14ac:dyDescent="0.2">
      <c r="A229">
        <v>1038</v>
      </c>
      <c r="B229" t="s">
        <v>691</v>
      </c>
      <c r="C229">
        <v>19</v>
      </c>
      <c r="D229">
        <v>1</v>
      </c>
      <c r="E229" s="2">
        <v>45747</v>
      </c>
      <c r="F229" s="2">
        <v>45592</v>
      </c>
      <c r="G229" t="s">
        <v>692</v>
      </c>
      <c r="H229" t="s">
        <v>13</v>
      </c>
      <c r="I229" t="s">
        <v>693</v>
      </c>
      <c r="J229" t="s">
        <v>60</v>
      </c>
    </row>
    <row r="230" spans="1:10" x14ac:dyDescent="0.2">
      <c r="A230">
        <v>1067</v>
      </c>
      <c r="B230" t="s">
        <v>694</v>
      </c>
      <c r="C230">
        <v>33</v>
      </c>
      <c r="D230">
        <v>0</v>
      </c>
      <c r="E230" s="2">
        <v>46020</v>
      </c>
      <c r="F230" s="1">
        <v>45441</v>
      </c>
      <c r="G230" t="s">
        <v>695</v>
      </c>
      <c r="H230" t="s">
        <v>28</v>
      </c>
      <c r="I230" t="s">
        <v>696</v>
      </c>
      <c r="J230" t="s">
        <v>30</v>
      </c>
    </row>
    <row r="231" spans="1:10" x14ac:dyDescent="0.2">
      <c r="A231">
        <v>1070</v>
      </c>
      <c r="B231" t="s">
        <v>697</v>
      </c>
      <c r="C231">
        <v>54</v>
      </c>
      <c r="D231" t="s">
        <v>22</v>
      </c>
      <c r="E231" s="2">
        <v>45831</v>
      </c>
      <c r="F231" s="2">
        <v>45528</v>
      </c>
      <c r="G231" t="s">
        <v>698</v>
      </c>
      <c r="H231" t="s">
        <v>24</v>
      </c>
      <c r="I231" t="s">
        <v>699</v>
      </c>
      <c r="J231">
        <v>0</v>
      </c>
    </row>
    <row r="232" spans="1:10" x14ac:dyDescent="0.2">
      <c r="A232">
        <v>1097</v>
      </c>
      <c r="B232" t="s">
        <v>700</v>
      </c>
      <c r="C232">
        <v>52</v>
      </c>
      <c r="D232" t="s">
        <v>71</v>
      </c>
      <c r="E232" s="2">
        <v>46031</v>
      </c>
      <c r="F232" s="1">
        <v>45875</v>
      </c>
      <c r="G232" t="s">
        <v>701</v>
      </c>
      <c r="H232" t="s">
        <v>24</v>
      </c>
      <c r="I232" t="s">
        <v>702</v>
      </c>
      <c r="J232" t="s">
        <v>36</v>
      </c>
    </row>
    <row r="233" spans="1:10" x14ac:dyDescent="0.2">
      <c r="A233">
        <v>1056</v>
      </c>
      <c r="B233" t="s">
        <v>703</v>
      </c>
      <c r="C233">
        <v>70</v>
      </c>
      <c r="D233" t="s">
        <v>38</v>
      </c>
      <c r="E233" s="1">
        <v>46017</v>
      </c>
      <c r="F233" s="1">
        <v>45882</v>
      </c>
      <c r="G233" t="s">
        <v>704</v>
      </c>
      <c r="H233" t="s">
        <v>28</v>
      </c>
      <c r="I233" t="s">
        <v>705</v>
      </c>
      <c r="J233" t="s">
        <v>20</v>
      </c>
    </row>
    <row r="234" spans="1:10" x14ac:dyDescent="0.2">
      <c r="A234">
        <v>1078</v>
      </c>
      <c r="B234" t="s">
        <v>706</v>
      </c>
      <c r="C234">
        <v>56</v>
      </c>
      <c r="D234" t="s">
        <v>11</v>
      </c>
      <c r="E234" s="1">
        <v>45743</v>
      </c>
      <c r="F234" s="2">
        <v>45432</v>
      </c>
      <c r="G234" t="s">
        <v>707</v>
      </c>
      <c r="H234" t="s">
        <v>18</v>
      </c>
      <c r="I234" t="s">
        <v>708</v>
      </c>
      <c r="J234">
        <v>1</v>
      </c>
    </row>
    <row r="235" spans="1:10" x14ac:dyDescent="0.2">
      <c r="A235">
        <v>1031</v>
      </c>
      <c r="B235" t="s">
        <v>709</v>
      </c>
      <c r="C235">
        <v>29</v>
      </c>
      <c r="D235" t="s">
        <v>38</v>
      </c>
      <c r="E235" s="1">
        <v>45874</v>
      </c>
      <c r="F235" s="2">
        <v>45562</v>
      </c>
      <c r="G235" t="s">
        <v>710</v>
      </c>
      <c r="H235" t="s">
        <v>18</v>
      </c>
      <c r="J235" t="s">
        <v>20</v>
      </c>
    </row>
    <row r="236" spans="1:10" x14ac:dyDescent="0.2">
      <c r="A236">
        <v>1035</v>
      </c>
      <c r="B236" t="s">
        <v>711</v>
      </c>
      <c r="C236">
        <v>80</v>
      </c>
      <c r="D236" t="s">
        <v>51</v>
      </c>
      <c r="E236" s="2">
        <v>45872</v>
      </c>
      <c r="F236" s="1">
        <v>45750</v>
      </c>
      <c r="G236" t="s">
        <v>712</v>
      </c>
      <c r="H236" t="s">
        <v>24</v>
      </c>
      <c r="I236" t="s">
        <v>713</v>
      </c>
      <c r="J236" t="s">
        <v>36</v>
      </c>
    </row>
    <row r="237" spans="1:10" x14ac:dyDescent="0.2">
      <c r="A237">
        <v>1079</v>
      </c>
      <c r="B237" t="s">
        <v>714</v>
      </c>
      <c r="C237">
        <v>24</v>
      </c>
      <c r="D237" t="s">
        <v>22</v>
      </c>
      <c r="E237" s="1">
        <v>46038</v>
      </c>
      <c r="F237" s="1">
        <v>45402</v>
      </c>
      <c r="G237" t="s">
        <v>715</v>
      </c>
      <c r="H237" t="s">
        <v>13</v>
      </c>
      <c r="I237" t="s">
        <v>716</v>
      </c>
      <c r="J237" t="s">
        <v>60</v>
      </c>
    </row>
    <row r="238" spans="1:10" x14ac:dyDescent="0.2">
      <c r="A238">
        <v>1062</v>
      </c>
      <c r="B238" t="s">
        <v>717</v>
      </c>
      <c r="C238">
        <v>20</v>
      </c>
      <c r="D238" t="s">
        <v>22</v>
      </c>
      <c r="E238" s="1">
        <v>45823</v>
      </c>
      <c r="F238" s="1">
        <v>45758</v>
      </c>
      <c r="G238" t="s">
        <v>718</v>
      </c>
      <c r="H238" t="s">
        <v>13</v>
      </c>
      <c r="I238" t="s">
        <v>719</v>
      </c>
      <c r="J238">
        <v>1</v>
      </c>
    </row>
    <row r="239" spans="1:10" x14ac:dyDescent="0.2">
      <c r="A239">
        <v>1006</v>
      </c>
      <c r="B239" t="s">
        <v>720</v>
      </c>
      <c r="C239">
        <v>56</v>
      </c>
      <c r="D239">
        <v>0</v>
      </c>
      <c r="E239" s="2">
        <v>46056</v>
      </c>
      <c r="F239" s="1">
        <v>45520</v>
      </c>
      <c r="G239" t="s">
        <v>721</v>
      </c>
      <c r="H239" t="s">
        <v>28</v>
      </c>
      <c r="I239" t="s">
        <v>722</v>
      </c>
      <c r="J239">
        <v>1</v>
      </c>
    </row>
    <row r="240" spans="1:10" x14ac:dyDescent="0.2">
      <c r="A240">
        <v>1034</v>
      </c>
      <c r="B240" t="s">
        <v>723</v>
      </c>
      <c r="C240">
        <v>60</v>
      </c>
      <c r="D240" t="s">
        <v>11</v>
      </c>
      <c r="E240" s="1">
        <v>46033</v>
      </c>
      <c r="F240" s="2">
        <v>45863</v>
      </c>
      <c r="G240" t="s">
        <v>724</v>
      </c>
      <c r="H240" t="s">
        <v>24</v>
      </c>
      <c r="J240">
        <v>0</v>
      </c>
    </row>
    <row r="241" spans="1:10" x14ac:dyDescent="0.2">
      <c r="A241">
        <v>1021</v>
      </c>
      <c r="B241" t="s">
        <v>725</v>
      </c>
      <c r="C241">
        <v>51</v>
      </c>
      <c r="D241" t="s">
        <v>51</v>
      </c>
      <c r="E241" s="1">
        <v>46018</v>
      </c>
      <c r="F241" s="1">
        <v>45668</v>
      </c>
      <c r="G241" t="s">
        <v>726</v>
      </c>
      <c r="H241" t="s">
        <v>28</v>
      </c>
      <c r="I241" t="s">
        <v>727</v>
      </c>
      <c r="J241" t="s">
        <v>60</v>
      </c>
    </row>
    <row r="242" spans="1:10" x14ac:dyDescent="0.2">
      <c r="A242">
        <v>1089</v>
      </c>
      <c r="B242" t="s">
        <v>728</v>
      </c>
      <c r="C242">
        <v>72</v>
      </c>
      <c r="D242" t="s">
        <v>11</v>
      </c>
      <c r="E242" s="2">
        <v>46017</v>
      </c>
      <c r="F242" s="2">
        <v>45509</v>
      </c>
      <c r="G242" t="s">
        <v>729</v>
      </c>
      <c r="H242" t="s">
        <v>24</v>
      </c>
      <c r="I242" t="s">
        <v>730</v>
      </c>
      <c r="J242" t="s">
        <v>36</v>
      </c>
    </row>
    <row r="243" spans="1:10" x14ac:dyDescent="0.2">
      <c r="A243">
        <v>1054</v>
      </c>
      <c r="B243" t="s">
        <v>731</v>
      </c>
      <c r="C243">
        <v>74</v>
      </c>
      <c r="D243">
        <v>0</v>
      </c>
      <c r="E243" s="1">
        <v>46068</v>
      </c>
      <c r="F243" s="2">
        <v>45807</v>
      </c>
      <c r="G243" t="s">
        <v>732</v>
      </c>
      <c r="H243" t="s">
        <v>24</v>
      </c>
      <c r="I243" t="s">
        <v>733</v>
      </c>
      <c r="J243">
        <v>0</v>
      </c>
    </row>
    <row r="244" spans="1:10" x14ac:dyDescent="0.2">
      <c r="A244">
        <v>1026</v>
      </c>
      <c r="B244" t="s">
        <v>734</v>
      </c>
      <c r="C244">
        <v>80</v>
      </c>
      <c r="D244" t="s">
        <v>71</v>
      </c>
      <c r="E244" s="1">
        <v>45774</v>
      </c>
      <c r="F244" s="1">
        <v>45739</v>
      </c>
      <c r="G244" t="s">
        <v>735</v>
      </c>
      <c r="H244" t="s">
        <v>28</v>
      </c>
      <c r="I244" t="s">
        <v>736</v>
      </c>
      <c r="J244" t="s">
        <v>20</v>
      </c>
    </row>
    <row r="245" spans="1:10" x14ac:dyDescent="0.2">
      <c r="A245">
        <v>1015</v>
      </c>
      <c r="B245" t="s">
        <v>737</v>
      </c>
      <c r="C245">
        <v>53</v>
      </c>
      <c r="D245">
        <v>0</v>
      </c>
      <c r="E245" s="1">
        <v>45933</v>
      </c>
      <c r="F245" s="2">
        <v>45839</v>
      </c>
      <c r="G245" t="s">
        <v>738</v>
      </c>
      <c r="H245" t="s">
        <v>18</v>
      </c>
      <c r="I245" t="s">
        <v>739</v>
      </c>
      <c r="J245">
        <v>0</v>
      </c>
    </row>
    <row r="246" spans="1:10" x14ac:dyDescent="0.2">
      <c r="A246">
        <v>1015</v>
      </c>
      <c r="B246" t="s">
        <v>740</v>
      </c>
      <c r="C246">
        <v>88</v>
      </c>
      <c r="E246" s="1">
        <v>45949</v>
      </c>
      <c r="F246" s="1">
        <v>45813</v>
      </c>
      <c r="G246" t="s">
        <v>741</v>
      </c>
      <c r="H246" t="s">
        <v>18</v>
      </c>
      <c r="I246" t="s">
        <v>742</v>
      </c>
      <c r="J246">
        <v>1</v>
      </c>
    </row>
    <row r="247" spans="1:10" x14ac:dyDescent="0.2">
      <c r="A247">
        <v>1060</v>
      </c>
      <c r="B247" t="s">
        <v>743</v>
      </c>
      <c r="C247">
        <v>51</v>
      </c>
      <c r="D247" t="s">
        <v>11</v>
      </c>
      <c r="E247" s="1">
        <v>45844</v>
      </c>
      <c r="F247" s="1">
        <v>45765</v>
      </c>
      <c r="G247" t="s">
        <v>744</v>
      </c>
      <c r="H247" t="s">
        <v>28</v>
      </c>
      <c r="I247" t="s">
        <v>745</v>
      </c>
      <c r="J247" t="s">
        <v>20</v>
      </c>
    </row>
    <row r="248" spans="1:10" x14ac:dyDescent="0.2">
      <c r="A248">
        <v>1003</v>
      </c>
      <c r="B248" t="s">
        <v>746</v>
      </c>
      <c r="C248">
        <v>77</v>
      </c>
      <c r="D248" t="s">
        <v>71</v>
      </c>
      <c r="E248" s="2">
        <v>45811</v>
      </c>
      <c r="F248" s="1">
        <v>45430</v>
      </c>
      <c r="G248" t="s">
        <v>747</v>
      </c>
      <c r="H248" t="s">
        <v>18</v>
      </c>
      <c r="I248" t="s">
        <v>748</v>
      </c>
      <c r="J248">
        <v>1</v>
      </c>
    </row>
    <row r="249" spans="1:10" x14ac:dyDescent="0.2">
      <c r="A249">
        <v>1022</v>
      </c>
      <c r="B249" t="s">
        <v>749</v>
      </c>
      <c r="C249">
        <v>24</v>
      </c>
      <c r="D249" t="s">
        <v>38</v>
      </c>
      <c r="E249" s="1">
        <v>45888</v>
      </c>
      <c r="F249" s="1">
        <v>45787</v>
      </c>
      <c r="G249" t="s">
        <v>750</v>
      </c>
      <c r="H249" t="s">
        <v>24</v>
      </c>
      <c r="I249" t="s">
        <v>751</v>
      </c>
      <c r="J249" t="s">
        <v>36</v>
      </c>
    </row>
    <row r="250" spans="1:10" x14ac:dyDescent="0.2">
      <c r="A250">
        <v>1093</v>
      </c>
      <c r="B250" t="s">
        <v>752</v>
      </c>
      <c r="C250">
        <v>31</v>
      </c>
      <c r="E250" s="2">
        <v>45804</v>
      </c>
      <c r="F250" s="2">
        <v>45646</v>
      </c>
      <c r="G250" t="s">
        <v>753</v>
      </c>
      <c r="H250" t="s">
        <v>28</v>
      </c>
      <c r="I250" t="s">
        <v>754</v>
      </c>
      <c r="J250">
        <v>0</v>
      </c>
    </row>
    <row r="251" spans="1:10" x14ac:dyDescent="0.2">
      <c r="A251">
        <v>1089</v>
      </c>
      <c r="B251" t="s">
        <v>755</v>
      </c>
      <c r="C251">
        <v>47</v>
      </c>
      <c r="D251" t="s">
        <v>11</v>
      </c>
      <c r="E251" s="1">
        <v>46064</v>
      </c>
      <c r="F251" s="2">
        <v>45702</v>
      </c>
      <c r="G251" t="s">
        <v>756</v>
      </c>
      <c r="H251" t="s">
        <v>13</v>
      </c>
      <c r="I251" t="s">
        <v>757</v>
      </c>
      <c r="J251" t="s">
        <v>30</v>
      </c>
    </row>
    <row r="252" spans="1:10" x14ac:dyDescent="0.2">
      <c r="A252">
        <v>1094</v>
      </c>
      <c r="B252" t="s">
        <v>758</v>
      </c>
      <c r="C252">
        <v>74</v>
      </c>
      <c r="D252">
        <v>1</v>
      </c>
      <c r="E252" s="1">
        <v>45825</v>
      </c>
      <c r="F252" s="1">
        <v>45407</v>
      </c>
      <c r="G252" t="s">
        <v>759</v>
      </c>
      <c r="H252" t="s">
        <v>13</v>
      </c>
      <c r="I252" t="s">
        <v>760</v>
      </c>
      <c r="J252">
        <v>1</v>
      </c>
    </row>
    <row r="253" spans="1:10" x14ac:dyDescent="0.2">
      <c r="A253">
        <v>1016</v>
      </c>
      <c r="B253" t="s">
        <v>761</v>
      </c>
      <c r="C253">
        <v>36</v>
      </c>
      <c r="D253" t="s">
        <v>16</v>
      </c>
      <c r="E253" s="2">
        <v>45996</v>
      </c>
      <c r="F253" s="2">
        <v>45458</v>
      </c>
      <c r="G253" t="s">
        <v>762</v>
      </c>
      <c r="H253" t="s">
        <v>24</v>
      </c>
      <c r="I253" t="s">
        <v>763</v>
      </c>
      <c r="J253" t="s">
        <v>60</v>
      </c>
    </row>
    <row r="254" spans="1:10" x14ac:dyDescent="0.2">
      <c r="A254">
        <v>1045</v>
      </c>
      <c r="B254" t="s">
        <v>764</v>
      </c>
      <c r="C254">
        <v>34</v>
      </c>
      <c r="D254" t="s">
        <v>16</v>
      </c>
      <c r="E254" s="1">
        <v>45791</v>
      </c>
      <c r="F254" s="2">
        <v>45431</v>
      </c>
      <c r="G254" t="s">
        <v>765</v>
      </c>
      <c r="H254" t="s">
        <v>13</v>
      </c>
      <c r="I254" t="s">
        <v>766</v>
      </c>
      <c r="J254" t="s">
        <v>60</v>
      </c>
    </row>
    <row r="255" spans="1:10" x14ac:dyDescent="0.2">
      <c r="A255">
        <v>1036</v>
      </c>
      <c r="B255" t="s">
        <v>767</v>
      </c>
      <c r="C255">
        <v>29</v>
      </c>
      <c r="D255">
        <v>1</v>
      </c>
      <c r="E255" s="2">
        <v>46050</v>
      </c>
      <c r="F255" s="1">
        <v>45629</v>
      </c>
      <c r="G255" t="s">
        <v>768</v>
      </c>
      <c r="H255" t="s">
        <v>24</v>
      </c>
      <c r="I255" t="s">
        <v>769</v>
      </c>
      <c r="J255" t="s">
        <v>30</v>
      </c>
    </row>
    <row r="256" spans="1:10" x14ac:dyDescent="0.2">
      <c r="A256">
        <v>1031</v>
      </c>
      <c r="B256" t="s">
        <v>770</v>
      </c>
      <c r="C256">
        <v>42</v>
      </c>
      <c r="D256" t="s">
        <v>16</v>
      </c>
      <c r="E256" s="1">
        <v>45874</v>
      </c>
      <c r="F256" s="2">
        <v>45865</v>
      </c>
      <c r="G256" t="s">
        <v>771</v>
      </c>
      <c r="H256" t="s">
        <v>18</v>
      </c>
      <c r="I256" t="s">
        <v>772</v>
      </c>
      <c r="J256" t="s">
        <v>30</v>
      </c>
    </row>
    <row r="257" spans="1:10" x14ac:dyDescent="0.2">
      <c r="A257">
        <v>1097</v>
      </c>
      <c r="B257" t="s">
        <v>773</v>
      </c>
      <c r="C257">
        <v>35</v>
      </c>
      <c r="E257" s="2">
        <v>45766</v>
      </c>
      <c r="F257" s="1">
        <v>45758</v>
      </c>
      <c r="G257" t="s">
        <v>774</v>
      </c>
      <c r="H257" t="s">
        <v>13</v>
      </c>
      <c r="I257" t="s">
        <v>775</v>
      </c>
      <c r="J257" t="s">
        <v>60</v>
      </c>
    </row>
    <row r="258" spans="1:10" x14ac:dyDescent="0.2">
      <c r="A258">
        <v>1062</v>
      </c>
      <c r="B258" t="s">
        <v>776</v>
      </c>
      <c r="C258">
        <v>25</v>
      </c>
      <c r="D258" t="s">
        <v>51</v>
      </c>
      <c r="E258" s="2">
        <v>45936</v>
      </c>
      <c r="F258" s="1">
        <v>45456</v>
      </c>
      <c r="G258" t="s">
        <v>777</v>
      </c>
      <c r="H258" t="s">
        <v>13</v>
      </c>
      <c r="I258" t="s">
        <v>778</v>
      </c>
      <c r="J258">
        <v>0</v>
      </c>
    </row>
    <row r="259" spans="1:10" x14ac:dyDescent="0.2">
      <c r="A259">
        <v>1056</v>
      </c>
      <c r="B259" t="s">
        <v>779</v>
      </c>
      <c r="C259">
        <v>57</v>
      </c>
      <c r="D259" t="s">
        <v>11</v>
      </c>
      <c r="E259" s="1">
        <v>45828</v>
      </c>
      <c r="F259" s="2">
        <v>45701</v>
      </c>
      <c r="G259" t="s">
        <v>780</v>
      </c>
      <c r="H259" t="s">
        <v>24</v>
      </c>
      <c r="I259" t="s">
        <v>781</v>
      </c>
      <c r="J259">
        <v>1</v>
      </c>
    </row>
    <row r="260" spans="1:10" x14ac:dyDescent="0.2">
      <c r="A260">
        <v>1058</v>
      </c>
      <c r="B260" t="s">
        <v>782</v>
      </c>
      <c r="C260">
        <v>19</v>
      </c>
      <c r="D260">
        <v>1</v>
      </c>
      <c r="E260" s="1">
        <v>45788</v>
      </c>
      <c r="F260" s="1">
        <v>45749</v>
      </c>
      <c r="G260" t="s">
        <v>783</v>
      </c>
      <c r="H260" t="s">
        <v>24</v>
      </c>
      <c r="I260" t="s">
        <v>784</v>
      </c>
      <c r="J260" t="s">
        <v>36</v>
      </c>
    </row>
    <row r="261" spans="1:10" x14ac:dyDescent="0.2">
      <c r="A261">
        <v>1053</v>
      </c>
      <c r="B261" t="s">
        <v>785</v>
      </c>
      <c r="C261">
        <v>30</v>
      </c>
      <c r="D261" t="s">
        <v>11</v>
      </c>
      <c r="E261" s="1">
        <v>46105</v>
      </c>
      <c r="F261" s="2">
        <v>45377</v>
      </c>
      <c r="G261" t="s">
        <v>786</v>
      </c>
      <c r="H261" t="s">
        <v>28</v>
      </c>
      <c r="I261" t="s">
        <v>787</v>
      </c>
      <c r="J261">
        <v>0</v>
      </c>
    </row>
    <row r="262" spans="1:10" x14ac:dyDescent="0.2">
      <c r="A262">
        <v>1032</v>
      </c>
      <c r="B262" t="s">
        <v>788</v>
      </c>
      <c r="C262">
        <v>43</v>
      </c>
      <c r="D262" t="s">
        <v>16</v>
      </c>
      <c r="E262" s="1">
        <v>45830</v>
      </c>
      <c r="F262" s="1">
        <v>45682</v>
      </c>
      <c r="G262" t="s">
        <v>789</v>
      </c>
      <c r="H262" t="s">
        <v>24</v>
      </c>
      <c r="I262" t="s">
        <v>790</v>
      </c>
      <c r="J262">
        <v>0</v>
      </c>
    </row>
    <row r="263" spans="1:10" x14ac:dyDescent="0.2">
      <c r="A263">
        <v>1049</v>
      </c>
      <c r="B263" t="s">
        <v>791</v>
      </c>
      <c r="C263">
        <v>79</v>
      </c>
      <c r="D263">
        <v>1</v>
      </c>
      <c r="E263" s="2">
        <v>45997</v>
      </c>
      <c r="F263" s="1">
        <v>45544</v>
      </c>
      <c r="G263" t="s">
        <v>792</v>
      </c>
      <c r="H263" t="s">
        <v>24</v>
      </c>
      <c r="J263" t="s">
        <v>30</v>
      </c>
    </row>
    <row r="264" spans="1:10" x14ac:dyDescent="0.2">
      <c r="A264">
        <v>1068</v>
      </c>
      <c r="B264" t="s">
        <v>793</v>
      </c>
      <c r="C264">
        <v>61</v>
      </c>
      <c r="D264" t="s">
        <v>71</v>
      </c>
      <c r="E264" s="1">
        <v>45950</v>
      </c>
      <c r="F264" s="2">
        <v>45876</v>
      </c>
      <c r="G264" t="s">
        <v>794</v>
      </c>
      <c r="H264" t="s">
        <v>24</v>
      </c>
      <c r="I264" t="s">
        <v>795</v>
      </c>
      <c r="J264" t="s">
        <v>60</v>
      </c>
    </row>
    <row r="265" spans="1:10" x14ac:dyDescent="0.2">
      <c r="A265">
        <v>1015</v>
      </c>
      <c r="B265" t="s">
        <v>796</v>
      </c>
      <c r="C265">
        <v>53</v>
      </c>
      <c r="D265" t="s">
        <v>51</v>
      </c>
      <c r="E265" s="1">
        <v>45768</v>
      </c>
      <c r="F265" s="2">
        <v>45529</v>
      </c>
      <c r="G265" t="s">
        <v>797</v>
      </c>
      <c r="H265" t="s">
        <v>28</v>
      </c>
      <c r="I265" t="s">
        <v>798</v>
      </c>
      <c r="J265" t="s">
        <v>30</v>
      </c>
    </row>
    <row r="266" spans="1:10" x14ac:dyDescent="0.2">
      <c r="A266">
        <v>1090</v>
      </c>
      <c r="B266" t="s">
        <v>799</v>
      </c>
      <c r="C266">
        <v>70</v>
      </c>
      <c r="D266" t="s">
        <v>38</v>
      </c>
      <c r="E266" s="2">
        <v>46000</v>
      </c>
      <c r="F266" s="1">
        <v>45612</v>
      </c>
      <c r="G266" t="s">
        <v>800</v>
      </c>
      <c r="H266" t="s">
        <v>18</v>
      </c>
      <c r="I266" t="s">
        <v>801</v>
      </c>
      <c r="J266" t="s">
        <v>20</v>
      </c>
    </row>
    <row r="267" spans="1:10" x14ac:dyDescent="0.2">
      <c r="A267">
        <v>1086</v>
      </c>
      <c r="B267" t="s">
        <v>802</v>
      </c>
      <c r="C267">
        <v>72</v>
      </c>
      <c r="D267">
        <v>0</v>
      </c>
      <c r="E267" s="1">
        <v>46091</v>
      </c>
      <c r="F267" s="2">
        <v>45952</v>
      </c>
      <c r="G267" t="s">
        <v>803</v>
      </c>
      <c r="H267" t="s">
        <v>18</v>
      </c>
      <c r="I267" t="s">
        <v>804</v>
      </c>
      <c r="J267">
        <v>0</v>
      </c>
    </row>
    <row r="268" spans="1:10" x14ac:dyDescent="0.2">
      <c r="A268">
        <v>1088</v>
      </c>
      <c r="B268" t="s">
        <v>805</v>
      </c>
      <c r="C268">
        <v>49</v>
      </c>
      <c r="D268" t="s">
        <v>38</v>
      </c>
      <c r="E268" s="2">
        <v>45915</v>
      </c>
      <c r="F268" s="1">
        <v>45687</v>
      </c>
      <c r="G268" t="s">
        <v>806</v>
      </c>
      <c r="H268" t="s">
        <v>28</v>
      </c>
      <c r="I268" t="s">
        <v>807</v>
      </c>
      <c r="J268" t="s">
        <v>20</v>
      </c>
    </row>
    <row r="269" spans="1:10" x14ac:dyDescent="0.2">
      <c r="A269">
        <v>1034</v>
      </c>
      <c r="B269" t="s">
        <v>808</v>
      </c>
      <c r="C269">
        <v>44</v>
      </c>
      <c r="E269" s="2">
        <v>45854</v>
      </c>
      <c r="F269" s="1">
        <v>45820</v>
      </c>
      <c r="G269" t="s">
        <v>809</v>
      </c>
      <c r="H269" t="s">
        <v>24</v>
      </c>
      <c r="I269" t="s">
        <v>810</v>
      </c>
      <c r="J269" t="s">
        <v>36</v>
      </c>
    </row>
    <row r="270" spans="1:10" x14ac:dyDescent="0.2">
      <c r="A270">
        <v>1070</v>
      </c>
      <c r="B270" t="s">
        <v>811</v>
      </c>
      <c r="C270">
        <v>68</v>
      </c>
      <c r="D270" t="s">
        <v>11</v>
      </c>
      <c r="E270" s="1">
        <v>45807</v>
      </c>
      <c r="F270" s="1">
        <v>45426</v>
      </c>
      <c r="G270" t="s">
        <v>812</v>
      </c>
      <c r="H270" t="s">
        <v>28</v>
      </c>
      <c r="I270" t="s">
        <v>813</v>
      </c>
      <c r="J270" t="s">
        <v>36</v>
      </c>
    </row>
    <row r="271" spans="1:10" x14ac:dyDescent="0.2">
      <c r="A271">
        <v>1032</v>
      </c>
      <c r="B271" t="s">
        <v>814</v>
      </c>
      <c r="C271">
        <v>88</v>
      </c>
      <c r="D271" t="s">
        <v>22</v>
      </c>
      <c r="E271" s="1">
        <v>46044</v>
      </c>
      <c r="F271" s="2">
        <v>45389</v>
      </c>
      <c r="G271" t="s">
        <v>815</v>
      </c>
      <c r="H271" t="s">
        <v>28</v>
      </c>
      <c r="I271" t="s">
        <v>816</v>
      </c>
      <c r="J271" t="s">
        <v>30</v>
      </c>
    </row>
    <row r="272" spans="1:10" x14ac:dyDescent="0.2">
      <c r="A272">
        <v>1036</v>
      </c>
      <c r="B272" t="s">
        <v>817</v>
      </c>
      <c r="C272">
        <v>75</v>
      </c>
      <c r="D272">
        <v>1</v>
      </c>
      <c r="E272" s="2">
        <v>46076</v>
      </c>
      <c r="F272" s="1">
        <v>45581</v>
      </c>
      <c r="G272" t="s">
        <v>818</v>
      </c>
      <c r="H272" t="s">
        <v>13</v>
      </c>
      <c r="I272" t="s">
        <v>819</v>
      </c>
      <c r="J272" t="s">
        <v>60</v>
      </c>
    </row>
    <row r="273" spans="1:10" x14ac:dyDescent="0.2">
      <c r="A273">
        <v>1098</v>
      </c>
      <c r="B273" t="s">
        <v>820</v>
      </c>
      <c r="C273">
        <v>88</v>
      </c>
      <c r="D273" t="s">
        <v>38</v>
      </c>
      <c r="E273" s="2">
        <v>46067</v>
      </c>
      <c r="F273" s="1">
        <v>45653</v>
      </c>
      <c r="G273" t="s">
        <v>821</v>
      </c>
      <c r="H273" t="s">
        <v>18</v>
      </c>
      <c r="I273" t="s">
        <v>822</v>
      </c>
      <c r="J273">
        <v>0</v>
      </c>
    </row>
    <row r="274" spans="1:10" x14ac:dyDescent="0.2">
      <c r="A274">
        <v>1071</v>
      </c>
      <c r="B274" t="s">
        <v>823</v>
      </c>
      <c r="C274">
        <v>49</v>
      </c>
      <c r="D274" t="s">
        <v>71</v>
      </c>
      <c r="E274" s="1">
        <v>45801</v>
      </c>
      <c r="F274" s="2">
        <v>45636</v>
      </c>
      <c r="G274" t="s">
        <v>824</v>
      </c>
      <c r="H274" t="s">
        <v>18</v>
      </c>
      <c r="I274" t="s">
        <v>825</v>
      </c>
      <c r="J274" t="s">
        <v>60</v>
      </c>
    </row>
    <row r="275" spans="1:10" x14ac:dyDescent="0.2">
      <c r="A275">
        <v>1054</v>
      </c>
      <c r="B275" t="s">
        <v>826</v>
      </c>
      <c r="C275">
        <v>82</v>
      </c>
      <c r="D275">
        <v>1</v>
      </c>
      <c r="E275" s="2">
        <v>45984</v>
      </c>
      <c r="F275" s="1">
        <v>45633</v>
      </c>
      <c r="G275" t="s">
        <v>827</v>
      </c>
      <c r="H275" t="s">
        <v>13</v>
      </c>
      <c r="I275" t="s">
        <v>828</v>
      </c>
      <c r="J275" t="s">
        <v>36</v>
      </c>
    </row>
    <row r="276" spans="1:10" x14ac:dyDescent="0.2">
      <c r="A276">
        <v>1054</v>
      </c>
      <c r="B276" t="s">
        <v>829</v>
      </c>
      <c r="C276">
        <v>62</v>
      </c>
      <c r="D276" t="s">
        <v>71</v>
      </c>
      <c r="E276" s="1">
        <v>46038</v>
      </c>
      <c r="F276" s="1">
        <v>45852</v>
      </c>
      <c r="G276" t="s">
        <v>830</v>
      </c>
      <c r="H276" t="s">
        <v>18</v>
      </c>
      <c r="J276" t="s">
        <v>30</v>
      </c>
    </row>
    <row r="277" spans="1:10" x14ac:dyDescent="0.2">
      <c r="A277">
        <v>1090</v>
      </c>
      <c r="B277" t="s">
        <v>831</v>
      </c>
      <c r="C277">
        <v>55</v>
      </c>
      <c r="D277">
        <v>0</v>
      </c>
      <c r="E277" s="2">
        <v>45921</v>
      </c>
      <c r="F277" s="2">
        <v>45461</v>
      </c>
      <c r="G277" t="s">
        <v>832</v>
      </c>
      <c r="H277" t="s">
        <v>18</v>
      </c>
      <c r="I277" t="s">
        <v>833</v>
      </c>
      <c r="J277">
        <v>0</v>
      </c>
    </row>
    <row r="278" spans="1:10" x14ac:dyDescent="0.2">
      <c r="A278">
        <v>1027</v>
      </c>
      <c r="B278" t="s">
        <v>834</v>
      </c>
      <c r="C278">
        <v>83</v>
      </c>
      <c r="D278">
        <v>1</v>
      </c>
      <c r="E278" s="2">
        <v>45834</v>
      </c>
      <c r="F278" s="1">
        <v>45820</v>
      </c>
      <c r="G278" t="s">
        <v>835</v>
      </c>
      <c r="H278" t="s">
        <v>24</v>
      </c>
      <c r="I278" t="s">
        <v>836</v>
      </c>
      <c r="J278" t="s">
        <v>36</v>
      </c>
    </row>
    <row r="279" spans="1:10" x14ac:dyDescent="0.2">
      <c r="A279">
        <v>1017</v>
      </c>
      <c r="B279" t="s">
        <v>837</v>
      </c>
      <c r="C279">
        <v>86</v>
      </c>
      <c r="D279" t="s">
        <v>16</v>
      </c>
      <c r="E279" s="2">
        <v>45805</v>
      </c>
      <c r="F279" s="1">
        <v>45483</v>
      </c>
      <c r="G279" t="s">
        <v>838</v>
      </c>
      <c r="H279" t="s">
        <v>13</v>
      </c>
      <c r="J279">
        <v>1</v>
      </c>
    </row>
    <row r="280" spans="1:10" x14ac:dyDescent="0.2">
      <c r="A280">
        <v>1027</v>
      </c>
      <c r="B280" t="s">
        <v>839</v>
      </c>
      <c r="C280">
        <v>77</v>
      </c>
      <c r="D280" t="s">
        <v>38</v>
      </c>
      <c r="E280" s="2">
        <v>45919</v>
      </c>
      <c r="F280" s="2">
        <v>45524</v>
      </c>
      <c r="G280" t="s">
        <v>840</v>
      </c>
      <c r="H280" t="s">
        <v>13</v>
      </c>
      <c r="I280" t="s">
        <v>841</v>
      </c>
      <c r="J280" t="s">
        <v>20</v>
      </c>
    </row>
    <row r="281" spans="1:10" x14ac:dyDescent="0.2">
      <c r="A281">
        <v>1026</v>
      </c>
      <c r="B281" t="s">
        <v>842</v>
      </c>
      <c r="C281">
        <v>47</v>
      </c>
      <c r="D281" t="s">
        <v>16</v>
      </c>
      <c r="E281" s="2">
        <v>46028</v>
      </c>
      <c r="F281" s="2">
        <v>45576</v>
      </c>
      <c r="G281" t="s">
        <v>843</v>
      </c>
      <c r="H281" t="s">
        <v>24</v>
      </c>
      <c r="I281" t="s">
        <v>844</v>
      </c>
      <c r="J281" t="s">
        <v>36</v>
      </c>
    </row>
    <row r="282" spans="1:10" x14ac:dyDescent="0.2">
      <c r="A282">
        <v>1080</v>
      </c>
      <c r="B282" t="s">
        <v>845</v>
      </c>
      <c r="C282">
        <v>69</v>
      </c>
      <c r="D282" t="s">
        <v>71</v>
      </c>
      <c r="E282" s="1">
        <v>45945</v>
      </c>
      <c r="F282" s="2">
        <v>45819</v>
      </c>
      <c r="G282" t="s">
        <v>846</v>
      </c>
      <c r="H282" t="s">
        <v>28</v>
      </c>
      <c r="I282" t="s">
        <v>847</v>
      </c>
      <c r="J282">
        <v>0</v>
      </c>
    </row>
    <row r="283" spans="1:10" x14ac:dyDescent="0.2">
      <c r="A283">
        <v>1039</v>
      </c>
      <c r="B283" t="s">
        <v>848</v>
      </c>
      <c r="C283">
        <v>40</v>
      </c>
      <c r="D283">
        <v>0</v>
      </c>
      <c r="E283" s="1">
        <v>45903</v>
      </c>
      <c r="F283" s="1">
        <v>45390</v>
      </c>
      <c r="G283" t="s">
        <v>849</v>
      </c>
      <c r="H283" t="s">
        <v>13</v>
      </c>
      <c r="I283" t="s">
        <v>850</v>
      </c>
      <c r="J283" t="s">
        <v>36</v>
      </c>
    </row>
    <row r="284" spans="1:10" x14ac:dyDescent="0.2">
      <c r="A284">
        <v>1059</v>
      </c>
      <c r="B284" t="s">
        <v>851</v>
      </c>
      <c r="C284">
        <v>32</v>
      </c>
      <c r="D284" t="s">
        <v>51</v>
      </c>
      <c r="E284" s="1">
        <v>46092</v>
      </c>
      <c r="F284" s="2">
        <v>45861</v>
      </c>
      <c r="G284" t="s">
        <v>852</v>
      </c>
      <c r="H284" t="s">
        <v>28</v>
      </c>
      <c r="I284" t="s">
        <v>853</v>
      </c>
      <c r="J284" t="s">
        <v>36</v>
      </c>
    </row>
    <row r="285" spans="1:10" x14ac:dyDescent="0.2">
      <c r="A285">
        <v>1043</v>
      </c>
      <c r="B285" t="s">
        <v>854</v>
      </c>
      <c r="C285">
        <v>66</v>
      </c>
      <c r="D285">
        <v>1</v>
      </c>
      <c r="E285" s="1">
        <v>45983</v>
      </c>
      <c r="F285" s="2">
        <v>45907</v>
      </c>
      <c r="G285" t="s">
        <v>855</v>
      </c>
      <c r="H285" t="s">
        <v>24</v>
      </c>
      <c r="I285" t="s">
        <v>856</v>
      </c>
      <c r="J285" t="s">
        <v>36</v>
      </c>
    </row>
    <row r="286" spans="1:10" x14ac:dyDescent="0.2">
      <c r="A286">
        <v>1066</v>
      </c>
      <c r="B286" t="s">
        <v>857</v>
      </c>
      <c r="C286">
        <v>28</v>
      </c>
      <c r="D286" t="s">
        <v>71</v>
      </c>
      <c r="E286" s="2">
        <v>45910</v>
      </c>
      <c r="F286" s="1">
        <v>45768</v>
      </c>
      <c r="G286" t="s">
        <v>858</v>
      </c>
      <c r="H286" t="s">
        <v>13</v>
      </c>
      <c r="I286" t="s">
        <v>859</v>
      </c>
      <c r="J286">
        <v>1</v>
      </c>
    </row>
    <row r="287" spans="1:10" x14ac:dyDescent="0.2">
      <c r="A287">
        <v>1040</v>
      </c>
      <c r="B287" t="s">
        <v>860</v>
      </c>
      <c r="C287">
        <v>35</v>
      </c>
      <c r="D287" t="s">
        <v>22</v>
      </c>
      <c r="E287" s="1">
        <v>45888</v>
      </c>
      <c r="F287" s="2">
        <v>45823</v>
      </c>
      <c r="G287" t="s">
        <v>861</v>
      </c>
      <c r="H287" t="s">
        <v>28</v>
      </c>
      <c r="I287" t="s">
        <v>862</v>
      </c>
      <c r="J287" t="s">
        <v>60</v>
      </c>
    </row>
    <row r="288" spans="1:10" x14ac:dyDescent="0.2">
      <c r="A288">
        <v>1090</v>
      </c>
      <c r="B288" t="s">
        <v>863</v>
      </c>
      <c r="C288">
        <v>25</v>
      </c>
      <c r="D288" t="s">
        <v>38</v>
      </c>
      <c r="E288" s="1">
        <v>45974</v>
      </c>
      <c r="F288" s="1">
        <v>45639</v>
      </c>
      <c r="G288" t="s">
        <v>864</v>
      </c>
      <c r="H288" t="s">
        <v>28</v>
      </c>
      <c r="I288" t="s">
        <v>865</v>
      </c>
      <c r="J288">
        <v>1</v>
      </c>
    </row>
    <row r="289" spans="1:10" x14ac:dyDescent="0.2">
      <c r="A289">
        <v>1003</v>
      </c>
      <c r="B289" t="s">
        <v>866</v>
      </c>
      <c r="C289">
        <v>81</v>
      </c>
      <c r="D289" t="s">
        <v>11</v>
      </c>
      <c r="E289" s="2">
        <v>45799</v>
      </c>
      <c r="F289" s="1">
        <v>45397</v>
      </c>
      <c r="G289" t="s">
        <v>867</v>
      </c>
      <c r="H289" t="s">
        <v>24</v>
      </c>
      <c r="I289" t="s">
        <v>868</v>
      </c>
      <c r="J289" t="s">
        <v>20</v>
      </c>
    </row>
    <row r="290" spans="1:10" x14ac:dyDescent="0.2">
      <c r="A290">
        <v>1054</v>
      </c>
      <c r="B290" t="s">
        <v>869</v>
      </c>
      <c r="C290">
        <v>30</v>
      </c>
      <c r="D290" t="s">
        <v>51</v>
      </c>
      <c r="E290" s="2">
        <v>46075</v>
      </c>
      <c r="F290" s="1">
        <v>45842</v>
      </c>
      <c r="G290" t="s">
        <v>870</v>
      </c>
      <c r="H290" t="s">
        <v>28</v>
      </c>
      <c r="I290" t="s">
        <v>871</v>
      </c>
      <c r="J290" t="s">
        <v>60</v>
      </c>
    </row>
    <row r="291" spans="1:10" x14ac:dyDescent="0.2">
      <c r="A291">
        <v>1003</v>
      </c>
      <c r="B291" t="s">
        <v>872</v>
      </c>
      <c r="C291">
        <v>41</v>
      </c>
      <c r="D291">
        <v>0</v>
      </c>
      <c r="E291" s="1">
        <v>45791</v>
      </c>
      <c r="F291" s="1">
        <v>45387</v>
      </c>
      <c r="G291" t="s">
        <v>511</v>
      </c>
      <c r="H291" t="s">
        <v>28</v>
      </c>
      <c r="I291" t="s">
        <v>873</v>
      </c>
      <c r="J291" t="s">
        <v>30</v>
      </c>
    </row>
    <row r="292" spans="1:10" x14ac:dyDescent="0.2">
      <c r="A292">
        <v>1011</v>
      </c>
      <c r="B292" t="s">
        <v>874</v>
      </c>
      <c r="C292">
        <v>54</v>
      </c>
      <c r="D292">
        <v>0</v>
      </c>
      <c r="E292" s="2">
        <v>46066</v>
      </c>
      <c r="F292" s="2">
        <v>45602</v>
      </c>
      <c r="G292" t="s">
        <v>875</v>
      </c>
      <c r="H292" t="s">
        <v>18</v>
      </c>
      <c r="I292" t="s">
        <v>876</v>
      </c>
      <c r="J292" t="s">
        <v>60</v>
      </c>
    </row>
    <row r="293" spans="1:10" x14ac:dyDescent="0.2">
      <c r="A293">
        <v>1029</v>
      </c>
      <c r="B293" t="s">
        <v>877</v>
      </c>
      <c r="C293">
        <v>30</v>
      </c>
      <c r="D293" t="s">
        <v>16</v>
      </c>
      <c r="E293" s="1">
        <v>45857</v>
      </c>
      <c r="F293" s="2">
        <v>45789</v>
      </c>
      <c r="G293" t="s">
        <v>878</v>
      </c>
      <c r="H293" t="s">
        <v>18</v>
      </c>
      <c r="I293" t="s">
        <v>879</v>
      </c>
      <c r="J293" t="s">
        <v>60</v>
      </c>
    </row>
    <row r="294" spans="1:10" x14ac:dyDescent="0.2">
      <c r="A294">
        <v>1051</v>
      </c>
      <c r="B294" t="s">
        <v>880</v>
      </c>
      <c r="C294">
        <v>53</v>
      </c>
      <c r="D294">
        <v>0</v>
      </c>
      <c r="E294" s="2">
        <v>45837</v>
      </c>
      <c r="F294" s="2">
        <v>45548</v>
      </c>
      <c r="G294" t="s">
        <v>881</v>
      </c>
      <c r="H294" t="s">
        <v>24</v>
      </c>
      <c r="I294" t="s">
        <v>882</v>
      </c>
      <c r="J294" t="s">
        <v>30</v>
      </c>
    </row>
    <row r="295" spans="1:10" x14ac:dyDescent="0.2">
      <c r="A295">
        <v>1041</v>
      </c>
      <c r="B295" t="s">
        <v>883</v>
      </c>
      <c r="C295">
        <v>65</v>
      </c>
      <c r="D295">
        <v>1</v>
      </c>
      <c r="E295" s="1">
        <v>45958</v>
      </c>
      <c r="F295" s="2">
        <v>45887</v>
      </c>
      <c r="G295" t="s">
        <v>884</v>
      </c>
      <c r="H295" t="s">
        <v>24</v>
      </c>
      <c r="I295" t="s">
        <v>885</v>
      </c>
      <c r="J295" t="s">
        <v>60</v>
      </c>
    </row>
    <row r="296" spans="1:10" x14ac:dyDescent="0.2">
      <c r="A296">
        <v>1004</v>
      </c>
      <c r="B296" t="s">
        <v>886</v>
      </c>
      <c r="C296">
        <v>64</v>
      </c>
      <c r="E296" s="1">
        <v>46093</v>
      </c>
      <c r="F296" s="2">
        <v>45447</v>
      </c>
      <c r="G296" t="s">
        <v>887</v>
      </c>
      <c r="H296" t="s">
        <v>28</v>
      </c>
      <c r="I296" t="s">
        <v>888</v>
      </c>
      <c r="J296">
        <v>1</v>
      </c>
    </row>
    <row r="297" spans="1:10" x14ac:dyDescent="0.2">
      <c r="A297">
        <v>1054</v>
      </c>
      <c r="B297" t="s">
        <v>889</v>
      </c>
      <c r="C297">
        <v>78</v>
      </c>
      <c r="D297" t="s">
        <v>71</v>
      </c>
      <c r="E297" s="1">
        <v>46016</v>
      </c>
      <c r="F297" s="2">
        <v>45639</v>
      </c>
      <c r="G297" t="s">
        <v>890</v>
      </c>
      <c r="H297" t="s">
        <v>24</v>
      </c>
      <c r="I297" t="s">
        <v>891</v>
      </c>
      <c r="J297" t="s">
        <v>30</v>
      </c>
    </row>
    <row r="298" spans="1:10" x14ac:dyDescent="0.2">
      <c r="A298">
        <v>1006</v>
      </c>
      <c r="B298" t="s">
        <v>892</v>
      </c>
      <c r="C298">
        <v>63</v>
      </c>
      <c r="D298" t="s">
        <v>22</v>
      </c>
      <c r="E298" s="1">
        <v>46004</v>
      </c>
      <c r="F298" s="2">
        <v>45721</v>
      </c>
      <c r="G298" t="s">
        <v>893</v>
      </c>
      <c r="H298" t="s">
        <v>24</v>
      </c>
      <c r="I298" t="s">
        <v>894</v>
      </c>
      <c r="J298" t="s">
        <v>60</v>
      </c>
    </row>
    <row r="299" spans="1:10" x14ac:dyDescent="0.2">
      <c r="A299">
        <v>1076</v>
      </c>
      <c r="B299" t="s">
        <v>895</v>
      </c>
      <c r="C299">
        <v>23</v>
      </c>
      <c r="D299" t="s">
        <v>71</v>
      </c>
      <c r="E299" s="1">
        <v>45935</v>
      </c>
      <c r="F299" s="2">
        <v>45736</v>
      </c>
      <c r="G299" t="s">
        <v>896</v>
      </c>
      <c r="H299" t="s">
        <v>28</v>
      </c>
      <c r="J299" t="s">
        <v>30</v>
      </c>
    </row>
    <row r="300" spans="1:10" x14ac:dyDescent="0.2">
      <c r="A300">
        <v>1054</v>
      </c>
      <c r="B300" t="s">
        <v>897</v>
      </c>
      <c r="C300">
        <v>70</v>
      </c>
      <c r="D300">
        <v>0</v>
      </c>
      <c r="E300" s="1">
        <v>45964</v>
      </c>
      <c r="F300" s="1">
        <v>45824</v>
      </c>
      <c r="G300" t="s">
        <v>898</v>
      </c>
      <c r="H300" t="s">
        <v>13</v>
      </c>
      <c r="I300" t="s">
        <v>899</v>
      </c>
      <c r="J300" t="s">
        <v>36</v>
      </c>
    </row>
    <row r="301" spans="1:10" x14ac:dyDescent="0.2">
      <c r="A301">
        <v>1021</v>
      </c>
      <c r="B301" t="s">
        <v>900</v>
      </c>
      <c r="C301">
        <v>54</v>
      </c>
      <c r="D301" t="s">
        <v>51</v>
      </c>
      <c r="E301" s="2">
        <v>45920</v>
      </c>
      <c r="F301" s="2">
        <v>45467</v>
      </c>
      <c r="G301" t="s">
        <v>901</v>
      </c>
      <c r="H301" t="s">
        <v>13</v>
      </c>
      <c r="I301" t="s">
        <v>902</v>
      </c>
      <c r="J301">
        <v>0</v>
      </c>
    </row>
    <row r="302" spans="1:10" x14ac:dyDescent="0.2">
      <c r="A302">
        <v>1015</v>
      </c>
      <c r="B302" t="s">
        <v>903</v>
      </c>
      <c r="C302">
        <v>50</v>
      </c>
      <c r="D302">
        <v>0</v>
      </c>
      <c r="E302" s="1">
        <v>45894</v>
      </c>
      <c r="F302" s="2">
        <v>45461</v>
      </c>
      <c r="G302" t="s">
        <v>904</v>
      </c>
      <c r="H302" t="s">
        <v>24</v>
      </c>
      <c r="I302" t="s">
        <v>905</v>
      </c>
      <c r="J302" t="s">
        <v>36</v>
      </c>
    </row>
    <row r="303" spans="1:10" x14ac:dyDescent="0.2">
      <c r="A303">
        <v>1014</v>
      </c>
      <c r="B303" t="s">
        <v>906</v>
      </c>
      <c r="C303">
        <v>79</v>
      </c>
      <c r="D303">
        <v>0</v>
      </c>
      <c r="E303" s="1">
        <v>46050</v>
      </c>
      <c r="F303" s="2">
        <v>45385</v>
      </c>
      <c r="G303" t="s">
        <v>907</v>
      </c>
      <c r="H303" t="s">
        <v>24</v>
      </c>
      <c r="I303" t="s">
        <v>908</v>
      </c>
      <c r="J303" t="s">
        <v>36</v>
      </c>
    </row>
    <row r="304" spans="1:10" x14ac:dyDescent="0.2">
      <c r="A304">
        <v>1088</v>
      </c>
      <c r="B304" t="s">
        <v>909</v>
      </c>
      <c r="C304">
        <v>83</v>
      </c>
      <c r="D304" t="s">
        <v>71</v>
      </c>
      <c r="E304" s="1">
        <v>46025</v>
      </c>
      <c r="F304" s="1">
        <v>45647</v>
      </c>
      <c r="G304" t="s">
        <v>910</v>
      </c>
      <c r="H304" t="s">
        <v>18</v>
      </c>
      <c r="I304" t="s">
        <v>911</v>
      </c>
      <c r="J304" t="s">
        <v>36</v>
      </c>
    </row>
    <row r="305" spans="1:10" x14ac:dyDescent="0.2">
      <c r="A305">
        <v>1034</v>
      </c>
      <c r="B305" t="s">
        <v>912</v>
      </c>
      <c r="C305">
        <v>37</v>
      </c>
      <c r="D305">
        <v>0</v>
      </c>
      <c r="E305" s="2">
        <v>45939</v>
      </c>
      <c r="F305" s="2">
        <v>45752</v>
      </c>
      <c r="G305" t="s">
        <v>913</v>
      </c>
      <c r="H305" t="s">
        <v>24</v>
      </c>
      <c r="I305" t="s">
        <v>914</v>
      </c>
      <c r="J305" t="s">
        <v>60</v>
      </c>
    </row>
    <row r="306" spans="1:10" x14ac:dyDescent="0.2">
      <c r="A306">
        <v>1020</v>
      </c>
      <c r="B306" t="s">
        <v>915</v>
      </c>
      <c r="C306">
        <v>40</v>
      </c>
      <c r="D306" t="s">
        <v>11</v>
      </c>
      <c r="E306" s="2">
        <v>46036</v>
      </c>
      <c r="F306" s="1">
        <v>45974</v>
      </c>
      <c r="G306" t="s">
        <v>916</v>
      </c>
      <c r="H306" t="s">
        <v>24</v>
      </c>
      <c r="I306" t="s">
        <v>917</v>
      </c>
      <c r="J306" t="s">
        <v>60</v>
      </c>
    </row>
    <row r="307" spans="1:10" x14ac:dyDescent="0.2">
      <c r="A307">
        <v>1053</v>
      </c>
      <c r="B307" t="s">
        <v>918</v>
      </c>
      <c r="C307">
        <v>76</v>
      </c>
      <c r="D307" t="s">
        <v>71</v>
      </c>
      <c r="E307" s="1">
        <v>45827</v>
      </c>
      <c r="F307" s="1">
        <v>45777</v>
      </c>
      <c r="G307" t="s">
        <v>919</v>
      </c>
      <c r="H307" t="s">
        <v>13</v>
      </c>
      <c r="I307" t="s">
        <v>920</v>
      </c>
      <c r="J307">
        <v>0</v>
      </c>
    </row>
    <row r="308" spans="1:10" x14ac:dyDescent="0.2">
      <c r="A308">
        <v>1011</v>
      </c>
      <c r="B308" t="s">
        <v>921</v>
      </c>
      <c r="C308">
        <v>60</v>
      </c>
      <c r="D308" t="s">
        <v>71</v>
      </c>
      <c r="E308" s="1">
        <v>45830</v>
      </c>
      <c r="F308" s="1">
        <v>45408</v>
      </c>
      <c r="G308" t="s">
        <v>922</v>
      </c>
      <c r="H308" t="s">
        <v>13</v>
      </c>
      <c r="I308" t="s">
        <v>923</v>
      </c>
      <c r="J308">
        <v>0</v>
      </c>
    </row>
    <row r="309" spans="1:10" x14ac:dyDescent="0.2">
      <c r="A309">
        <v>1074</v>
      </c>
      <c r="B309" t="s">
        <v>924</v>
      </c>
      <c r="C309">
        <v>51</v>
      </c>
      <c r="D309" t="s">
        <v>22</v>
      </c>
      <c r="E309" s="1">
        <v>46019</v>
      </c>
      <c r="F309" s="1">
        <v>45764</v>
      </c>
      <c r="G309" t="s">
        <v>925</v>
      </c>
      <c r="H309" t="s">
        <v>28</v>
      </c>
      <c r="I309" t="s">
        <v>926</v>
      </c>
      <c r="J309" t="s">
        <v>60</v>
      </c>
    </row>
    <row r="310" spans="1:10" x14ac:dyDescent="0.2">
      <c r="A310">
        <v>1051</v>
      </c>
      <c r="B310" t="s">
        <v>927</v>
      </c>
      <c r="C310">
        <v>52</v>
      </c>
      <c r="D310">
        <v>0</v>
      </c>
      <c r="E310" s="1">
        <v>45907</v>
      </c>
      <c r="F310" s="1">
        <v>45405</v>
      </c>
      <c r="G310" t="s">
        <v>928</v>
      </c>
      <c r="H310" t="s">
        <v>13</v>
      </c>
      <c r="I310" t="s">
        <v>929</v>
      </c>
      <c r="J310">
        <v>1</v>
      </c>
    </row>
    <row r="311" spans="1:10" x14ac:dyDescent="0.2">
      <c r="A311">
        <v>1029</v>
      </c>
      <c r="B311" t="s">
        <v>930</v>
      </c>
      <c r="C311">
        <v>43</v>
      </c>
      <c r="D311" t="s">
        <v>11</v>
      </c>
      <c r="E311" s="2">
        <v>45925</v>
      </c>
      <c r="F311" s="1">
        <v>45595</v>
      </c>
      <c r="G311" t="s">
        <v>931</v>
      </c>
      <c r="H311" t="s">
        <v>13</v>
      </c>
      <c r="I311" t="s">
        <v>932</v>
      </c>
      <c r="J311">
        <v>1</v>
      </c>
    </row>
    <row r="312" spans="1:10" x14ac:dyDescent="0.2">
      <c r="A312">
        <v>1043</v>
      </c>
      <c r="B312" t="s">
        <v>933</v>
      </c>
      <c r="C312">
        <v>38</v>
      </c>
      <c r="D312" t="s">
        <v>71</v>
      </c>
      <c r="E312" s="2">
        <v>46047</v>
      </c>
      <c r="F312" s="2">
        <v>45391</v>
      </c>
      <c r="G312" t="s">
        <v>934</v>
      </c>
      <c r="H312" t="s">
        <v>24</v>
      </c>
      <c r="I312" t="s">
        <v>935</v>
      </c>
      <c r="J312" t="s">
        <v>60</v>
      </c>
    </row>
    <row r="313" spans="1:10" x14ac:dyDescent="0.2">
      <c r="A313">
        <v>1095</v>
      </c>
      <c r="B313" t="s">
        <v>936</v>
      </c>
      <c r="C313">
        <v>84</v>
      </c>
      <c r="D313" t="s">
        <v>16</v>
      </c>
      <c r="E313" s="1">
        <v>46068</v>
      </c>
      <c r="F313" s="2">
        <v>45982</v>
      </c>
      <c r="G313" t="s">
        <v>937</v>
      </c>
      <c r="H313" t="s">
        <v>18</v>
      </c>
      <c r="I313" t="s">
        <v>938</v>
      </c>
      <c r="J313" t="s">
        <v>20</v>
      </c>
    </row>
    <row r="314" spans="1:10" x14ac:dyDescent="0.2">
      <c r="A314">
        <v>1080</v>
      </c>
      <c r="B314" t="s">
        <v>939</v>
      </c>
      <c r="C314">
        <v>40</v>
      </c>
      <c r="D314">
        <v>1</v>
      </c>
      <c r="E314" s="1">
        <v>45896</v>
      </c>
      <c r="F314" s="2">
        <v>45851</v>
      </c>
      <c r="G314" t="s">
        <v>940</v>
      </c>
      <c r="H314" t="s">
        <v>18</v>
      </c>
      <c r="I314" t="s">
        <v>941</v>
      </c>
      <c r="J314" t="s">
        <v>36</v>
      </c>
    </row>
    <row r="315" spans="1:10" x14ac:dyDescent="0.2">
      <c r="A315">
        <v>1082</v>
      </c>
      <c r="B315" t="s">
        <v>942</v>
      </c>
      <c r="C315">
        <v>89</v>
      </c>
      <c r="D315">
        <v>1</v>
      </c>
      <c r="E315" s="2">
        <v>45743</v>
      </c>
      <c r="F315" s="2">
        <v>45642</v>
      </c>
      <c r="G315" t="s">
        <v>943</v>
      </c>
      <c r="H315" t="s">
        <v>13</v>
      </c>
      <c r="I315" t="s">
        <v>944</v>
      </c>
      <c r="J315" t="s">
        <v>60</v>
      </c>
    </row>
    <row r="316" spans="1:10" x14ac:dyDescent="0.2">
      <c r="A316">
        <v>1058</v>
      </c>
      <c r="B316" t="s">
        <v>945</v>
      </c>
      <c r="C316">
        <v>57</v>
      </c>
      <c r="D316">
        <v>0</v>
      </c>
      <c r="E316" s="1">
        <v>45960</v>
      </c>
      <c r="F316" s="2">
        <v>45531</v>
      </c>
      <c r="G316" t="s">
        <v>946</v>
      </c>
      <c r="H316" t="s">
        <v>24</v>
      </c>
      <c r="I316" t="s">
        <v>947</v>
      </c>
      <c r="J316" t="s">
        <v>20</v>
      </c>
    </row>
    <row r="317" spans="1:10" x14ac:dyDescent="0.2">
      <c r="A317">
        <v>1088</v>
      </c>
      <c r="B317" t="s">
        <v>948</v>
      </c>
      <c r="C317">
        <v>26</v>
      </c>
      <c r="D317" t="s">
        <v>11</v>
      </c>
      <c r="E317" s="2">
        <v>46085</v>
      </c>
      <c r="F317" s="1">
        <v>46019</v>
      </c>
      <c r="G317" t="s">
        <v>949</v>
      </c>
      <c r="H317" t="s">
        <v>13</v>
      </c>
      <c r="I317" t="s">
        <v>950</v>
      </c>
      <c r="J317">
        <v>0</v>
      </c>
    </row>
    <row r="318" spans="1:10" x14ac:dyDescent="0.2">
      <c r="A318">
        <v>1039</v>
      </c>
      <c r="B318" t="s">
        <v>951</v>
      </c>
      <c r="C318">
        <v>61</v>
      </c>
      <c r="D318">
        <v>0</v>
      </c>
      <c r="E318" s="2">
        <v>45968</v>
      </c>
      <c r="F318" s="1">
        <v>45921</v>
      </c>
      <c r="G318" t="s">
        <v>952</v>
      </c>
      <c r="H318" t="s">
        <v>28</v>
      </c>
      <c r="I318" t="s">
        <v>953</v>
      </c>
      <c r="J318">
        <v>0</v>
      </c>
    </row>
    <row r="319" spans="1:10" x14ac:dyDescent="0.2">
      <c r="A319">
        <v>1016</v>
      </c>
      <c r="B319" t="s">
        <v>954</v>
      </c>
      <c r="C319">
        <v>78</v>
      </c>
      <c r="D319" t="s">
        <v>16</v>
      </c>
      <c r="E319" s="1">
        <v>45798</v>
      </c>
      <c r="F319" s="1">
        <v>45522</v>
      </c>
      <c r="G319" t="s">
        <v>955</v>
      </c>
      <c r="H319" t="s">
        <v>24</v>
      </c>
      <c r="I319" t="s">
        <v>956</v>
      </c>
      <c r="J319" t="s">
        <v>20</v>
      </c>
    </row>
    <row r="320" spans="1:10" x14ac:dyDescent="0.2">
      <c r="A320">
        <v>1098</v>
      </c>
      <c r="B320" t="s">
        <v>957</v>
      </c>
      <c r="C320">
        <v>35</v>
      </c>
      <c r="D320">
        <v>1</v>
      </c>
      <c r="E320" s="2">
        <v>46008</v>
      </c>
      <c r="F320" s="1">
        <v>45409</v>
      </c>
      <c r="G320" t="s">
        <v>958</v>
      </c>
      <c r="H320" t="s">
        <v>18</v>
      </c>
      <c r="I320" t="s">
        <v>959</v>
      </c>
      <c r="J320" t="s">
        <v>60</v>
      </c>
    </row>
    <row r="321" spans="1:10" x14ac:dyDescent="0.2">
      <c r="A321">
        <v>1025</v>
      </c>
      <c r="B321" t="s">
        <v>960</v>
      </c>
      <c r="C321">
        <v>40</v>
      </c>
      <c r="D321" t="s">
        <v>51</v>
      </c>
      <c r="E321" s="1">
        <v>45880</v>
      </c>
      <c r="F321" s="2">
        <v>45506</v>
      </c>
      <c r="G321" t="s">
        <v>961</v>
      </c>
      <c r="H321" t="s">
        <v>18</v>
      </c>
      <c r="I321" t="s">
        <v>962</v>
      </c>
      <c r="J321">
        <v>0</v>
      </c>
    </row>
    <row r="322" spans="1:10" x14ac:dyDescent="0.2">
      <c r="A322">
        <v>1012</v>
      </c>
      <c r="B322" t="s">
        <v>963</v>
      </c>
      <c r="C322">
        <v>59</v>
      </c>
      <c r="D322" t="s">
        <v>11</v>
      </c>
      <c r="E322" s="2">
        <v>45778</v>
      </c>
      <c r="F322" s="2">
        <v>45567</v>
      </c>
      <c r="G322" t="s">
        <v>964</v>
      </c>
      <c r="H322" t="s">
        <v>28</v>
      </c>
      <c r="I322" t="s">
        <v>965</v>
      </c>
      <c r="J322">
        <v>1</v>
      </c>
    </row>
    <row r="323" spans="1:10" x14ac:dyDescent="0.2">
      <c r="A323">
        <v>1038</v>
      </c>
      <c r="B323" t="s">
        <v>966</v>
      </c>
      <c r="C323">
        <v>57</v>
      </c>
      <c r="D323" t="s">
        <v>38</v>
      </c>
      <c r="E323" s="1">
        <v>45776</v>
      </c>
      <c r="F323" s="1">
        <v>45398</v>
      </c>
      <c r="G323" t="s">
        <v>967</v>
      </c>
      <c r="H323" t="s">
        <v>24</v>
      </c>
      <c r="I323" t="s">
        <v>968</v>
      </c>
      <c r="J323" t="s">
        <v>20</v>
      </c>
    </row>
    <row r="324" spans="1:10" x14ac:dyDescent="0.2">
      <c r="A324">
        <v>1000</v>
      </c>
      <c r="B324" t="s">
        <v>969</v>
      </c>
      <c r="C324">
        <v>85</v>
      </c>
      <c r="D324" t="s">
        <v>22</v>
      </c>
      <c r="E324" s="1">
        <v>45823</v>
      </c>
      <c r="F324" s="1">
        <v>45476</v>
      </c>
      <c r="G324" t="s">
        <v>970</v>
      </c>
      <c r="H324" t="s">
        <v>24</v>
      </c>
      <c r="I324" t="s">
        <v>971</v>
      </c>
      <c r="J324">
        <v>0</v>
      </c>
    </row>
    <row r="325" spans="1:10" x14ac:dyDescent="0.2">
      <c r="A325">
        <v>1020</v>
      </c>
      <c r="B325" t="s">
        <v>972</v>
      </c>
      <c r="C325">
        <v>76</v>
      </c>
      <c r="D325" t="s">
        <v>38</v>
      </c>
      <c r="E325" s="2">
        <v>45807</v>
      </c>
      <c r="F325" s="1">
        <v>45500</v>
      </c>
      <c r="G325" t="s">
        <v>973</v>
      </c>
      <c r="H325" t="s">
        <v>28</v>
      </c>
      <c r="I325" t="s">
        <v>974</v>
      </c>
      <c r="J325" t="s">
        <v>30</v>
      </c>
    </row>
    <row r="326" spans="1:10" x14ac:dyDescent="0.2">
      <c r="A326">
        <v>1010</v>
      </c>
      <c r="B326" t="s">
        <v>975</v>
      </c>
      <c r="C326">
        <v>87</v>
      </c>
      <c r="E326" s="2">
        <v>45813</v>
      </c>
      <c r="F326" s="1">
        <v>45396</v>
      </c>
      <c r="G326" t="s">
        <v>976</v>
      </c>
      <c r="H326" t="s">
        <v>24</v>
      </c>
      <c r="I326" t="s">
        <v>977</v>
      </c>
      <c r="J326">
        <v>1</v>
      </c>
    </row>
    <row r="327" spans="1:10" x14ac:dyDescent="0.2">
      <c r="A327">
        <v>1031</v>
      </c>
      <c r="B327" t="s">
        <v>978</v>
      </c>
      <c r="C327">
        <v>40</v>
      </c>
      <c r="D327">
        <v>1</v>
      </c>
      <c r="E327" s="1">
        <v>46065</v>
      </c>
      <c r="F327" s="1">
        <v>45394</v>
      </c>
      <c r="G327" t="s">
        <v>979</v>
      </c>
      <c r="H327" t="s">
        <v>24</v>
      </c>
      <c r="I327" t="s">
        <v>980</v>
      </c>
      <c r="J327" t="s">
        <v>60</v>
      </c>
    </row>
    <row r="328" spans="1:10" x14ac:dyDescent="0.2">
      <c r="A328">
        <v>1006</v>
      </c>
      <c r="B328" t="s">
        <v>981</v>
      </c>
      <c r="C328">
        <v>54</v>
      </c>
      <c r="D328" t="s">
        <v>38</v>
      </c>
      <c r="E328" s="2">
        <v>45826</v>
      </c>
      <c r="F328" s="1">
        <v>45602</v>
      </c>
      <c r="G328" t="s">
        <v>982</v>
      </c>
      <c r="H328" t="s">
        <v>24</v>
      </c>
      <c r="I328" t="s">
        <v>983</v>
      </c>
      <c r="J328" t="s">
        <v>30</v>
      </c>
    </row>
    <row r="329" spans="1:10" x14ac:dyDescent="0.2">
      <c r="A329">
        <v>1078</v>
      </c>
      <c r="B329" t="s">
        <v>984</v>
      </c>
      <c r="C329">
        <v>85</v>
      </c>
      <c r="D329" t="s">
        <v>16</v>
      </c>
      <c r="E329" s="2">
        <v>45858</v>
      </c>
      <c r="F329" s="1">
        <v>45623</v>
      </c>
      <c r="G329" t="s">
        <v>985</v>
      </c>
      <c r="H329" t="s">
        <v>28</v>
      </c>
      <c r="I329" t="s">
        <v>986</v>
      </c>
      <c r="J329">
        <v>0</v>
      </c>
    </row>
    <row r="330" spans="1:10" x14ac:dyDescent="0.2">
      <c r="A330">
        <v>1021</v>
      </c>
      <c r="B330" t="s">
        <v>987</v>
      </c>
      <c r="C330">
        <v>43</v>
      </c>
      <c r="D330" t="s">
        <v>16</v>
      </c>
      <c r="E330" s="1">
        <v>45772</v>
      </c>
      <c r="F330" s="2">
        <v>45748</v>
      </c>
      <c r="G330" t="s">
        <v>988</v>
      </c>
      <c r="H330" t="s">
        <v>24</v>
      </c>
      <c r="I330" t="s">
        <v>989</v>
      </c>
      <c r="J330">
        <v>0</v>
      </c>
    </row>
    <row r="331" spans="1:10" x14ac:dyDescent="0.2">
      <c r="A331">
        <v>1084</v>
      </c>
      <c r="B331" t="s">
        <v>990</v>
      </c>
      <c r="C331">
        <v>53</v>
      </c>
      <c r="D331" t="s">
        <v>11</v>
      </c>
      <c r="E331" s="1">
        <v>45966</v>
      </c>
      <c r="F331" s="1">
        <v>45870</v>
      </c>
      <c r="G331" t="s">
        <v>991</v>
      </c>
      <c r="H331" t="s">
        <v>24</v>
      </c>
      <c r="I331" t="s">
        <v>992</v>
      </c>
      <c r="J331" t="s">
        <v>36</v>
      </c>
    </row>
    <row r="332" spans="1:10" x14ac:dyDescent="0.2">
      <c r="A332">
        <v>1025</v>
      </c>
      <c r="B332" t="s">
        <v>993</v>
      </c>
      <c r="C332">
        <v>55</v>
      </c>
      <c r="D332" t="s">
        <v>38</v>
      </c>
      <c r="E332" s="2">
        <v>45976</v>
      </c>
      <c r="F332" s="1">
        <v>45479</v>
      </c>
      <c r="G332" t="s">
        <v>994</v>
      </c>
      <c r="H332" t="s">
        <v>28</v>
      </c>
      <c r="I332" t="s">
        <v>995</v>
      </c>
      <c r="J332" t="s">
        <v>30</v>
      </c>
    </row>
    <row r="333" spans="1:10" x14ac:dyDescent="0.2">
      <c r="A333">
        <v>1015</v>
      </c>
      <c r="B333" t="s">
        <v>996</v>
      </c>
      <c r="C333">
        <v>21</v>
      </c>
      <c r="D333" t="s">
        <v>16</v>
      </c>
      <c r="E333" s="2">
        <v>45998</v>
      </c>
      <c r="F333" s="1">
        <v>45716</v>
      </c>
      <c r="G333" t="s">
        <v>997</v>
      </c>
      <c r="H333" t="s">
        <v>18</v>
      </c>
      <c r="I333" t="s">
        <v>998</v>
      </c>
      <c r="J333">
        <v>1</v>
      </c>
    </row>
    <row r="334" spans="1:10" x14ac:dyDescent="0.2">
      <c r="A334">
        <v>1084</v>
      </c>
      <c r="B334" t="s">
        <v>999</v>
      </c>
      <c r="C334">
        <v>78</v>
      </c>
      <c r="D334" t="s">
        <v>51</v>
      </c>
      <c r="E334" s="2">
        <v>46064</v>
      </c>
      <c r="F334" s="1">
        <v>45610</v>
      </c>
      <c r="G334" t="s">
        <v>1000</v>
      </c>
      <c r="H334" t="s">
        <v>24</v>
      </c>
      <c r="I334" t="s">
        <v>1001</v>
      </c>
      <c r="J334">
        <v>0</v>
      </c>
    </row>
    <row r="335" spans="1:10" x14ac:dyDescent="0.2">
      <c r="A335">
        <v>1015</v>
      </c>
      <c r="B335" t="s">
        <v>1002</v>
      </c>
      <c r="C335">
        <v>86</v>
      </c>
      <c r="D335" t="s">
        <v>16</v>
      </c>
      <c r="E335" s="1">
        <v>45882</v>
      </c>
      <c r="F335" s="1">
        <v>45556</v>
      </c>
      <c r="G335" t="s">
        <v>1003</v>
      </c>
      <c r="H335" t="s">
        <v>13</v>
      </c>
      <c r="I335" t="s">
        <v>1004</v>
      </c>
      <c r="J335" t="s">
        <v>20</v>
      </c>
    </row>
    <row r="336" spans="1:10" x14ac:dyDescent="0.2">
      <c r="A336">
        <v>1091</v>
      </c>
      <c r="B336" t="s">
        <v>1005</v>
      </c>
      <c r="C336">
        <v>27</v>
      </c>
      <c r="D336" t="s">
        <v>71</v>
      </c>
      <c r="E336" s="2">
        <v>46031</v>
      </c>
      <c r="F336" s="2">
        <v>45732</v>
      </c>
      <c r="G336" t="s">
        <v>1006</v>
      </c>
      <c r="H336" t="s">
        <v>18</v>
      </c>
      <c r="I336" t="s">
        <v>1007</v>
      </c>
      <c r="J336">
        <v>0</v>
      </c>
    </row>
    <row r="337" spans="1:10" x14ac:dyDescent="0.2">
      <c r="A337">
        <v>1065</v>
      </c>
      <c r="B337" t="s">
        <v>1008</v>
      </c>
      <c r="C337">
        <v>76</v>
      </c>
      <c r="D337" t="s">
        <v>51</v>
      </c>
      <c r="E337" s="1">
        <v>45836</v>
      </c>
      <c r="F337" s="2">
        <v>45648</v>
      </c>
      <c r="G337" t="s">
        <v>1009</v>
      </c>
      <c r="H337" t="s">
        <v>18</v>
      </c>
      <c r="I337" t="s">
        <v>1010</v>
      </c>
      <c r="J337" t="s">
        <v>20</v>
      </c>
    </row>
    <row r="338" spans="1:10" x14ac:dyDescent="0.2">
      <c r="A338">
        <v>1045</v>
      </c>
      <c r="B338" t="s">
        <v>1011</v>
      </c>
      <c r="C338">
        <v>38</v>
      </c>
      <c r="D338" t="s">
        <v>51</v>
      </c>
      <c r="E338" s="1">
        <v>45888</v>
      </c>
      <c r="F338" s="1">
        <v>45817</v>
      </c>
      <c r="G338" t="s">
        <v>1012</v>
      </c>
      <c r="H338" t="s">
        <v>28</v>
      </c>
      <c r="I338" t="s">
        <v>281</v>
      </c>
      <c r="J338" t="s">
        <v>36</v>
      </c>
    </row>
    <row r="339" spans="1:10" x14ac:dyDescent="0.2">
      <c r="A339">
        <v>1050</v>
      </c>
      <c r="B339" t="s">
        <v>1013</v>
      </c>
      <c r="C339">
        <v>81</v>
      </c>
      <c r="D339" t="s">
        <v>51</v>
      </c>
      <c r="E339" s="2">
        <v>45804</v>
      </c>
      <c r="F339" s="1">
        <v>45555</v>
      </c>
      <c r="G339" t="s">
        <v>1014</v>
      </c>
      <c r="H339" t="s">
        <v>13</v>
      </c>
      <c r="I339" t="s">
        <v>1015</v>
      </c>
      <c r="J339" t="s">
        <v>20</v>
      </c>
    </row>
    <row r="340" spans="1:10" x14ac:dyDescent="0.2">
      <c r="A340">
        <v>1058</v>
      </c>
      <c r="B340" t="s">
        <v>1016</v>
      </c>
      <c r="C340">
        <v>90</v>
      </c>
      <c r="D340" t="s">
        <v>71</v>
      </c>
      <c r="E340" s="1">
        <v>45790</v>
      </c>
      <c r="F340" s="2">
        <v>45460</v>
      </c>
      <c r="G340" t="s">
        <v>1017</v>
      </c>
      <c r="H340" t="s">
        <v>28</v>
      </c>
      <c r="I340" t="s">
        <v>1018</v>
      </c>
      <c r="J340" t="s">
        <v>36</v>
      </c>
    </row>
    <row r="341" spans="1:10" x14ac:dyDescent="0.2">
      <c r="A341">
        <v>1047</v>
      </c>
      <c r="B341" t="s">
        <v>1019</v>
      </c>
      <c r="C341">
        <v>87</v>
      </c>
      <c r="D341" t="s">
        <v>11</v>
      </c>
      <c r="E341" s="1">
        <v>45936</v>
      </c>
      <c r="F341" s="1">
        <v>45628</v>
      </c>
      <c r="G341" t="s">
        <v>1020</v>
      </c>
      <c r="H341" t="s">
        <v>28</v>
      </c>
      <c r="I341" t="s">
        <v>1021</v>
      </c>
      <c r="J341" t="s">
        <v>60</v>
      </c>
    </row>
    <row r="342" spans="1:10" x14ac:dyDescent="0.2">
      <c r="A342">
        <v>1044</v>
      </c>
      <c r="B342" t="s">
        <v>1022</v>
      </c>
      <c r="C342">
        <v>74</v>
      </c>
      <c r="D342" t="s">
        <v>16</v>
      </c>
      <c r="E342" s="2">
        <v>45749</v>
      </c>
      <c r="F342" s="2">
        <v>45676</v>
      </c>
      <c r="G342" t="s">
        <v>1023</v>
      </c>
      <c r="H342" t="s">
        <v>18</v>
      </c>
      <c r="I342" t="s">
        <v>1024</v>
      </c>
      <c r="J342">
        <v>0</v>
      </c>
    </row>
    <row r="343" spans="1:10" x14ac:dyDescent="0.2">
      <c r="A343">
        <v>1049</v>
      </c>
      <c r="B343" t="s">
        <v>1025</v>
      </c>
      <c r="C343">
        <v>65</v>
      </c>
      <c r="D343" t="s">
        <v>38</v>
      </c>
      <c r="E343" s="1">
        <v>46070</v>
      </c>
      <c r="F343" s="2">
        <v>45443</v>
      </c>
      <c r="G343" t="s">
        <v>1026</v>
      </c>
      <c r="H343" t="s">
        <v>13</v>
      </c>
      <c r="I343" t="s">
        <v>1027</v>
      </c>
      <c r="J343">
        <v>1</v>
      </c>
    </row>
    <row r="344" spans="1:10" x14ac:dyDescent="0.2">
      <c r="A344">
        <v>1095</v>
      </c>
      <c r="B344" t="s">
        <v>1028</v>
      </c>
      <c r="C344">
        <v>53</v>
      </c>
      <c r="D344" t="s">
        <v>16</v>
      </c>
      <c r="E344" s="2">
        <v>46104</v>
      </c>
      <c r="F344" s="2">
        <v>45749</v>
      </c>
      <c r="G344" t="s">
        <v>1029</v>
      </c>
      <c r="H344" t="s">
        <v>13</v>
      </c>
      <c r="J344" t="s">
        <v>20</v>
      </c>
    </row>
    <row r="345" spans="1:10" x14ac:dyDescent="0.2">
      <c r="A345">
        <v>1098</v>
      </c>
      <c r="B345" t="s">
        <v>1030</v>
      </c>
      <c r="C345">
        <v>48</v>
      </c>
      <c r="D345" t="s">
        <v>16</v>
      </c>
      <c r="E345" s="2">
        <v>46027</v>
      </c>
      <c r="F345" s="2">
        <v>45807</v>
      </c>
      <c r="G345" t="s">
        <v>1031</v>
      </c>
      <c r="H345" t="s">
        <v>28</v>
      </c>
      <c r="I345" t="s">
        <v>1032</v>
      </c>
      <c r="J345" t="s">
        <v>36</v>
      </c>
    </row>
    <row r="346" spans="1:10" x14ac:dyDescent="0.2">
      <c r="A346">
        <v>1066</v>
      </c>
      <c r="B346" t="s">
        <v>1033</v>
      </c>
      <c r="C346">
        <v>33</v>
      </c>
      <c r="D346" t="s">
        <v>22</v>
      </c>
      <c r="E346" s="1">
        <v>45840</v>
      </c>
      <c r="F346" s="2">
        <v>45518</v>
      </c>
      <c r="G346" t="s">
        <v>1034</v>
      </c>
      <c r="H346" t="s">
        <v>28</v>
      </c>
      <c r="I346" t="s">
        <v>1035</v>
      </c>
      <c r="J346" t="s">
        <v>30</v>
      </c>
    </row>
    <row r="347" spans="1:10" x14ac:dyDescent="0.2">
      <c r="A347">
        <v>1014</v>
      </c>
      <c r="B347" t="s">
        <v>1036</v>
      </c>
      <c r="C347">
        <v>90</v>
      </c>
      <c r="E347" s="2">
        <v>46065</v>
      </c>
      <c r="F347" s="1">
        <v>45518</v>
      </c>
      <c r="G347" t="s">
        <v>1037</v>
      </c>
      <c r="H347" t="s">
        <v>18</v>
      </c>
      <c r="I347" t="s">
        <v>1038</v>
      </c>
      <c r="J347" t="s">
        <v>60</v>
      </c>
    </row>
    <row r="348" spans="1:10" x14ac:dyDescent="0.2">
      <c r="A348">
        <v>1003</v>
      </c>
      <c r="B348" t="s">
        <v>1039</v>
      </c>
      <c r="C348">
        <v>61</v>
      </c>
      <c r="D348">
        <v>1</v>
      </c>
      <c r="E348" s="2">
        <v>45869</v>
      </c>
      <c r="F348" s="1">
        <v>45770</v>
      </c>
      <c r="G348" t="s">
        <v>1040</v>
      </c>
      <c r="H348" t="s">
        <v>24</v>
      </c>
      <c r="I348" t="s">
        <v>1041</v>
      </c>
      <c r="J348">
        <v>0</v>
      </c>
    </row>
    <row r="349" spans="1:10" x14ac:dyDescent="0.2">
      <c r="A349">
        <v>1056</v>
      </c>
      <c r="B349" t="s">
        <v>1042</v>
      </c>
      <c r="C349">
        <v>46</v>
      </c>
      <c r="D349">
        <v>1</v>
      </c>
      <c r="E349" s="2">
        <v>46093</v>
      </c>
      <c r="F349" s="1">
        <v>45880</v>
      </c>
      <c r="G349" t="s">
        <v>1043</v>
      </c>
      <c r="H349" t="s">
        <v>24</v>
      </c>
      <c r="I349" t="s">
        <v>1044</v>
      </c>
      <c r="J349">
        <v>0</v>
      </c>
    </row>
    <row r="350" spans="1:10" x14ac:dyDescent="0.2">
      <c r="A350">
        <v>1033</v>
      </c>
      <c r="B350" t="s">
        <v>1045</v>
      </c>
      <c r="C350">
        <v>48</v>
      </c>
      <c r="D350">
        <v>0</v>
      </c>
      <c r="E350" s="2">
        <v>45838</v>
      </c>
      <c r="F350" s="2">
        <v>45681</v>
      </c>
      <c r="G350" t="s">
        <v>360</v>
      </c>
      <c r="H350" t="s">
        <v>18</v>
      </c>
      <c r="I350" t="s">
        <v>1046</v>
      </c>
      <c r="J350" t="s">
        <v>30</v>
      </c>
    </row>
    <row r="351" spans="1:10" x14ac:dyDescent="0.2">
      <c r="A351">
        <v>1095</v>
      </c>
      <c r="B351" t="s">
        <v>1047</v>
      </c>
      <c r="C351">
        <v>37</v>
      </c>
      <c r="D351">
        <v>1</v>
      </c>
      <c r="E351" s="1">
        <v>45951</v>
      </c>
      <c r="F351" s="2">
        <v>45876</v>
      </c>
      <c r="G351" t="s">
        <v>1048</v>
      </c>
      <c r="H351" t="s">
        <v>13</v>
      </c>
      <c r="J351" t="s">
        <v>36</v>
      </c>
    </row>
    <row r="352" spans="1:10" x14ac:dyDescent="0.2">
      <c r="A352">
        <v>1036</v>
      </c>
      <c r="B352" t="s">
        <v>1049</v>
      </c>
      <c r="C352">
        <v>27</v>
      </c>
      <c r="D352" t="s">
        <v>71</v>
      </c>
      <c r="E352" s="1">
        <v>46101</v>
      </c>
      <c r="F352" s="1">
        <v>46062</v>
      </c>
      <c r="G352" t="s">
        <v>1050</v>
      </c>
      <c r="H352" t="s">
        <v>13</v>
      </c>
      <c r="I352" t="s">
        <v>1051</v>
      </c>
      <c r="J352" t="s">
        <v>20</v>
      </c>
    </row>
    <row r="353" spans="1:10" x14ac:dyDescent="0.2">
      <c r="A353">
        <v>1082</v>
      </c>
      <c r="B353" t="s">
        <v>1052</v>
      </c>
      <c r="C353">
        <v>29</v>
      </c>
      <c r="D353" t="s">
        <v>22</v>
      </c>
      <c r="E353" s="1">
        <v>45962</v>
      </c>
      <c r="F353" s="2">
        <v>45733</v>
      </c>
      <c r="G353" t="s">
        <v>1053</v>
      </c>
      <c r="H353" t="s">
        <v>24</v>
      </c>
      <c r="I353" t="s">
        <v>1054</v>
      </c>
      <c r="J353" t="s">
        <v>60</v>
      </c>
    </row>
    <row r="354" spans="1:10" x14ac:dyDescent="0.2">
      <c r="A354">
        <v>1063</v>
      </c>
      <c r="B354" t="s">
        <v>1055</v>
      </c>
      <c r="C354">
        <v>36</v>
      </c>
      <c r="D354" t="s">
        <v>71</v>
      </c>
      <c r="E354" s="2">
        <v>45932</v>
      </c>
      <c r="F354" s="1">
        <v>45912</v>
      </c>
      <c r="G354" t="s">
        <v>1056</v>
      </c>
      <c r="H354" t="s">
        <v>28</v>
      </c>
      <c r="I354" t="s">
        <v>1057</v>
      </c>
      <c r="J354" t="s">
        <v>36</v>
      </c>
    </row>
    <row r="355" spans="1:10" x14ac:dyDescent="0.2">
      <c r="A355">
        <v>1003</v>
      </c>
      <c r="B355" t="s">
        <v>1058</v>
      </c>
      <c r="C355">
        <v>29</v>
      </c>
      <c r="D355" t="s">
        <v>11</v>
      </c>
      <c r="E355" s="1">
        <v>46076</v>
      </c>
      <c r="F355" s="2">
        <v>45386</v>
      </c>
      <c r="G355" t="s">
        <v>1059</v>
      </c>
      <c r="H355" t="s">
        <v>18</v>
      </c>
      <c r="I355" t="s">
        <v>1060</v>
      </c>
      <c r="J355" t="s">
        <v>60</v>
      </c>
    </row>
    <row r="356" spans="1:10" x14ac:dyDescent="0.2">
      <c r="A356">
        <v>1005</v>
      </c>
      <c r="B356" t="s">
        <v>1061</v>
      </c>
      <c r="C356">
        <v>64</v>
      </c>
      <c r="D356" t="s">
        <v>11</v>
      </c>
      <c r="E356" s="2">
        <v>45915</v>
      </c>
      <c r="F356" s="1">
        <v>45676</v>
      </c>
      <c r="G356" t="s">
        <v>1062</v>
      </c>
      <c r="H356" t="s">
        <v>24</v>
      </c>
      <c r="I356" t="s">
        <v>1063</v>
      </c>
      <c r="J356" t="s">
        <v>30</v>
      </c>
    </row>
    <row r="357" spans="1:10" x14ac:dyDescent="0.2">
      <c r="A357">
        <v>1058</v>
      </c>
      <c r="B357" t="s">
        <v>1064</v>
      </c>
      <c r="C357">
        <v>36</v>
      </c>
      <c r="D357" t="s">
        <v>38</v>
      </c>
      <c r="E357" s="2">
        <v>46011</v>
      </c>
      <c r="F357" s="2">
        <v>45378</v>
      </c>
      <c r="G357" t="s">
        <v>1065</v>
      </c>
      <c r="H357" t="s">
        <v>28</v>
      </c>
      <c r="I357" t="s">
        <v>1066</v>
      </c>
      <c r="J357">
        <v>1</v>
      </c>
    </row>
    <row r="358" spans="1:10" x14ac:dyDescent="0.2">
      <c r="A358">
        <v>1061</v>
      </c>
      <c r="B358" t="s">
        <v>1067</v>
      </c>
      <c r="C358">
        <v>23</v>
      </c>
      <c r="D358" t="s">
        <v>51</v>
      </c>
      <c r="E358" s="1">
        <v>46030</v>
      </c>
      <c r="F358" s="2">
        <v>45625</v>
      </c>
      <c r="G358" t="s">
        <v>1068</v>
      </c>
      <c r="H358" t="s">
        <v>13</v>
      </c>
      <c r="I358" t="s">
        <v>1069</v>
      </c>
      <c r="J358" t="s">
        <v>60</v>
      </c>
    </row>
    <row r="359" spans="1:10" x14ac:dyDescent="0.2">
      <c r="A359">
        <v>1004</v>
      </c>
      <c r="B359" t="s">
        <v>1070</v>
      </c>
      <c r="C359">
        <v>63</v>
      </c>
      <c r="D359" t="s">
        <v>11</v>
      </c>
      <c r="E359" s="1">
        <v>45790</v>
      </c>
      <c r="F359" s="1">
        <v>45404</v>
      </c>
      <c r="G359" t="s">
        <v>1071</v>
      </c>
      <c r="H359" t="s">
        <v>28</v>
      </c>
      <c r="I359" t="s">
        <v>1072</v>
      </c>
      <c r="J359">
        <v>0</v>
      </c>
    </row>
    <row r="360" spans="1:10" x14ac:dyDescent="0.2">
      <c r="A360">
        <v>1057</v>
      </c>
      <c r="B360" t="s">
        <v>1073</v>
      </c>
      <c r="C360">
        <v>58</v>
      </c>
      <c r="D360">
        <v>1</v>
      </c>
      <c r="E360" s="1">
        <v>45908</v>
      </c>
      <c r="F360" s="1">
        <v>45712</v>
      </c>
      <c r="G360" t="s">
        <v>1074</v>
      </c>
      <c r="H360" t="s">
        <v>13</v>
      </c>
      <c r="I360" t="s">
        <v>1075</v>
      </c>
      <c r="J360">
        <v>0</v>
      </c>
    </row>
    <row r="361" spans="1:10" x14ac:dyDescent="0.2">
      <c r="A361">
        <v>1036</v>
      </c>
      <c r="B361" t="s">
        <v>1076</v>
      </c>
      <c r="C361">
        <v>38</v>
      </c>
      <c r="D361" t="s">
        <v>38</v>
      </c>
      <c r="E361" s="2">
        <v>45978</v>
      </c>
      <c r="F361" s="1">
        <v>45574</v>
      </c>
      <c r="G361" t="s">
        <v>1077</v>
      </c>
      <c r="H361" t="s">
        <v>24</v>
      </c>
      <c r="I361" t="s">
        <v>1078</v>
      </c>
      <c r="J361" t="s">
        <v>36</v>
      </c>
    </row>
    <row r="362" spans="1:10" x14ac:dyDescent="0.2">
      <c r="A362">
        <v>1095</v>
      </c>
      <c r="B362" t="s">
        <v>1079</v>
      </c>
      <c r="C362">
        <v>60</v>
      </c>
      <c r="D362" t="s">
        <v>38</v>
      </c>
      <c r="E362" s="2">
        <v>46013</v>
      </c>
      <c r="F362" s="2">
        <v>45429</v>
      </c>
      <c r="G362" t="s">
        <v>1080</v>
      </c>
      <c r="H362" t="s">
        <v>28</v>
      </c>
      <c r="I362" t="s">
        <v>1081</v>
      </c>
      <c r="J362" t="s">
        <v>36</v>
      </c>
    </row>
    <row r="363" spans="1:10" x14ac:dyDescent="0.2">
      <c r="A363">
        <v>1036</v>
      </c>
      <c r="B363" t="s">
        <v>1082</v>
      </c>
      <c r="C363">
        <v>87</v>
      </c>
      <c r="D363">
        <v>1</v>
      </c>
      <c r="E363" s="2">
        <v>45869</v>
      </c>
      <c r="F363" s="2">
        <v>45598</v>
      </c>
      <c r="G363" t="s">
        <v>1083</v>
      </c>
      <c r="H363" t="s">
        <v>13</v>
      </c>
      <c r="I363" t="s">
        <v>1084</v>
      </c>
      <c r="J363">
        <v>1</v>
      </c>
    </row>
    <row r="364" spans="1:10" x14ac:dyDescent="0.2">
      <c r="A364">
        <v>1049</v>
      </c>
      <c r="B364" t="s">
        <v>1085</v>
      </c>
      <c r="C364">
        <v>58</v>
      </c>
      <c r="D364" t="s">
        <v>11</v>
      </c>
      <c r="E364" s="1">
        <v>45876</v>
      </c>
      <c r="F364" s="1">
        <v>45659</v>
      </c>
      <c r="G364" t="s">
        <v>1086</v>
      </c>
      <c r="H364" t="s">
        <v>13</v>
      </c>
      <c r="I364" t="s">
        <v>1087</v>
      </c>
      <c r="J364" t="s">
        <v>20</v>
      </c>
    </row>
    <row r="365" spans="1:10" x14ac:dyDescent="0.2">
      <c r="A365">
        <v>1036</v>
      </c>
      <c r="B365" t="s">
        <v>1088</v>
      </c>
      <c r="C365">
        <v>20</v>
      </c>
      <c r="D365">
        <v>1</v>
      </c>
      <c r="E365" s="2">
        <v>45895</v>
      </c>
      <c r="F365" s="1">
        <v>45666</v>
      </c>
      <c r="G365" t="s">
        <v>1089</v>
      </c>
      <c r="H365" t="s">
        <v>13</v>
      </c>
      <c r="I365" t="s">
        <v>1090</v>
      </c>
      <c r="J365" t="s">
        <v>30</v>
      </c>
    </row>
    <row r="366" spans="1:10" x14ac:dyDescent="0.2">
      <c r="A366">
        <v>1050</v>
      </c>
      <c r="B366" t="s">
        <v>1091</v>
      </c>
      <c r="C366">
        <v>81</v>
      </c>
      <c r="E366" s="1">
        <v>46070</v>
      </c>
      <c r="F366" s="1">
        <v>45750</v>
      </c>
      <c r="G366" t="s">
        <v>338</v>
      </c>
      <c r="H366" t="s">
        <v>24</v>
      </c>
      <c r="I366" t="s">
        <v>1092</v>
      </c>
      <c r="J366" t="s">
        <v>20</v>
      </c>
    </row>
    <row r="367" spans="1:10" x14ac:dyDescent="0.2">
      <c r="A367">
        <v>1019</v>
      </c>
      <c r="B367" t="s">
        <v>1093</v>
      </c>
      <c r="C367">
        <v>38</v>
      </c>
      <c r="E367" s="1">
        <v>46011</v>
      </c>
      <c r="F367" s="2">
        <v>45883</v>
      </c>
      <c r="G367" t="s">
        <v>1094</v>
      </c>
      <c r="H367" t="s">
        <v>18</v>
      </c>
      <c r="I367" t="s">
        <v>1095</v>
      </c>
      <c r="J367">
        <v>1</v>
      </c>
    </row>
    <row r="368" spans="1:10" x14ac:dyDescent="0.2">
      <c r="A368">
        <v>1082</v>
      </c>
      <c r="B368" t="s">
        <v>1096</v>
      </c>
      <c r="C368">
        <v>56</v>
      </c>
      <c r="D368" t="s">
        <v>22</v>
      </c>
      <c r="E368" s="1">
        <v>45917</v>
      </c>
      <c r="F368" s="1">
        <v>45888</v>
      </c>
      <c r="G368" t="s">
        <v>1097</v>
      </c>
      <c r="H368" t="s">
        <v>13</v>
      </c>
      <c r="J368" t="s">
        <v>20</v>
      </c>
    </row>
    <row r="369" spans="1:10" x14ac:dyDescent="0.2">
      <c r="A369">
        <v>1074</v>
      </c>
      <c r="B369" t="s">
        <v>1098</v>
      </c>
      <c r="C369">
        <v>67</v>
      </c>
      <c r="D369" t="s">
        <v>16</v>
      </c>
      <c r="E369" s="1">
        <v>45905</v>
      </c>
      <c r="F369" s="2">
        <v>45431</v>
      </c>
      <c r="G369" t="s">
        <v>1099</v>
      </c>
      <c r="H369" t="s">
        <v>24</v>
      </c>
      <c r="I369" t="s">
        <v>1100</v>
      </c>
      <c r="J369" t="s">
        <v>20</v>
      </c>
    </row>
    <row r="370" spans="1:10" x14ac:dyDescent="0.2">
      <c r="A370">
        <v>1084</v>
      </c>
      <c r="B370" t="s">
        <v>1101</v>
      </c>
      <c r="C370">
        <v>64</v>
      </c>
      <c r="D370" t="s">
        <v>71</v>
      </c>
      <c r="E370" s="1">
        <v>46022</v>
      </c>
      <c r="F370" s="2">
        <v>45766</v>
      </c>
      <c r="G370" t="s">
        <v>1102</v>
      </c>
      <c r="H370" t="s">
        <v>18</v>
      </c>
      <c r="I370" t="s">
        <v>1103</v>
      </c>
      <c r="J370">
        <v>1</v>
      </c>
    </row>
    <row r="371" spans="1:10" x14ac:dyDescent="0.2">
      <c r="A371">
        <v>1084</v>
      </c>
      <c r="B371" t="s">
        <v>1104</v>
      </c>
      <c r="C371">
        <v>79</v>
      </c>
      <c r="D371" t="s">
        <v>16</v>
      </c>
      <c r="E371" s="1">
        <v>46014</v>
      </c>
      <c r="F371" s="1">
        <v>45669</v>
      </c>
      <c r="G371" t="s">
        <v>1105</v>
      </c>
      <c r="H371" t="s">
        <v>24</v>
      </c>
      <c r="I371" t="s">
        <v>1106</v>
      </c>
      <c r="J371" t="s">
        <v>36</v>
      </c>
    </row>
    <row r="372" spans="1:10" x14ac:dyDescent="0.2">
      <c r="A372">
        <v>1004</v>
      </c>
      <c r="B372" t="s">
        <v>1107</v>
      </c>
      <c r="C372">
        <v>27</v>
      </c>
      <c r="D372" t="s">
        <v>22</v>
      </c>
      <c r="E372" s="1">
        <v>45895</v>
      </c>
      <c r="F372" s="1">
        <v>45545</v>
      </c>
      <c r="G372" t="s">
        <v>1108</v>
      </c>
      <c r="H372" t="s">
        <v>24</v>
      </c>
      <c r="J372" t="s">
        <v>36</v>
      </c>
    </row>
    <row r="373" spans="1:10" x14ac:dyDescent="0.2">
      <c r="A373">
        <v>1006</v>
      </c>
      <c r="B373" t="s">
        <v>1109</v>
      </c>
      <c r="C373">
        <v>42</v>
      </c>
      <c r="D373" t="s">
        <v>71</v>
      </c>
      <c r="E373" s="2">
        <v>45965</v>
      </c>
      <c r="F373" s="1">
        <v>45601</v>
      </c>
      <c r="G373" t="s">
        <v>1110</v>
      </c>
      <c r="H373" t="s">
        <v>18</v>
      </c>
      <c r="J373" t="s">
        <v>36</v>
      </c>
    </row>
    <row r="374" spans="1:10" x14ac:dyDescent="0.2">
      <c r="A374">
        <v>1096</v>
      </c>
      <c r="B374" t="s">
        <v>1111</v>
      </c>
      <c r="C374">
        <v>83</v>
      </c>
      <c r="D374" t="s">
        <v>11</v>
      </c>
      <c r="E374" s="1">
        <v>46102</v>
      </c>
      <c r="F374" s="1">
        <v>46000</v>
      </c>
      <c r="G374" t="s">
        <v>1112</v>
      </c>
      <c r="H374" t="s">
        <v>24</v>
      </c>
      <c r="I374" t="s">
        <v>1113</v>
      </c>
      <c r="J374">
        <v>1</v>
      </c>
    </row>
    <row r="375" spans="1:10" x14ac:dyDescent="0.2">
      <c r="A375">
        <v>1022</v>
      </c>
      <c r="B375" t="s">
        <v>1114</v>
      </c>
      <c r="C375">
        <v>19</v>
      </c>
      <c r="D375">
        <v>1</v>
      </c>
      <c r="E375" s="2">
        <v>45949</v>
      </c>
      <c r="F375" s="1">
        <v>45919</v>
      </c>
      <c r="G375" t="s">
        <v>1115</v>
      </c>
      <c r="H375" t="s">
        <v>18</v>
      </c>
      <c r="I375" t="s">
        <v>1116</v>
      </c>
      <c r="J375" t="s">
        <v>36</v>
      </c>
    </row>
    <row r="376" spans="1:10" x14ac:dyDescent="0.2">
      <c r="A376">
        <v>1089</v>
      </c>
      <c r="B376" t="s">
        <v>1117</v>
      </c>
      <c r="C376">
        <v>35</v>
      </c>
      <c r="D376">
        <v>0</v>
      </c>
      <c r="E376" s="1">
        <v>45959</v>
      </c>
      <c r="F376" s="1">
        <v>45906</v>
      </c>
      <c r="G376" t="s">
        <v>1118</v>
      </c>
      <c r="H376" t="s">
        <v>13</v>
      </c>
      <c r="I376" t="s">
        <v>1119</v>
      </c>
      <c r="J376" t="s">
        <v>30</v>
      </c>
    </row>
    <row r="377" spans="1:10" x14ac:dyDescent="0.2">
      <c r="A377">
        <v>1058</v>
      </c>
      <c r="B377" t="s">
        <v>1120</v>
      </c>
      <c r="C377">
        <v>29</v>
      </c>
      <c r="D377" t="s">
        <v>71</v>
      </c>
      <c r="E377" s="1">
        <v>45807</v>
      </c>
      <c r="F377" s="2">
        <v>45377</v>
      </c>
      <c r="G377" t="s">
        <v>1121</v>
      </c>
      <c r="H377" t="s">
        <v>28</v>
      </c>
      <c r="I377" t="s">
        <v>1122</v>
      </c>
      <c r="J377" t="s">
        <v>36</v>
      </c>
    </row>
    <row r="378" spans="1:10" x14ac:dyDescent="0.2">
      <c r="A378">
        <v>1024</v>
      </c>
      <c r="B378" t="s">
        <v>1123</v>
      </c>
      <c r="C378">
        <v>55</v>
      </c>
      <c r="D378" t="s">
        <v>16</v>
      </c>
      <c r="E378" s="2">
        <v>45942</v>
      </c>
      <c r="F378" s="2">
        <v>45593</v>
      </c>
      <c r="G378" t="s">
        <v>1124</v>
      </c>
      <c r="H378" t="s">
        <v>28</v>
      </c>
      <c r="I378" t="s">
        <v>1125</v>
      </c>
      <c r="J378" t="s">
        <v>20</v>
      </c>
    </row>
    <row r="379" spans="1:10" x14ac:dyDescent="0.2">
      <c r="A379">
        <v>1016</v>
      </c>
      <c r="B379" t="s">
        <v>1126</v>
      </c>
      <c r="C379">
        <v>81</v>
      </c>
      <c r="D379" t="s">
        <v>38</v>
      </c>
      <c r="E379" s="2">
        <v>45859</v>
      </c>
      <c r="F379" s="1">
        <v>45481</v>
      </c>
      <c r="G379" t="s">
        <v>1127</v>
      </c>
      <c r="H379" t="s">
        <v>28</v>
      </c>
      <c r="I379" t="s">
        <v>1128</v>
      </c>
      <c r="J379">
        <v>1</v>
      </c>
    </row>
    <row r="380" spans="1:10" x14ac:dyDescent="0.2">
      <c r="A380">
        <v>1022</v>
      </c>
      <c r="B380" t="s">
        <v>1129</v>
      </c>
      <c r="C380">
        <v>56</v>
      </c>
      <c r="D380" t="s">
        <v>71</v>
      </c>
      <c r="E380" s="2">
        <v>45824</v>
      </c>
      <c r="F380" s="2">
        <v>45443</v>
      </c>
      <c r="G380" t="s">
        <v>1130</v>
      </c>
      <c r="H380" t="s">
        <v>13</v>
      </c>
      <c r="I380" t="s">
        <v>1131</v>
      </c>
      <c r="J380" t="s">
        <v>30</v>
      </c>
    </row>
    <row r="381" spans="1:10" x14ac:dyDescent="0.2">
      <c r="A381">
        <v>1088</v>
      </c>
      <c r="B381" t="s">
        <v>1132</v>
      </c>
      <c r="C381">
        <v>32</v>
      </c>
      <c r="E381" s="1">
        <v>45860</v>
      </c>
      <c r="F381" s="1">
        <v>45394</v>
      </c>
      <c r="G381" t="s">
        <v>1133</v>
      </c>
      <c r="H381" t="s">
        <v>18</v>
      </c>
      <c r="I381" t="s">
        <v>1134</v>
      </c>
      <c r="J381" t="s">
        <v>36</v>
      </c>
    </row>
    <row r="382" spans="1:10" x14ac:dyDescent="0.2">
      <c r="A382">
        <v>1016</v>
      </c>
      <c r="B382" t="s">
        <v>1135</v>
      </c>
      <c r="C382">
        <v>74</v>
      </c>
      <c r="D382" t="s">
        <v>22</v>
      </c>
      <c r="E382" s="2">
        <v>45997</v>
      </c>
      <c r="F382" s="1">
        <v>45569</v>
      </c>
      <c r="G382" t="s">
        <v>1136</v>
      </c>
      <c r="H382" t="s">
        <v>24</v>
      </c>
      <c r="I382" t="s">
        <v>1137</v>
      </c>
      <c r="J382" t="s">
        <v>20</v>
      </c>
    </row>
    <row r="383" spans="1:10" x14ac:dyDescent="0.2">
      <c r="A383">
        <v>1039</v>
      </c>
      <c r="B383" t="s">
        <v>1138</v>
      </c>
      <c r="C383">
        <v>55</v>
      </c>
      <c r="D383" t="s">
        <v>51</v>
      </c>
      <c r="E383" s="2">
        <v>45748</v>
      </c>
      <c r="F383" s="1">
        <v>45548</v>
      </c>
      <c r="G383" t="s">
        <v>1139</v>
      </c>
      <c r="H383" t="s">
        <v>18</v>
      </c>
      <c r="I383" t="s">
        <v>1140</v>
      </c>
      <c r="J383" t="s">
        <v>30</v>
      </c>
    </row>
    <row r="384" spans="1:10" x14ac:dyDescent="0.2">
      <c r="A384">
        <v>1075</v>
      </c>
      <c r="B384" t="s">
        <v>1141</v>
      </c>
      <c r="C384">
        <v>27</v>
      </c>
      <c r="D384" t="s">
        <v>38</v>
      </c>
      <c r="E384" s="1">
        <v>45754</v>
      </c>
      <c r="F384" s="2">
        <v>45384</v>
      </c>
      <c r="G384" t="s">
        <v>1142</v>
      </c>
      <c r="H384" t="s">
        <v>18</v>
      </c>
      <c r="I384" t="s">
        <v>1143</v>
      </c>
      <c r="J384" t="s">
        <v>60</v>
      </c>
    </row>
    <row r="385" spans="1:10" x14ac:dyDescent="0.2">
      <c r="A385">
        <v>1013</v>
      </c>
      <c r="B385" t="s">
        <v>1144</v>
      </c>
      <c r="C385">
        <v>62</v>
      </c>
      <c r="D385" t="s">
        <v>11</v>
      </c>
      <c r="E385" s="1">
        <v>46024</v>
      </c>
      <c r="F385" s="2">
        <v>45714</v>
      </c>
      <c r="G385" t="s">
        <v>1145</v>
      </c>
      <c r="H385" t="s">
        <v>24</v>
      </c>
      <c r="I385" t="s">
        <v>1146</v>
      </c>
      <c r="J385">
        <v>1</v>
      </c>
    </row>
    <row r="386" spans="1:10" x14ac:dyDescent="0.2">
      <c r="A386">
        <v>1089</v>
      </c>
      <c r="B386" t="s">
        <v>1147</v>
      </c>
      <c r="C386">
        <v>24</v>
      </c>
      <c r="D386" t="s">
        <v>71</v>
      </c>
      <c r="E386" s="1">
        <v>45916</v>
      </c>
      <c r="F386" s="2">
        <v>45673</v>
      </c>
      <c r="G386" t="s">
        <v>1148</v>
      </c>
      <c r="H386" t="s">
        <v>18</v>
      </c>
      <c r="I386" t="s">
        <v>1149</v>
      </c>
      <c r="J386" t="s">
        <v>36</v>
      </c>
    </row>
    <row r="387" spans="1:10" x14ac:dyDescent="0.2">
      <c r="A387">
        <v>1084</v>
      </c>
      <c r="B387" t="s">
        <v>1150</v>
      </c>
      <c r="C387">
        <v>34</v>
      </c>
      <c r="D387" t="s">
        <v>16</v>
      </c>
      <c r="E387" s="2">
        <v>45998</v>
      </c>
      <c r="F387" s="2">
        <v>45941</v>
      </c>
      <c r="G387" t="s">
        <v>1151</v>
      </c>
      <c r="H387" t="s">
        <v>28</v>
      </c>
      <c r="I387" t="s">
        <v>1152</v>
      </c>
      <c r="J387">
        <v>0</v>
      </c>
    </row>
    <row r="388" spans="1:10" x14ac:dyDescent="0.2">
      <c r="A388">
        <v>1018</v>
      </c>
      <c r="B388" t="s">
        <v>1153</v>
      </c>
      <c r="C388">
        <v>68</v>
      </c>
      <c r="D388">
        <v>1</v>
      </c>
      <c r="E388" s="1">
        <v>45833</v>
      </c>
      <c r="F388" s="2">
        <v>45813</v>
      </c>
      <c r="G388" t="s">
        <v>1154</v>
      </c>
      <c r="H388" t="s">
        <v>13</v>
      </c>
      <c r="I388" t="s">
        <v>1155</v>
      </c>
      <c r="J388" t="s">
        <v>20</v>
      </c>
    </row>
    <row r="389" spans="1:10" x14ac:dyDescent="0.2">
      <c r="A389">
        <v>1026</v>
      </c>
      <c r="B389" t="s">
        <v>1156</v>
      </c>
      <c r="C389">
        <v>42</v>
      </c>
      <c r="D389">
        <v>1</v>
      </c>
      <c r="E389" s="2">
        <v>46047</v>
      </c>
      <c r="F389" s="2">
        <v>45635</v>
      </c>
      <c r="G389" t="s">
        <v>1157</v>
      </c>
      <c r="H389" t="s">
        <v>28</v>
      </c>
      <c r="I389" t="s">
        <v>1158</v>
      </c>
      <c r="J389" t="s">
        <v>60</v>
      </c>
    </row>
    <row r="390" spans="1:10" x14ac:dyDescent="0.2">
      <c r="A390">
        <v>1001</v>
      </c>
      <c r="B390" t="s">
        <v>1159</v>
      </c>
      <c r="C390">
        <v>90</v>
      </c>
      <c r="D390" t="s">
        <v>22</v>
      </c>
      <c r="E390" s="1">
        <v>45973</v>
      </c>
      <c r="F390" s="2">
        <v>45904</v>
      </c>
      <c r="G390" t="s">
        <v>1160</v>
      </c>
      <c r="H390" t="s">
        <v>24</v>
      </c>
      <c r="I390" t="s">
        <v>1161</v>
      </c>
      <c r="J390" t="s">
        <v>30</v>
      </c>
    </row>
    <row r="391" spans="1:10" x14ac:dyDescent="0.2">
      <c r="A391">
        <v>1004</v>
      </c>
      <c r="B391" t="s">
        <v>1162</v>
      </c>
      <c r="C391">
        <v>65</v>
      </c>
      <c r="D391" t="s">
        <v>51</v>
      </c>
      <c r="E391" s="1">
        <v>45881</v>
      </c>
      <c r="F391" s="2">
        <v>45653</v>
      </c>
      <c r="G391" t="s">
        <v>1163</v>
      </c>
      <c r="H391" t="s">
        <v>13</v>
      </c>
      <c r="I391" t="s">
        <v>1164</v>
      </c>
      <c r="J391" t="s">
        <v>20</v>
      </c>
    </row>
    <row r="392" spans="1:10" x14ac:dyDescent="0.2">
      <c r="A392">
        <v>1013</v>
      </c>
      <c r="B392" t="s">
        <v>1165</v>
      </c>
      <c r="C392">
        <v>89</v>
      </c>
      <c r="D392" t="s">
        <v>71</v>
      </c>
      <c r="E392" s="2">
        <v>45944</v>
      </c>
      <c r="F392" s="2">
        <v>45551</v>
      </c>
      <c r="G392" t="s">
        <v>1166</v>
      </c>
      <c r="H392" t="s">
        <v>13</v>
      </c>
      <c r="I392" t="s">
        <v>1167</v>
      </c>
      <c r="J392">
        <v>1</v>
      </c>
    </row>
    <row r="393" spans="1:10" x14ac:dyDescent="0.2">
      <c r="A393">
        <v>1009</v>
      </c>
      <c r="B393" t="s">
        <v>1168</v>
      </c>
      <c r="C393">
        <v>67</v>
      </c>
      <c r="D393" t="s">
        <v>11</v>
      </c>
      <c r="E393" s="1">
        <v>45840</v>
      </c>
      <c r="F393" s="2">
        <v>45447</v>
      </c>
      <c r="G393" t="s">
        <v>1169</v>
      </c>
      <c r="H393" t="s">
        <v>18</v>
      </c>
      <c r="I393" t="s">
        <v>1170</v>
      </c>
      <c r="J393">
        <v>0</v>
      </c>
    </row>
    <row r="394" spans="1:10" x14ac:dyDescent="0.2">
      <c r="A394">
        <v>1021</v>
      </c>
      <c r="B394" t="s">
        <v>1171</v>
      </c>
      <c r="C394">
        <v>68</v>
      </c>
      <c r="E394" s="1">
        <v>45784</v>
      </c>
      <c r="F394" s="1">
        <v>45583</v>
      </c>
      <c r="G394" t="s">
        <v>1172</v>
      </c>
      <c r="H394" t="s">
        <v>18</v>
      </c>
      <c r="I394" t="s">
        <v>1173</v>
      </c>
      <c r="J394" t="s">
        <v>60</v>
      </c>
    </row>
    <row r="395" spans="1:10" x14ac:dyDescent="0.2">
      <c r="A395">
        <v>1100</v>
      </c>
      <c r="B395" t="s">
        <v>1174</v>
      </c>
      <c r="C395">
        <v>69</v>
      </c>
      <c r="D395">
        <v>1</v>
      </c>
      <c r="E395" s="1">
        <v>45938</v>
      </c>
      <c r="F395" s="1">
        <v>45796</v>
      </c>
      <c r="G395" t="s">
        <v>1175</v>
      </c>
      <c r="H395" t="s">
        <v>24</v>
      </c>
      <c r="I395" t="s">
        <v>1176</v>
      </c>
      <c r="J395" t="s">
        <v>30</v>
      </c>
    </row>
    <row r="396" spans="1:10" x14ac:dyDescent="0.2">
      <c r="A396">
        <v>1005</v>
      </c>
      <c r="B396" t="s">
        <v>1177</v>
      </c>
      <c r="C396">
        <v>80</v>
      </c>
      <c r="D396" t="s">
        <v>22</v>
      </c>
      <c r="E396" s="1">
        <v>45862</v>
      </c>
      <c r="F396" s="1">
        <v>45673</v>
      </c>
      <c r="G396" t="s">
        <v>1178</v>
      </c>
      <c r="H396" t="s">
        <v>28</v>
      </c>
      <c r="I396" t="s">
        <v>1179</v>
      </c>
      <c r="J396" t="s">
        <v>60</v>
      </c>
    </row>
    <row r="397" spans="1:10" x14ac:dyDescent="0.2">
      <c r="A397">
        <v>1071</v>
      </c>
      <c r="B397" t="s">
        <v>1180</v>
      </c>
      <c r="C397">
        <v>73</v>
      </c>
      <c r="D397">
        <v>1</v>
      </c>
      <c r="E397" s="2">
        <v>45893</v>
      </c>
      <c r="F397" s="2">
        <v>45842</v>
      </c>
      <c r="G397" t="s">
        <v>1181</v>
      </c>
      <c r="H397" t="s">
        <v>24</v>
      </c>
      <c r="I397" t="s">
        <v>1182</v>
      </c>
      <c r="J397" t="s">
        <v>30</v>
      </c>
    </row>
    <row r="398" spans="1:10" x14ac:dyDescent="0.2">
      <c r="A398">
        <v>1070</v>
      </c>
      <c r="B398" t="s">
        <v>241</v>
      </c>
      <c r="C398">
        <v>78</v>
      </c>
      <c r="D398" t="s">
        <v>22</v>
      </c>
      <c r="E398" s="1">
        <v>46010</v>
      </c>
      <c r="F398" s="2">
        <v>45621</v>
      </c>
      <c r="G398" t="s">
        <v>1183</v>
      </c>
      <c r="H398" t="s">
        <v>13</v>
      </c>
      <c r="I398" t="s">
        <v>1184</v>
      </c>
      <c r="J398">
        <v>0</v>
      </c>
    </row>
    <row r="399" spans="1:10" x14ac:dyDescent="0.2">
      <c r="A399">
        <v>1020</v>
      </c>
      <c r="B399" t="s">
        <v>1185</v>
      </c>
      <c r="C399">
        <v>65</v>
      </c>
      <c r="D399" t="s">
        <v>38</v>
      </c>
      <c r="E399" s="1">
        <v>46046</v>
      </c>
      <c r="F399" s="2">
        <v>46026</v>
      </c>
      <c r="G399" t="s">
        <v>1186</v>
      </c>
      <c r="H399" t="s">
        <v>13</v>
      </c>
      <c r="I399" t="s">
        <v>1187</v>
      </c>
      <c r="J399" t="s">
        <v>30</v>
      </c>
    </row>
    <row r="400" spans="1:10" x14ac:dyDescent="0.2">
      <c r="A400">
        <v>1074</v>
      </c>
      <c r="B400" t="s">
        <v>1188</v>
      </c>
      <c r="C400">
        <v>87</v>
      </c>
      <c r="D400" t="s">
        <v>22</v>
      </c>
      <c r="E400" s="2">
        <v>45961</v>
      </c>
      <c r="F400" s="1">
        <v>45799</v>
      </c>
      <c r="G400" t="s">
        <v>1189</v>
      </c>
      <c r="H400" t="s">
        <v>13</v>
      </c>
      <c r="I400" t="s">
        <v>1190</v>
      </c>
      <c r="J400" t="s">
        <v>36</v>
      </c>
    </row>
    <row r="401" spans="1:10" x14ac:dyDescent="0.2">
      <c r="A401">
        <v>1001</v>
      </c>
      <c r="B401" t="s">
        <v>1191</v>
      </c>
      <c r="C401">
        <v>78</v>
      </c>
      <c r="D401" t="s">
        <v>51</v>
      </c>
      <c r="E401" s="2">
        <v>45887</v>
      </c>
      <c r="F401" s="1">
        <v>45438</v>
      </c>
      <c r="G401" t="s">
        <v>1192</v>
      </c>
      <c r="H401" t="s">
        <v>24</v>
      </c>
      <c r="I401" t="s">
        <v>1193</v>
      </c>
      <c r="J401">
        <v>0</v>
      </c>
    </row>
    <row r="402" spans="1:10" x14ac:dyDescent="0.2">
      <c r="A402">
        <v>1067</v>
      </c>
      <c r="B402" t="s">
        <v>1194</v>
      </c>
      <c r="C402">
        <v>66</v>
      </c>
      <c r="E402" s="2">
        <v>45800</v>
      </c>
      <c r="F402" s="1">
        <v>45518</v>
      </c>
      <c r="G402" t="s">
        <v>1195</v>
      </c>
      <c r="H402" t="s">
        <v>13</v>
      </c>
      <c r="I402" t="s">
        <v>1196</v>
      </c>
      <c r="J402" t="s">
        <v>20</v>
      </c>
    </row>
    <row r="403" spans="1:10" x14ac:dyDescent="0.2">
      <c r="A403">
        <v>1074</v>
      </c>
      <c r="B403" t="s">
        <v>1197</v>
      </c>
      <c r="C403">
        <v>30</v>
      </c>
      <c r="D403" t="s">
        <v>11</v>
      </c>
      <c r="E403" s="2">
        <v>45994</v>
      </c>
      <c r="F403" s="1">
        <v>45865</v>
      </c>
      <c r="G403" t="s">
        <v>1198</v>
      </c>
      <c r="H403" t="s">
        <v>18</v>
      </c>
      <c r="I403" t="s">
        <v>1199</v>
      </c>
      <c r="J403" t="s">
        <v>36</v>
      </c>
    </row>
    <row r="404" spans="1:10" x14ac:dyDescent="0.2">
      <c r="A404">
        <v>1053</v>
      </c>
      <c r="B404" t="s">
        <v>1200</v>
      </c>
      <c r="C404">
        <v>76</v>
      </c>
      <c r="D404" t="s">
        <v>11</v>
      </c>
      <c r="E404" s="2">
        <v>45989</v>
      </c>
      <c r="F404" s="2">
        <v>45767</v>
      </c>
      <c r="G404" t="s">
        <v>1201</v>
      </c>
      <c r="H404" t="s">
        <v>28</v>
      </c>
      <c r="I404" t="s">
        <v>1202</v>
      </c>
      <c r="J404" t="s">
        <v>36</v>
      </c>
    </row>
    <row r="405" spans="1:10" x14ac:dyDescent="0.2">
      <c r="A405">
        <v>1020</v>
      </c>
      <c r="B405" t="s">
        <v>1203</v>
      </c>
      <c r="C405">
        <v>69</v>
      </c>
      <c r="D405" t="s">
        <v>38</v>
      </c>
      <c r="E405" s="1">
        <v>45904</v>
      </c>
      <c r="F405" s="2">
        <v>45704</v>
      </c>
      <c r="G405" t="s">
        <v>1204</v>
      </c>
      <c r="H405" t="s">
        <v>28</v>
      </c>
      <c r="I405" t="s">
        <v>1205</v>
      </c>
      <c r="J405" t="s">
        <v>30</v>
      </c>
    </row>
    <row r="406" spans="1:10" x14ac:dyDescent="0.2">
      <c r="A406">
        <v>1013</v>
      </c>
      <c r="B406" t="s">
        <v>1206</v>
      </c>
      <c r="C406">
        <v>27</v>
      </c>
      <c r="D406" t="s">
        <v>11</v>
      </c>
      <c r="E406" s="2">
        <v>46027</v>
      </c>
      <c r="F406" s="1">
        <v>45638</v>
      </c>
      <c r="G406" t="s">
        <v>1207</v>
      </c>
      <c r="H406" t="s">
        <v>24</v>
      </c>
      <c r="I406" t="s">
        <v>1208</v>
      </c>
      <c r="J406" t="s">
        <v>20</v>
      </c>
    </row>
    <row r="407" spans="1:10" x14ac:dyDescent="0.2">
      <c r="A407">
        <v>1027</v>
      </c>
      <c r="B407" t="s">
        <v>1209</v>
      </c>
      <c r="C407">
        <v>75</v>
      </c>
      <c r="D407" t="s">
        <v>71</v>
      </c>
      <c r="E407" s="2">
        <v>45761</v>
      </c>
      <c r="F407" s="1">
        <v>45463</v>
      </c>
      <c r="G407" t="s">
        <v>1210</v>
      </c>
      <c r="H407" t="s">
        <v>18</v>
      </c>
      <c r="I407" t="s">
        <v>1211</v>
      </c>
      <c r="J407">
        <v>0</v>
      </c>
    </row>
    <row r="408" spans="1:10" x14ac:dyDescent="0.2">
      <c r="A408">
        <v>1070</v>
      </c>
      <c r="B408" t="s">
        <v>1212</v>
      </c>
      <c r="C408">
        <v>58</v>
      </c>
      <c r="D408" t="s">
        <v>16</v>
      </c>
      <c r="E408" s="2">
        <v>45992</v>
      </c>
      <c r="F408" s="2">
        <v>45655</v>
      </c>
      <c r="G408" t="s">
        <v>1213</v>
      </c>
      <c r="H408" t="s">
        <v>28</v>
      </c>
      <c r="I408" t="s">
        <v>1214</v>
      </c>
      <c r="J408">
        <v>0</v>
      </c>
    </row>
    <row r="409" spans="1:10" x14ac:dyDescent="0.2">
      <c r="A409">
        <v>1050</v>
      </c>
      <c r="B409" t="s">
        <v>1215</v>
      </c>
      <c r="C409">
        <v>61</v>
      </c>
      <c r="D409" t="s">
        <v>38</v>
      </c>
      <c r="E409" s="1">
        <v>45827</v>
      </c>
      <c r="F409" s="2">
        <v>45536</v>
      </c>
      <c r="G409" t="s">
        <v>1216</v>
      </c>
      <c r="H409" t="s">
        <v>24</v>
      </c>
      <c r="I409" t="s">
        <v>1217</v>
      </c>
      <c r="J409">
        <v>0</v>
      </c>
    </row>
    <row r="410" spans="1:10" x14ac:dyDescent="0.2">
      <c r="A410">
        <v>1010</v>
      </c>
      <c r="B410" t="s">
        <v>1218</v>
      </c>
      <c r="C410">
        <v>68</v>
      </c>
      <c r="D410" t="s">
        <v>38</v>
      </c>
      <c r="E410" s="2">
        <v>45842</v>
      </c>
      <c r="F410" s="2">
        <v>45596</v>
      </c>
      <c r="G410" t="s">
        <v>1219</v>
      </c>
      <c r="H410" t="s">
        <v>28</v>
      </c>
      <c r="I410" t="s">
        <v>1220</v>
      </c>
      <c r="J410">
        <v>1</v>
      </c>
    </row>
    <row r="411" spans="1:10" x14ac:dyDescent="0.2">
      <c r="A411">
        <v>1017</v>
      </c>
      <c r="B411" t="s">
        <v>1221</v>
      </c>
      <c r="C411">
        <v>43</v>
      </c>
      <c r="D411">
        <v>0</v>
      </c>
      <c r="E411" s="2">
        <v>45795</v>
      </c>
      <c r="F411" s="1">
        <v>45495</v>
      </c>
      <c r="G411" t="s">
        <v>1222</v>
      </c>
      <c r="H411" t="s">
        <v>18</v>
      </c>
      <c r="I411" t="s">
        <v>1223</v>
      </c>
      <c r="J411" t="s">
        <v>30</v>
      </c>
    </row>
    <row r="412" spans="1:10" x14ac:dyDescent="0.2">
      <c r="A412">
        <v>1085</v>
      </c>
      <c r="B412" t="s">
        <v>1224</v>
      </c>
      <c r="C412">
        <v>62</v>
      </c>
      <c r="D412">
        <v>0</v>
      </c>
      <c r="E412" s="2">
        <v>45968</v>
      </c>
      <c r="F412" s="2">
        <v>45515</v>
      </c>
      <c r="G412" t="s">
        <v>1225</v>
      </c>
      <c r="H412" t="s">
        <v>13</v>
      </c>
      <c r="I412" t="s">
        <v>1226</v>
      </c>
      <c r="J412" t="s">
        <v>60</v>
      </c>
    </row>
    <row r="413" spans="1:10" x14ac:dyDescent="0.2">
      <c r="A413">
        <v>1023</v>
      </c>
      <c r="B413" t="s">
        <v>1227</v>
      </c>
      <c r="C413">
        <v>45</v>
      </c>
      <c r="D413" t="s">
        <v>51</v>
      </c>
      <c r="E413" s="1">
        <v>45829</v>
      </c>
      <c r="F413" s="2">
        <v>45729</v>
      </c>
      <c r="G413" t="s">
        <v>1228</v>
      </c>
      <c r="H413" t="s">
        <v>13</v>
      </c>
      <c r="I413" t="s">
        <v>1229</v>
      </c>
      <c r="J413" t="s">
        <v>36</v>
      </c>
    </row>
    <row r="414" spans="1:10" x14ac:dyDescent="0.2">
      <c r="A414">
        <v>1066</v>
      </c>
      <c r="B414" t="s">
        <v>1230</v>
      </c>
      <c r="C414">
        <v>85</v>
      </c>
      <c r="D414" t="s">
        <v>11</v>
      </c>
      <c r="E414" s="1">
        <v>46000</v>
      </c>
      <c r="F414" s="2">
        <v>45687</v>
      </c>
      <c r="G414" t="s">
        <v>1231</v>
      </c>
      <c r="H414" t="s">
        <v>28</v>
      </c>
      <c r="I414" t="s">
        <v>1232</v>
      </c>
      <c r="J414" t="s">
        <v>20</v>
      </c>
    </row>
    <row r="415" spans="1:10" x14ac:dyDescent="0.2">
      <c r="A415">
        <v>1038</v>
      </c>
      <c r="B415" t="s">
        <v>1233</v>
      </c>
      <c r="C415">
        <v>72</v>
      </c>
      <c r="D415" t="s">
        <v>38</v>
      </c>
      <c r="E415" s="1">
        <v>45896</v>
      </c>
      <c r="F415" s="2">
        <v>45633</v>
      </c>
      <c r="G415" t="s">
        <v>1234</v>
      </c>
      <c r="H415" t="s">
        <v>24</v>
      </c>
      <c r="I415" t="s">
        <v>1235</v>
      </c>
      <c r="J415" t="s">
        <v>36</v>
      </c>
    </row>
    <row r="416" spans="1:10" x14ac:dyDescent="0.2">
      <c r="A416">
        <v>1048</v>
      </c>
      <c r="B416" t="s">
        <v>1236</v>
      </c>
      <c r="C416">
        <v>63</v>
      </c>
      <c r="D416" t="s">
        <v>38</v>
      </c>
      <c r="E416" s="2">
        <v>45945</v>
      </c>
      <c r="F416" s="1">
        <v>45690</v>
      </c>
      <c r="G416" t="s">
        <v>1237</v>
      </c>
      <c r="H416" t="s">
        <v>13</v>
      </c>
      <c r="I416" t="s">
        <v>1238</v>
      </c>
      <c r="J416" t="s">
        <v>20</v>
      </c>
    </row>
    <row r="417" spans="1:10" x14ac:dyDescent="0.2">
      <c r="A417">
        <v>1082</v>
      </c>
      <c r="B417" t="s">
        <v>1239</v>
      </c>
      <c r="C417">
        <v>67</v>
      </c>
      <c r="D417">
        <v>0</v>
      </c>
      <c r="E417" s="2">
        <v>45857</v>
      </c>
      <c r="F417" s="1">
        <v>45630</v>
      </c>
      <c r="G417" t="s">
        <v>1240</v>
      </c>
      <c r="H417" t="s">
        <v>28</v>
      </c>
      <c r="I417" t="s">
        <v>1241</v>
      </c>
      <c r="J417" t="s">
        <v>36</v>
      </c>
    </row>
    <row r="418" spans="1:10" x14ac:dyDescent="0.2">
      <c r="A418">
        <v>1085</v>
      </c>
      <c r="B418" t="s">
        <v>1242</v>
      </c>
      <c r="C418">
        <v>69</v>
      </c>
      <c r="D418">
        <v>1</v>
      </c>
      <c r="E418" s="1">
        <v>46097</v>
      </c>
      <c r="F418" s="2">
        <v>45462</v>
      </c>
      <c r="G418" t="s">
        <v>1243</v>
      </c>
      <c r="H418" t="s">
        <v>28</v>
      </c>
      <c r="I418" t="s">
        <v>1244</v>
      </c>
      <c r="J418" t="s">
        <v>60</v>
      </c>
    </row>
    <row r="419" spans="1:10" x14ac:dyDescent="0.2">
      <c r="A419">
        <v>1046</v>
      </c>
      <c r="B419" t="s">
        <v>1245</v>
      </c>
      <c r="C419">
        <v>24</v>
      </c>
      <c r="D419" t="s">
        <v>16</v>
      </c>
      <c r="E419" s="1">
        <v>45857</v>
      </c>
      <c r="F419" s="2">
        <v>45533</v>
      </c>
      <c r="G419" t="s">
        <v>1246</v>
      </c>
      <c r="H419" t="s">
        <v>18</v>
      </c>
      <c r="I419" t="s">
        <v>1247</v>
      </c>
      <c r="J419">
        <v>0</v>
      </c>
    </row>
    <row r="420" spans="1:10" x14ac:dyDescent="0.2">
      <c r="A420">
        <v>1093</v>
      </c>
      <c r="B420" t="s">
        <v>1248</v>
      </c>
      <c r="C420">
        <v>87</v>
      </c>
      <c r="D420" t="s">
        <v>16</v>
      </c>
      <c r="E420" s="2">
        <v>46044</v>
      </c>
      <c r="F420" s="1">
        <v>45599</v>
      </c>
      <c r="G420" t="s">
        <v>1249</v>
      </c>
      <c r="H420" t="s">
        <v>18</v>
      </c>
      <c r="I420" t="s">
        <v>1250</v>
      </c>
      <c r="J420">
        <v>0</v>
      </c>
    </row>
    <row r="421" spans="1:10" x14ac:dyDescent="0.2">
      <c r="A421">
        <v>1072</v>
      </c>
      <c r="B421" t="s">
        <v>1251</v>
      </c>
      <c r="C421">
        <v>68</v>
      </c>
      <c r="D421">
        <v>1</v>
      </c>
      <c r="E421" s="2">
        <v>46032</v>
      </c>
      <c r="F421" s="1">
        <v>45911</v>
      </c>
      <c r="G421" t="s">
        <v>1252</v>
      </c>
      <c r="H421" t="s">
        <v>13</v>
      </c>
      <c r="I421" t="s">
        <v>1253</v>
      </c>
      <c r="J421" t="s">
        <v>60</v>
      </c>
    </row>
    <row r="422" spans="1:10" x14ac:dyDescent="0.2">
      <c r="A422">
        <v>1089</v>
      </c>
      <c r="B422" t="s">
        <v>1254</v>
      </c>
      <c r="C422">
        <v>80</v>
      </c>
      <c r="D422">
        <v>1</v>
      </c>
      <c r="E422" s="1">
        <v>46000</v>
      </c>
      <c r="F422" s="1">
        <v>45951</v>
      </c>
      <c r="G422" t="s">
        <v>1255</v>
      </c>
      <c r="H422" t="s">
        <v>13</v>
      </c>
      <c r="I422" t="s">
        <v>1256</v>
      </c>
      <c r="J422">
        <v>0</v>
      </c>
    </row>
    <row r="423" spans="1:10" x14ac:dyDescent="0.2">
      <c r="A423">
        <v>1007</v>
      </c>
      <c r="B423" t="s">
        <v>1257</v>
      </c>
      <c r="C423">
        <v>39</v>
      </c>
      <c r="D423" t="s">
        <v>38</v>
      </c>
      <c r="E423" s="2">
        <v>46031</v>
      </c>
      <c r="F423" s="1">
        <v>45513</v>
      </c>
      <c r="G423" t="s">
        <v>1258</v>
      </c>
      <c r="H423" t="s">
        <v>13</v>
      </c>
      <c r="I423" t="s">
        <v>1259</v>
      </c>
      <c r="J423">
        <v>0</v>
      </c>
    </row>
    <row r="424" spans="1:10" x14ac:dyDescent="0.2">
      <c r="A424">
        <v>1030</v>
      </c>
      <c r="B424" t="s">
        <v>1260</v>
      </c>
      <c r="C424">
        <v>18</v>
      </c>
      <c r="D424" t="s">
        <v>22</v>
      </c>
      <c r="E424" s="1">
        <v>46079</v>
      </c>
      <c r="F424" s="1">
        <v>45907</v>
      </c>
      <c r="G424" t="s">
        <v>1261</v>
      </c>
      <c r="H424" t="s">
        <v>18</v>
      </c>
      <c r="I424" t="s">
        <v>1262</v>
      </c>
      <c r="J424">
        <v>1</v>
      </c>
    </row>
    <row r="425" spans="1:10" x14ac:dyDescent="0.2">
      <c r="A425">
        <v>1088</v>
      </c>
      <c r="B425" t="s">
        <v>1263</v>
      </c>
      <c r="C425">
        <v>80</v>
      </c>
      <c r="D425" t="s">
        <v>22</v>
      </c>
      <c r="E425" s="2">
        <v>46087</v>
      </c>
      <c r="F425" s="2">
        <v>45826</v>
      </c>
      <c r="G425" t="s">
        <v>1264</v>
      </c>
      <c r="H425" t="s">
        <v>13</v>
      </c>
      <c r="I425" t="s">
        <v>1265</v>
      </c>
      <c r="J425" t="s">
        <v>20</v>
      </c>
    </row>
    <row r="426" spans="1:10" x14ac:dyDescent="0.2">
      <c r="A426">
        <v>1077</v>
      </c>
      <c r="B426" t="s">
        <v>1266</v>
      </c>
      <c r="C426">
        <v>30</v>
      </c>
      <c r="D426" t="s">
        <v>51</v>
      </c>
      <c r="E426" s="1">
        <v>45882</v>
      </c>
      <c r="F426" s="1">
        <v>45698</v>
      </c>
      <c r="G426" t="s">
        <v>1267</v>
      </c>
      <c r="H426" t="s">
        <v>13</v>
      </c>
      <c r="I426" t="s">
        <v>1268</v>
      </c>
      <c r="J426">
        <v>1</v>
      </c>
    </row>
    <row r="427" spans="1:10" x14ac:dyDescent="0.2">
      <c r="A427">
        <v>1019</v>
      </c>
      <c r="B427" t="s">
        <v>1269</v>
      </c>
      <c r="C427">
        <v>33</v>
      </c>
      <c r="D427" t="s">
        <v>11</v>
      </c>
      <c r="E427" s="2">
        <v>45821</v>
      </c>
      <c r="F427" s="2">
        <v>45452</v>
      </c>
      <c r="G427" t="s">
        <v>1270</v>
      </c>
      <c r="H427" t="s">
        <v>28</v>
      </c>
      <c r="J427" t="s">
        <v>30</v>
      </c>
    </row>
    <row r="428" spans="1:10" x14ac:dyDescent="0.2">
      <c r="A428">
        <v>1065</v>
      </c>
      <c r="B428" t="s">
        <v>1271</v>
      </c>
      <c r="C428">
        <v>31</v>
      </c>
      <c r="D428">
        <v>1</v>
      </c>
      <c r="E428" s="1">
        <v>46085</v>
      </c>
      <c r="F428" s="1">
        <v>46050</v>
      </c>
      <c r="G428" t="s">
        <v>1272</v>
      </c>
      <c r="H428" t="s">
        <v>18</v>
      </c>
      <c r="I428" t="s">
        <v>1273</v>
      </c>
      <c r="J428" t="s">
        <v>20</v>
      </c>
    </row>
    <row r="429" spans="1:10" x14ac:dyDescent="0.2">
      <c r="A429">
        <v>1081</v>
      </c>
      <c r="B429" t="s">
        <v>1274</v>
      </c>
      <c r="C429">
        <v>27</v>
      </c>
      <c r="D429">
        <v>0</v>
      </c>
      <c r="E429" s="2">
        <v>45854</v>
      </c>
      <c r="F429" s="1">
        <v>45821</v>
      </c>
      <c r="G429" t="s">
        <v>1275</v>
      </c>
      <c r="H429" t="s">
        <v>18</v>
      </c>
      <c r="I429" t="s">
        <v>1276</v>
      </c>
      <c r="J429" t="s">
        <v>36</v>
      </c>
    </row>
    <row r="430" spans="1:10" x14ac:dyDescent="0.2">
      <c r="A430">
        <v>1058</v>
      </c>
      <c r="B430" t="s">
        <v>1277</v>
      </c>
      <c r="C430">
        <v>21</v>
      </c>
      <c r="D430">
        <v>0</v>
      </c>
      <c r="E430" s="1">
        <v>45916</v>
      </c>
      <c r="F430" s="2">
        <v>45739</v>
      </c>
      <c r="G430" t="s">
        <v>1278</v>
      </c>
      <c r="H430" t="s">
        <v>13</v>
      </c>
      <c r="I430" t="s">
        <v>1279</v>
      </c>
      <c r="J430">
        <v>0</v>
      </c>
    </row>
    <row r="431" spans="1:10" x14ac:dyDescent="0.2">
      <c r="A431">
        <v>1034</v>
      </c>
      <c r="B431" t="s">
        <v>1280</v>
      </c>
      <c r="C431">
        <v>75</v>
      </c>
      <c r="D431" t="s">
        <v>16</v>
      </c>
      <c r="E431" s="2">
        <v>45813</v>
      </c>
      <c r="F431" s="1">
        <v>45677</v>
      </c>
      <c r="G431" t="s">
        <v>1281</v>
      </c>
      <c r="H431" t="s">
        <v>13</v>
      </c>
      <c r="I431" t="s">
        <v>1282</v>
      </c>
      <c r="J431">
        <v>1</v>
      </c>
    </row>
    <row r="432" spans="1:10" x14ac:dyDescent="0.2">
      <c r="A432">
        <v>1068</v>
      </c>
      <c r="B432" t="s">
        <v>1283</v>
      </c>
      <c r="C432">
        <v>61</v>
      </c>
      <c r="D432" t="s">
        <v>11</v>
      </c>
      <c r="E432" s="2">
        <v>46006</v>
      </c>
      <c r="F432" s="1">
        <v>45483</v>
      </c>
      <c r="G432" t="s">
        <v>1284</v>
      </c>
      <c r="H432" t="s">
        <v>24</v>
      </c>
      <c r="J432">
        <v>1</v>
      </c>
    </row>
    <row r="433" spans="1:10" x14ac:dyDescent="0.2">
      <c r="A433">
        <v>1030</v>
      </c>
      <c r="B433" t="s">
        <v>1285</v>
      </c>
      <c r="C433">
        <v>80</v>
      </c>
      <c r="D433" t="s">
        <v>51</v>
      </c>
      <c r="E433" s="1">
        <v>46063</v>
      </c>
      <c r="F433" s="2">
        <v>45674</v>
      </c>
      <c r="G433" t="s">
        <v>1286</v>
      </c>
      <c r="H433" t="s">
        <v>13</v>
      </c>
      <c r="I433" t="s">
        <v>1287</v>
      </c>
      <c r="J433" t="s">
        <v>60</v>
      </c>
    </row>
    <row r="434" spans="1:10" x14ac:dyDescent="0.2">
      <c r="A434">
        <v>1013</v>
      </c>
      <c r="B434" t="s">
        <v>1288</v>
      </c>
      <c r="C434">
        <v>86</v>
      </c>
      <c r="D434" t="s">
        <v>51</v>
      </c>
      <c r="E434" s="2">
        <v>45907</v>
      </c>
      <c r="F434" s="2">
        <v>45668</v>
      </c>
      <c r="G434" t="s">
        <v>1289</v>
      </c>
      <c r="H434" t="s">
        <v>24</v>
      </c>
      <c r="I434" t="s">
        <v>1290</v>
      </c>
      <c r="J434">
        <v>0</v>
      </c>
    </row>
    <row r="435" spans="1:10" x14ac:dyDescent="0.2">
      <c r="A435">
        <v>1092</v>
      </c>
      <c r="B435" t="s">
        <v>1291</v>
      </c>
      <c r="C435">
        <v>42</v>
      </c>
      <c r="D435" t="s">
        <v>22</v>
      </c>
      <c r="E435" s="2">
        <v>45767</v>
      </c>
      <c r="F435" s="1">
        <v>45574</v>
      </c>
      <c r="G435" t="s">
        <v>1292</v>
      </c>
      <c r="H435" t="s">
        <v>13</v>
      </c>
      <c r="I435" t="s">
        <v>1293</v>
      </c>
      <c r="J435">
        <v>1</v>
      </c>
    </row>
    <row r="436" spans="1:10" x14ac:dyDescent="0.2">
      <c r="A436">
        <v>1027</v>
      </c>
      <c r="B436" t="s">
        <v>1294</v>
      </c>
      <c r="C436">
        <v>63</v>
      </c>
      <c r="D436" t="s">
        <v>22</v>
      </c>
      <c r="E436" s="1">
        <v>45847</v>
      </c>
      <c r="F436" s="2">
        <v>45504</v>
      </c>
      <c r="G436" t="s">
        <v>1295</v>
      </c>
      <c r="H436" t="s">
        <v>18</v>
      </c>
      <c r="I436" t="s">
        <v>1296</v>
      </c>
      <c r="J436" t="s">
        <v>20</v>
      </c>
    </row>
    <row r="437" spans="1:10" x14ac:dyDescent="0.2">
      <c r="A437">
        <v>1067</v>
      </c>
      <c r="B437" t="s">
        <v>826</v>
      </c>
      <c r="C437">
        <v>54</v>
      </c>
      <c r="D437" t="s">
        <v>38</v>
      </c>
      <c r="E437" s="2">
        <v>45911</v>
      </c>
      <c r="F437" s="1">
        <v>45905</v>
      </c>
      <c r="G437" t="s">
        <v>1297</v>
      </c>
      <c r="H437" t="s">
        <v>13</v>
      </c>
      <c r="I437" t="s">
        <v>1298</v>
      </c>
      <c r="J437">
        <v>0</v>
      </c>
    </row>
    <row r="438" spans="1:10" x14ac:dyDescent="0.2">
      <c r="A438">
        <v>1059</v>
      </c>
      <c r="B438" t="s">
        <v>1299</v>
      </c>
      <c r="C438">
        <v>34</v>
      </c>
      <c r="D438" t="s">
        <v>71</v>
      </c>
      <c r="E438" s="2">
        <v>45910</v>
      </c>
      <c r="F438" s="1">
        <v>45595</v>
      </c>
      <c r="G438" t="s">
        <v>1300</v>
      </c>
      <c r="H438" t="s">
        <v>24</v>
      </c>
      <c r="I438" t="s">
        <v>1301</v>
      </c>
      <c r="J438" t="s">
        <v>36</v>
      </c>
    </row>
    <row r="439" spans="1:10" x14ac:dyDescent="0.2">
      <c r="A439">
        <v>1040</v>
      </c>
      <c r="B439" t="s">
        <v>1302</v>
      </c>
      <c r="C439">
        <v>22</v>
      </c>
      <c r="D439" t="s">
        <v>38</v>
      </c>
      <c r="E439" s="1">
        <v>46006</v>
      </c>
      <c r="F439" s="1">
        <v>45430</v>
      </c>
      <c r="G439" t="s">
        <v>1303</v>
      </c>
      <c r="H439" t="s">
        <v>18</v>
      </c>
      <c r="I439" t="s">
        <v>1304</v>
      </c>
      <c r="J439" t="s">
        <v>60</v>
      </c>
    </row>
    <row r="440" spans="1:10" x14ac:dyDescent="0.2">
      <c r="A440">
        <v>1058</v>
      </c>
      <c r="B440" t="s">
        <v>1305</v>
      </c>
      <c r="C440">
        <v>84</v>
      </c>
      <c r="D440" t="s">
        <v>11</v>
      </c>
      <c r="E440" s="1">
        <v>45954</v>
      </c>
      <c r="F440" s="1">
        <v>45743</v>
      </c>
      <c r="G440" t="s">
        <v>1306</v>
      </c>
      <c r="H440" t="s">
        <v>24</v>
      </c>
      <c r="I440" t="s">
        <v>1307</v>
      </c>
      <c r="J440" t="s">
        <v>36</v>
      </c>
    </row>
    <row r="441" spans="1:10" x14ac:dyDescent="0.2">
      <c r="A441">
        <v>1080</v>
      </c>
      <c r="B441" t="s">
        <v>1308</v>
      </c>
      <c r="C441">
        <v>45</v>
      </c>
      <c r="D441" t="s">
        <v>38</v>
      </c>
      <c r="E441" s="1">
        <v>45972</v>
      </c>
      <c r="F441" s="2">
        <v>45818</v>
      </c>
      <c r="G441" t="s">
        <v>1309</v>
      </c>
      <c r="H441" t="s">
        <v>13</v>
      </c>
      <c r="I441" t="s">
        <v>1310</v>
      </c>
      <c r="J441">
        <v>0</v>
      </c>
    </row>
    <row r="442" spans="1:10" x14ac:dyDescent="0.2">
      <c r="A442">
        <v>1026</v>
      </c>
      <c r="B442" t="s">
        <v>1311</v>
      </c>
      <c r="C442">
        <v>47</v>
      </c>
      <c r="D442" t="s">
        <v>38</v>
      </c>
      <c r="E442" s="1">
        <v>46070</v>
      </c>
      <c r="F442" s="1">
        <v>45421</v>
      </c>
      <c r="G442" t="s">
        <v>1312</v>
      </c>
      <c r="H442" t="s">
        <v>13</v>
      </c>
      <c r="I442" t="s">
        <v>1313</v>
      </c>
      <c r="J442" t="s">
        <v>30</v>
      </c>
    </row>
    <row r="443" spans="1:10" x14ac:dyDescent="0.2">
      <c r="A443">
        <v>1058</v>
      </c>
      <c r="B443" t="s">
        <v>1314</v>
      </c>
      <c r="C443">
        <v>88</v>
      </c>
      <c r="E443" s="1">
        <v>45949</v>
      </c>
      <c r="F443" s="2">
        <v>45612</v>
      </c>
      <c r="G443" t="s">
        <v>1315</v>
      </c>
      <c r="H443" t="s">
        <v>24</v>
      </c>
      <c r="I443" t="s">
        <v>1316</v>
      </c>
      <c r="J443" t="s">
        <v>60</v>
      </c>
    </row>
    <row r="444" spans="1:10" x14ac:dyDescent="0.2">
      <c r="A444">
        <v>1065</v>
      </c>
      <c r="B444" t="s">
        <v>1317</v>
      </c>
      <c r="C444">
        <v>28</v>
      </c>
      <c r="D444" t="s">
        <v>51</v>
      </c>
      <c r="E444" s="1">
        <v>45893</v>
      </c>
      <c r="F444" s="1">
        <v>45867</v>
      </c>
      <c r="G444" t="s">
        <v>1318</v>
      </c>
      <c r="H444" t="s">
        <v>24</v>
      </c>
      <c r="I444" t="s">
        <v>1319</v>
      </c>
      <c r="J444">
        <v>1</v>
      </c>
    </row>
    <row r="445" spans="1:10" x14ac:dyDescent="0.2">
      <c r="A445">
        <v>1016</v>
      </c>
      <c r="B445" t="s">
        <v>1320</v>
      </c>
      <c r="C445">
        <v>42</v>
      </c>
      <c r="D445">
        <v>1</v>
      </c>
      <c r="E445" s="1">
        <v>45966</v>
      </c>
      <c r="F445" s="2">
        <v>45507</v>
      </c>
      <c r="G445" t="s">
        <v>1321</v>
      </c>
      <c r="H445" t="s">
        <v>28</v>
      </c>
      <c r="J445" t="s">
        <v>20</v>
      </c>
    </row>
    <row r="446" spans="1:10" x14ac:dyDescent="0.2">
      <c r="A446">
        <v>1064</v>
      </c>
      <c r="B446" t="s">
        <v>1322</v>
      </c>
      <c r="C446">
        <v>27</v>
      </c>
      <c r="D446" t="s">
        <v>38</v>
      </c>
      <c r="E446" s="2">
        <v>46073</v>
      </c>
      <c r="F446" s="2">
        <v>45844</v>
      </c>
      <c r="G446" t="s">
        <v>1323</v>
      </c>
      <c r="H446" t="s">
        <v>28</v>
      </c>
      <c r="I446" t="s">
        <v>1324</v>
      </c>
      <c r="J446" t="s">
        <v>36</v>
      </c>
    </row>
    <row r="447" spans="1:10" x14ac:dyDescent="0.2">
      <c r="A447">
        <v>1036</v>
      </c>
      <c r="B447" t="s">
        <v>1325</v>
      </c>
      <c r="C447">
        <v>59</v>
      </c>
      <c r="D447">
        <v>1</v>
      </c>
      <c r="E447" s="2">
        <v>45946</v>
      </c>
      <c r="F447" s="1">
        <v>45411</v>
      </c>
      <c r="G447" t="s">
        <v>1326</v>
      </c>
      <c r="H447" t="s">
        <v>13</v>
      </c>
      <c r="I447" t="s">
        <v>1327</v>
      </c>
      <c r="J447" t="s">
        <v>36</v>
      </c>
    </row>
    <row r="448" spans="1:10" x14ac:dyDescent="0.2">
      <c r="A448">
        <v>1017</v>
      </c>
      <c r="B448" t="s">
        <v>1328</v>
      </c>
      <c r="C448">
        <v>34</v>
      </c>
      <c r="D448" t="s">
        <v>38</v>
      </c>
      <c r="E448" s="1">
        <v>45858</v>
      </c>
      <c r="F448" s="1">
        <v>45791</v>
      </c>
      <c r="G448" t="s">
        <v>1329</v>
      </c>
      <c r="H448" t="s">
        <v>28</v>
      </c>
      <c r="I448" t="s">
        <v>1330</v>
      </c>
      <c r="J448" t="s">
        <v>60</v>
      </c>
    </row>
    <row r="449" spans="1:10" x14ac:dyDescent="0.2">
      <c r="A449">
        <v>1005</v>
      </c>
      <c r="B449" t="s">
        <v>1331</v>
      </c>
      <c r="C449">
        <v>69</v>
      </c>
      <c r="D449" t="s">
        <v>71</v>
      </c>
      <c r="E449" s="2">
        <v>45936</v>
      </c>
      <c r="F449" s="1">
        <v>45625</v>
      </c>
      <c r="G449" t="s">
        <v>1332</v>
      </c>
      <c r="H449" t="s">
        <v>24</v>
      </c>
      <c r="I449" t="s">
        <v>1333</v>
      </c>
      <c r="J449" t="s">
        <v>36</v>
      </c>
    </row>
    <row r="450" spans="1:10" x14ac:dyDescent="0.2">
      <c r="A450">
        <v>1086</v>
      </c>
      <c r="B450" t="s">
        <v>1334</v>
      </c>
      <c r="C450">
        <v>84</v>
      </c>
      <c r="D450">
        <v>1</v>
      </c>
      <c r="E450" s="1">
        <v>46015</v>
      </c>
      <c r="F450" s="1">
        <v>45534</v>
      </c>
      <c r="G450" t="s">
        <v>1335</v>
      </c>
      <c r="H450" t="s">
        <v>28</v>
      </c>
      <c r="I450" t="s">
        <v>1336</v>
      </c>
      <c r="J450" t="s">
        <v>20</v>
      </c>
    </row>
    <row r="451" spans="1:10" x14ac:dyDescent="0.2">
      <c r="A451">
        <v>1095</v>
      </c>
      <c r="B451" t="s">
        <v>1337</v>
      </c>
      <c r="C451">
        <v>37</v>
      </c>
      <c r="D451">
        <v>1</v>
      </c>
      <c r="E451" s="1">
        <v>45914</v>
      </c>
      <c r="F451" s="1">
        <v>45432</v>
      </c>
      <c r="G451" t="s">
        <v>1338</v>
      </c>
      <c r="H451" t="s">
        <v>18</v>
      </c>
      <c r="I451" t="s">
        <v>1339</v>
      </c>
      <c r="J451" t="s">
        <v>36</v>
      </c>
    </row>
    <row r="452" spans="1:10" x14ac:dyDescent="0.2">
      <c r="A452">
        <v>1030</v>
      </c>
      <c r="B452" t="s">
        <v>1340</v>
      </c>
      <c r="C452">
        <v>25</v>
      </c>
      <c r="D452" t="s">
        <v>16</v>
      </c>
      <c r="E452" s="1">
        <v>45771</v>
      </c>
      <c r="F452" s="1">
        <v>45396</v>
      </c>
      <c r="G452" t="s">
        <v>1341</v>
      </c>
      <c r="H452" t="s">
        <v>18</v>
      </c>
      <c r="I452" t="s">
        <v>1342</v>
      </c>
      <c r="J452" t="s">
        <v>30</v>
      </c>
    </row>
    <row r="453" spans="1:10" x14ac:dyDescent="0.2">
      <c r="A453">
        <v>1059</v>
      </c>
      <c r="B453" t="s">
        <v>1343</v>
      </c>
      <c r="C453">
        <v>84</v>
      </c>
      <c r="D453" t="s">
        <v>11</v>
      </c>
      <c r="E453" s="2">
        <v>46097</v>
      </c>
      <c r="F453" s="2">
        <v>45630</v>
      </c>
      <c r="G453" t="s">
        <v>1344</v>
      </c>
      <c r="H453" t="s">
        <v>24</v>
      </c>
      <c r="I453" t="s">
        <v>1345</v>
      </c>
      <c r="J453" t="s">
        <v>36</v>
      </c>
    </row>
    <row r="454" spans="1:10" x14ac:dyDescent="0.2">
      <c r="A454">
        <v>1012</v>
      </c>
      <c r="B454" t="s">
        <v>1346</v>
      </c>
      <c r="C454">
        <v>30</v>
      </c>
      <c r="D454">
        <v>0</v>
      </c>
      <c r="E454" s="2">
        <v>46030</v>
      </c>
      <c r="F454" s="2">
        <v>45888</v>
      </c>
      <c r="G454" t="s">
        <v>1347</v>
      </c>
      <c r="H454" t="s">
        <v>13</v>
      </c>
      <c r="I454" t="s">
        <v>1348</v>
      </c>
      <c r="J454" t="s">
        <v>20</v>
      </c>
    </row>
    <row r="455" spans="1:10" x14ac:dyDescent="0.2">
      <c r="A455">
        <v>1074</v>
      </c>
      <c r="B455" t="s">
        <v>1349</v>
      </c>
      <c r="C455">
        <v>64</v>
      </c>
      <c r="D455" t="s">
        <v>51</v>
      </c>
      <c r="E455" s="1">
        <v>45832</v>
      </c>
      <c r="F455" s="2">
        <v>45571</v>
      </c>
      <c r="G455" t="s">
        <v>1350</v>
      </c>
      <c r="H455" t="s">
        <v>28</v>
      </c>
      <c r="I455" t="s">
        <v>1351</v>
      </c>
      <c r="J455" t="s">
        <v>30</v>
      </c>
    </row>
    <row r="456" spans="1:10" x14ac:dyDescent="0.2">
      <c r="A456">
        <v>1082</v>
      </c>
      <c r="B456" t="s">
        <v>1352</v>
      </c>
      <c r="C456">
        <v>33</v>
      </c>
      <c r="D456" t="s">
        <v>71</v>
      </c>
      <c r="E456" s="2">
        <v>45819</v>
      </c>
      <c r="F456" s="1">
        <v>45707</v>
      </c>
      <c r="G456" t="s">
        <v>1353</v>
      </c>
      <c r="H456" t="s">
        <v>24</v>
      </c>
      <c r="I456" t="s">
        <v>1354</v>
      </c>
      <c r="J456" t="s">
        <v>36</v>
      </c>
    </row>
    <row r="457" spans="1:10" x14ac:dyDescent="0.2">
      <c r="A457">
        <v>1009</v>
      </c>
      <c r="B457" t="s">
        <v>1355</v>
      </c>
      <c r="C457">
        <v>63</v>
      </c>
      <c r="D457" t="s">
        <v>71</v>
      </c>
      <c r="E457" s="2">
        <v>46070</v>
      </c>
      <c r="F457" s="2">
        <v>46033</v>
      </c>
      <c r="G457" t="s">
        <v>1356</v>
      </c>
      <c r="H457" t="s">
        <v>13</v>
      </c>
      <c r="I457" t="s">
        <v>1357</v>
      </c>
      <c r="J457" t="s">
        <v>60</v>
      </c>
    </row>
    <row r="458" spans="1:10" x14ac:dyDescent="0.2">
      <c r="A458">
        <v>1091</v>
      </c>
      <c r="B458" t="s">
        <v>1358</v>
      </c>
      <c r="C458">
        <v>86</v>
      </c>
      <c r="D458" t="s">
        <v>51</v>
      </c>
      <c r="E458" s="2">
        <v>46014</v>
      </c>
      <c r="F458" s="1">
        <v>45620</v>
      </c>
      <c r="G458" t="s">
        <v>1359</v>
      </c>
      <c r="H458" t="s">
        <v>28</v>
      </c>
      <c r="I458" t="s">
        <v>1360</v>
      </c>
      <c r="J458">
        <v>0</v>
      </c>
    </row>
    <row r="459" spans="1:10" x14ac:dyDescent="0.2">
      <c r="A459">
        <v>1038</v>
      </c>
      <c r="B459" t="s">
        <v>1361</v>
      </c>
      <c r="C459">
        <v>54</v>
      </c>
      <c r="D459">
        <v>0</v>
      </c>
      <c r="E459" s="2">
        <v>45824</v>
      </c>
      <c r="F459" s="1">
        <v>45771</v>
      </c>
      <c r="G459" t="s">
        <v>1362</v>
      </c>
      <c r="H459" t="s">
        <v>28</v>
      </c>
      <c r="I459" t="s">
        <v>1363</v>
      </c>
      <c r="J459">
        <v>0</v>
      </c>
    </row>
    <row r="460" spans="1:10" x14ac:dyDescent="0.2">
      <c r="A460">
        <v>1037</v>
      </c>
      <c r="B460" t="s">
        <v>1364</v>
      </c>
      <c r="C460">
        <v>52</v>
      </c>
      <c r="D460">
        <v>1</v>
      </c>
      <c r="E460" s="2">
        <v>45997</v>
      </c>
      <c r="F460" s="1">
        <v>45676</v>
      </c>
      <c r="G460" t="s">
        <v>1365</v>
      </c>
      <c r="H460" t="s">
        <v>28</v>
      </c>
      <c r="J460" t="s">
        <v>60</v>
      </c>
    </row>
    <row r="461" spans="1:10" x14ac:dyDescent="0.2">
      <c r="A461">
        <v>1053</v>
      </c>
      <c r="B461" t="s">
        <v>1036</v>
      </c>
      <c r="C461">
        <v>30</v>
      </c>
      <c r="D461" t="s">
        <v>38</v>
      </c>
      <c r="E461" s="2">
        <v>46022</v>
      </c>
      <c r="F461" s="1">
        <v>45975</v>
      </c>
      <c r="G461" t="s">
        <v>1366</v>
      </c>
      <c r="H461" t="s">
        <v>13</v>
      </c>
      <c r="I461" t="s">
        <v>1367</v>
      </c>
      <c r="J461" t="s">
        <v>20</v>
      </c>
    </row>
    <row r="462" spans="1:10" x14ac:dyDescent="0.2">
      <c r="A462">
        <v>1043</v>
      </c>
      <c r="B462" t="s">
        <v>1368</v>
      </c>
      <c r="C462">
        <v>28</v>
      </c>
      <c r="D462">
        <v>0</v>
      </c>
      <c r="E462" s="1">
        <v>45927</v>
      </c>
      <c r="F462" s="1">
        <v>45827</v>
      </c>
      <c r="G462" t="s">
        <v>1369</v>
      </c>
      <c r="H462" t="s">
        <v>28</v>
      </c>
      <c r="I462" t="s">
        <v>1370</v>
      </c>
      <c r="J462">
        <v>0</v>
      </c>
    </row>
    <row r="463" spans="1:10" x14ac:dyDescent="0.2">
      <c r="A463">
        <v>1021</v>
      </c>
      <c r="B463" t="s">
        <v>1371</v>
      </c>
      <c r="C463">
        <v>53</v>
      </c>
      <c r="D463" t="s">
        <v>71</v>
      </c>
      <c r="E463" s="2">
        <v>46069</v>
      </c>
      <c r="F463" s="1">
        <v>45751</v>
      </c>
      <c r="G463" t="s">
        <v>1372</v>
      </c>
      <c r="H463" t="s">
        <v>24</v>
      </c>
      <c r="I463" t="s">
        <v>1373</v>
      </c>
      <c r="J463" t="s">
        <v>20</v>
      </c>
    </row>
    <row r="464" spans="1:10" x14ac:dyDescent="0.2">
      <c r="A464">
        <v>1059</v>
      </c>
      <c r="B464" t="s">
        <v>1374</v>
      </c>
      <c r="C464">
        <v>57</v>
      </c>
      <c r="D464" t="s">
        <v>22</v>
      </c>
      <c r="E464" s="1">
        <v>45896</v>
      </c>
      <c r="F464" s="2">
        <v>45387</v>
      </c>
      <c r="G464" t="s">
        <v>1375</v>
      </c>
      <c r="H464" t="s">
        <v>13</v>
      </c>
      <c r="I464" t="s">
        <v>1376</v>
      </c>
      <c r="J464" t="s">
        <v>36</v>
      </c>
    </row>
    <row r="465" spans="1:10" x14ac:dyDescent="0.2">
      <c r="A465">
        <v>1038</v>
      </c>
      <c r="B465" t="s">
        <v>1377</v>
      </c>
      <c r="C465">
        <v>19</v>
      </c>
      <c r="D465" t="s">
        <v>38</v>
      </c>
      <c r="E465" s="2">
        <v>45790</v>
      </c>
      <c r="F465" s="2">
        <v>45491</v>
      </c>
      <c r="G465" t="s">
        <v>1378</v>
      </c>
      <c r="H465" t="s">
        <v>13</v>
      </c>
      <c r="I465" t="s">
        <v>1379</v>
      </c>
      <c r="J465" t="s">
        <v>20</v>
      </c>
    </row>
    <row r="466" spans="1:10" x14ac:dyDescent="0.2">
      <c r="A466">
        <v>1065</v>
      </c>
      <c r="B466" t="s">
        <v>1380</v>
      </c>
      <c r="C466">
        <v>75</v>
      </c>
      <c r="D466" t="s">
        <v>22</v>
      </c>
      <c r="E466" s="1">
        <v>46005</v>
      </c>
      <c r="F466" s="2">
        <v>45442</v>
      </c>
      <c r="G466" t="s">
        <v>1381</v>
      </c>
      <c r="H466" t="s">
        <v>18</v>
      </c>
      <c r="I466" t="s">
        <v>1382</v>
      </c>
      <c r="J466">
        <v>1</v>
      </c>
    </row>
    <row r="467" spans="1:10" x14ac:dyDescent="0.2">
      <c r="A467">
        <v>1031</v>
      </c>
      <c r="B467" t="s">
        <v>1383</v>
      </c>
      <c r="C467">
        <v>33</v>
      </c>
      <c r="D467">
        <v>1</v>
      </c>
      <c r="E467" s="2">
        <v>45913</v>
      </c>
      <c r="F467" s="1">
        <v>45475</v>
      </c>
      <c r="G467" t="s">
        <v>1384</v>
      </c>
      <c r="H467" t="s">
        <v>18</v>
      </c>
      <c r="I467" t="s">
        <v>1385</v>
      </c>
      <c r="J467">
        <v>1</v>
      </c>
    </row>
    <row r="468" spans="1:10" x14ac:dyDescent="0.2">
      <c r="A468">
        <v>1018</v>
      </c>
      <c r="B468" t="s">
        <v>1386</v>
      </c>
      <c r="C468">
        <v>20</v>
      </c>
      <c r="D468" t="s">
        <v>38</v>
      </c>
      <c r="E468" s="1">
        <v>45861</v>
      </c>
      <c r="F468" s="2">
        <v>45830</v>
      </c>
      <c r="G468" t="s">
        <v>1387</v>
      </c>
      <c r="H468" t="s">
        <v>24</v>
      </c>
      <c r="I468" t="s">
        <v>1388</v>
      </c>
      <c r="J468" t="s">
        <v>60</v>
      </c>
    </row>
    <row r="469" spans="1:10" x14ac:dyDescent="0.2">
      <c r="A469">
        <v>1081</v>
      </c>
      <c r="B469" t="s">
        <v>1389</v>
      </c>
      <c r="C469">
        <v>42</v>
      </c>
      <c r="D469" t="s">
        <v>38</v>
      </c>
      <c r="E469" s="2">
        <v>46096</v>
      </c>
      <c r="F469" s="1">
        <v>45435</v>
      </c>
      <c r="G469" t="s">
        <v>1390</v>
      </c>
      <c r="H469" t="s">
        <v>13</v>
      </c>
      <c r="I469" t="s">
        <v>1391</v>
      </c>
      <c r="J469" t="s">
        <v>36</v>
      </c>
    </row>
    <row r="470" spans="1:10" x14ac:dyDescent="0.2">
      <c r="A470">
        <v>1098</v>
      </c>
      <c r="B470" t="s">
        <v>1392</v>
      </c>
      <c r="C470">
        <v>27</v>
      </c>
      <c r="D470">
        <v>0</v>
      </c>
      <c r="E470" s="1">
        <v>45883</v>
      </c>
      <c r="F470" s="2">
        <v>45628</v>
      </c>
      <c r="G470" t="s">
        <v>1393</v>
      </c>
      <c r="H470" t="s">
        <v>18</v>
      </c>
      <c r="I470" t="s">
        <v>1394</v>
      </c>
      <c r="J470" t="s">
        <v>30</v>
      </c>
    </row>
    <row r="471" spans="1:10" x14ac:dyDescent="0.2">
      <c r="A471">
        <v>1070</v>
      </c>
      <c r="B471" t="s">
        <v>1395</v>
      </c>
      <c r="C471">
        <v>56</v>
      </c>
      <c r="D471" t="s">
        <v>71</v>
      </c>
      <c r="E471" s="2">
        <v>45919</v>
      </c>
      <c r="F471" s="2">
        <v>45563</v>
      </c>
      <c r="G471" t="s">
        <v>1396</v>
      </c>
      <c r="H471" t="s">
        <v>13</v>
      </c>
      <c r="I471" t="s">
        <v>1397</v>
      </c>
      <c r="J471" t="s">
        <v>20</v>
      </c>
    </row>
    <row r="472" spans="1:10" x14ac:dyDescent="0.2">
      <c r="A472">
        <v>1093</v>
      </c>
      <c r="B472" t="s">
        <v>1398</v>
      </c>
      <c r="C472">
        <v>81</v>
      </c>
      <c r="D472">
        <v>0</v>
      </c>
      <c r="E472" s="2">
        <v>46060</v>
      </c>
      <c r="F472" s="2">
        <v>45470</v>
      </c>
      <c r="G472" t="s">
        <v>1399</v>
      </c>
      <c r="H472" t="s">
        <v>28</v>
      </c>
      <c r="I472" t="s">
        <v>1400</v>
      </c>
      <c r="J472" t="s">
        <v>36</v>
      </c>
    </row>
    <row r="473" spans="1:10" x14ac:dyDescent="0.2">
      <c r="A473">
        <v>1032</v>
      </c>
      <c r="B473" t="s">
        <v>1401</v>
      </c>
      <c r="C473">
        <v>56</v>
      </c>
      <c r="D473">
        <v>1</v>
      </c>
      <c r="E473" s="2">
        <v>45927</v>
      </c>
      <c r="F473" s="1">
        <v>45693</v>
      </c>
      <c r="G473" t="s">
        <v>1402</v>
      </c>
      <c r="H473" t="s">
        <v>13</v>
      </c>
      <c r="I473" t="s">
        <v>1403</v>
      </c>
      <c r="J473" t="s">
        <v>30</v>
      </c>
    </row>
    <row r="474" spans="1:10" x14ac:dyDescent="0.2">
      <c r="A474">
        <v>1071</v>
      </c>
      <c r="B474" t="s">
        <v>1404</v>
      </c>
      <c r="C474">
        <v>80</v>
      </c>
      <c r="D474">
        <v>0</v>
      </c>
      <c r="E474" s="1">
        <v>45867</v>
      </c>
      <c r="F474" s="1">
        <v>45396</v>
      </c>
      <c r="G474" t="s">
        <v>1405</v>
      </c>
      <c r="H474" t="s">
        <v>24</v>
      </c>
      <c r="I474" t="s">
        <v>1406</v>
      </c>
      <c r="J474" t="s">
        <v>30</v>
      </c>
    </row>
    <row r="475" spans="1:10" x14ac:dyDescent="0.2">
      <c r="A475">
        <v>1067</v>
      </c>
      <c r="B475" t="s">
        <v>1407</v>
      </c>
      <c r="C475">
        <v>72</v>
      </c>
      <c r="D475">
        <v>0</v>
      </c>
      <c r="E475" s="1">
        <v>46101</v>
      </c>
      <c r="F475" s="2">
        <v>45486</v>
      </c>
      <c r="G475" t="s">
        <v>1408</v>
      </c>
      <c r="H475" t="s">
        <v>18</v>
      </c>
      <c r="I475" t="s">
        <v>1409</v>
      </c>
      <c r="J475" t="s">
        <v>60</v>
      </c>
    </row>
    <row r="476" spans="1:10" x14ac:dyDescent="0.2">
      <c r="A476">
        <v>1090</v>
      </c>
      <c r="B476" t="s">
        <v>1410</v>
      </c>
      <c r="C476">
        <v>37</v>
      </c>
      <c r="D476" t="s">
        <v>22</v>
      </c>
      <c r="E476" s="2">
        <v>46081</v>
      </c>
      <c r="F476" s="1">
        <v>45400</v>
      </c>
      <c r="G476" t="s">
        <v>1411</v>
      </c>
      <c r="H476" t="s">
        <v>28</v>
      </c>
      <c r="I476" t="s">
        <v>1412</v>
      </c>
      <c r="J476">
        <v>0</v>
      </c>
    </row>
    <row r="477" spans="1:10" x14ac:dyDescent="0.2">
      <c r="A477">
        <v>1027</v>
      </c>
      <c r="B477" t="s">
        <v>1413</v>
      </c>
      <c r="C477">
        <v>81</v>
      </c>
      <c r="D477" t="s">
        <v>38</v>
      </c>
      <c r="E477" s="1">
        <v>46021</v>
      </c>
      <c r="F477" s="1">
        <v>45666</v>
      </c>
      <c r="G477" t="s">
        <v>1414</v>
      </c>
      <c r="H477" t="s">
        <v>28</v>
      </c>
      <c r="I477" t="s">
        <v>1415</v>
      </c>
      <c r="J477">
        <v>0</v>
      </c>
    </row>
    <row r="478" spans="1:10" x14ac:dyDescent="0.2">
      <c r="A478">
        <v>1073</v>
      </c>
      <c r="B478" t="s">
        <v>1416</v>
      </c>
      <c r="C478">
        <v>52</v>
      </c>
      <c r="D478" t="s">
        <v>51</v>
      </c>
      <c r="E478" s="2">
        <v>46098</v>
      </c>
      <c r="F478" s="1">
        <v>45950</v>
      </c>
      <c r="G478" t="s">
        <v>1417</v>
      </c>
      <c r="H478" t="s">
        <v>24</v>
      </c>
      <c r="I478" t="s">
        <v>1418</v>
      </c>
      <c r="J478" t="s">
        <v>20</v>
      </c>
    </row>
    <row r="479" spans="1:10" x14ac:dyDescent="0.2">
      <c r="A479">
        <v>1092</v>
      </c>
      <c r="B479" t="s">
        <v>1419</v>
      </c>
      <c r="C479">
        <v>79</v>
      </c>
      <c r="D479">
        <v>1</v>
      </c>
      <c r="E479" s="1">
        <v>45909</v>
      </c>
      <c r="F479" s="1">
        <v>45690</v>
      </c>
      <c r="G479" t="s">
        <v>1420</v>
      </c>
      <c r="H479" t="s">
        <v>24</v>
      </c>
      <c r="I479" t="s">
        <v>1421</v>
      </c>
      <c r="J479" t="s">
        <v>60</v>
      </c>
    </row>
    <row r="480" spans="1:10" x14ac:dyDescent="0.2">
      <c r="A480">
        <v>1083</v>
      </c>
      <c r="B480" t="s">
        <v>1422</v>
      </c>
      <c r="C480">
        <v>56</v>
      </c>
      <c r="D480" t="s">
        <v>16</v>
      </c>
      <c r="E480" s="2">
        <v>45979</v>
      </c>
      <c r="F480" s="2">
        <v>45695</v>
      </c>
      <c r="G480" t="s">
        <v>1423</v>
      </c>
      <c r="H480" t="s">
        <v>13</v>
      </c>
      <c r="I480" t="s">
        <v>1424</v>
      </c>
      <c r="J480">
        <v>0</v>
      </c>
    </row>
    <row r="481" spans="1:10" x14ac:dyDescent="0.2">
      <c r="A481">
        <v>1091</v>
      </c>
      <c r="B481" t="s">
        <v>1425</v>
      </c>
      <c r="C481">
        <v>74</v>
      </c>
      <c r="D481" t="s">
        <v>71</v>
      </c>
      <c r="E481" s="2">
        <v>46002</v>
      </c>
      <c r="F481" s="2">
        <v>45770</v>
      </c>
      <c r="G481" t="s">
        <v>1426</v>
      </c>
      <c r="H481" t="s">
        <v>13</v>
      </c>
      <c r="I481" t="s">
        <v>1427</v>
      </c>
      <c r="J481" t="s">
        <v>20</v>
      </c>
    </row>
    <row r="482" spans="1:10" x14ac:dyDescent="0.2">
      <c r="A482">
        <v>1057</v>
      </c>
      <c r="B482" t="s">
        <v>1428</v>
      </c>
      <c r="C482">
        <v>60</v>
      </c>
      <c r="D482" t="s">
        <v>38</v>
      </c>
      <c r="E482" s="2">
        <v>46048</v>
      </c>
      <c r="F482" s="2">
        <v>45565</v>
      </c>
      <c r="G482" t="s">
        <v>1429</v>
      </c>
      <c r="H482" t="s">
        <v>28</v>
      </c>
      <c r="I482" t="s">
        <v>1430</v>
      </c>
      <c r="J482" t="s">
        <v>36</v>
      </c>
    </row>
    <row r="483" spans="1:10" x14ac:dyDescent="0.2">
      <c r="A483">
        <v>1018</v>
      </c>
      <c r="B483" t="s">
        <v>1431</v>
      </c>
      <c r="C483">
        <v>54</v>
      </c>
      <c r="D483" t="s">
        <v>22</v>
      </c>
      <c r="E483" s="2">
        <v>45951</v>
      </c>
      <c r="F483" s="1">
        <v>45758</v>
      </c>
      <c r="G483" t="s">
        <v>1432</v>
      </c>
      <c r="H483" t="s">
        <v>28</v>
      </c>
      <c r="I483" t="s">
        <v>1433</v>
      </c>
      <c r="J483" t="s">
        <v>20</v>
      </c>
    </row>
    <row r="484" spans="1:10" x14ac:dyDescent="0.2">
      <c r="A484">
        <v>1002</v>
      </c>
      <c r="B484" t="s">
        <v>1434</v>
      </c>
      <c r="C484">
        <v>89</v>
      </c>
      <c r="D484" t="s">
        <v>16</v>
      </c>
      <c r="E484" s="1">
        <v>45847</v>
      </c>
      <c r="F484" s="1">
        <v>45660</v>
      </c>
      <c r="G484" t="s">
        <v>1435</v>
      </c>
      <c r="H484" t="s">
        <v>24</v>
      </c>
      <c r="I484" t="s">
        <v>1436</v>
      </c>
      <c r="J484" t="s">
        <v>36</v>
      </c>
    </row>
    <row r="485" spans="1:10" x14ac:dyDescent="0.2">
      <c r="A485">
        <v>1084</v>
      </c>
      <c r="B485" t="s">
        <v>1437</v>
      </c>
      <c r="C485">
        <v>84</v>
      </c>
      <c r="D485">
        <v>0</v>
      </c>
      <c r="E485" s="1">
        <v>45801</v>
      </c>
      <c r="F485" s="2">
        <v>45422</v>
      </c>
      <c r="G485" t="s">
        <v>1438</v>
      </c>
      <c r="H485" t="s">
        <v>28</v>
      </c>
      <c r="I485" t="s">
        <v>1439</v>
      </c>
      <c r="J485">
        <v>1</v>
      </c>
    </row>
    <row r="486" spans="1:10" x14ac:dyDescent="0.2">
      <c r="A486">
        <v>1005</v>
      </c>
      <c r="B486" t="s">
        <v>1440</v>
      </c>
      <c r="C486">
        <v>80</v>
      </c>
      <c r="D486">
        <v>0</v>
      </c>
      <c r="E486" s="2">
        <v>45793</v>
      </c>
      <c r="F486" s="1">
        <v>45609</v>
      </c>
      <c r="G486" t="s">
        <v>1441</v>
      </c>
      <c r="H486" t="s">
        <v>24</v>
      </c>
      <c r="I486" t="s">
        <v>1442</v>
      </c>
      <c r="J486" t="s">
        <v>20</v>
      </c>
    </row>
    <row r="487" spans="1:10" x14ac:dyDescent="0.2">
      <c r="A487">
        <v>1094</v>
      </c>
      <c r="B487" t="s">
        <v>1443</v>
      </c>
      <c r="C487">
        <v>59</v>
      </c>
      <c r="D487" t="s">
        <v>11</v>
      </c>
      <c r="E487" s="1">
        <v>46079</v>
      </c>
      <c r="F487" s="2">
        <v>45529</v>
      </c>
      <c r="G487" t="s">
        <v>1444</v>
      </c>
      <c r="H487" t="s">
        <v>24</v>
      </c>
      <c r="I487" t="s">
        <v>1445</v>
      </c>
      <c r="J487" t="s">
        <v>30</v>
      </c>
    </row>
    <row r="488" spans="1:10" x14ac:dyDescent="0.2">
      <c r="A488">
        <v>1084</v>
      </c>
      <c r="B488" t="s">
        <v>1446</v>
      </c>
      <c r="C488">
        <v>55</v>
      </c>
      <c r="D488" t="s">
        <v>38</v>
      </c>
      <c r="E488" s="1">
        <v>45776</v>
      </c>
      <c r="F488" s="1">
        <v>45632</v>
      </c>
      <c r="G488" t="s">
        <v>1447</v>
      </c>
      <c r="H488" t="s">
        <v>24</v>
      </c>
      <c r="I488" t="s">
        <v>1448</v>
      </c>
      <c r="J488" t="s">
        <v>60</v>
      </c>
    </row>
    <row r="489" spans="1:10" x14ac:dyDescent="0.2">
      <c r="A489">
        <v>1044</v>
      </c>
      <c r="B489" t="s">
        <v>1449</v>
      </c>
      <c r="C489">
        <v>68</v>
      </c>
      <c r="D489" t="s">
        <v>51</v>
      </c>
      <c r="E489" s="1">
        <v>45888</v>
      </c>
      <c r="F489" s="2">
        <v>45688</v>
      </c>
      <c r="G489" t="s">
        <v>1450</v>
      </c>
      <c r="H489" t="s">
        <v>18</v>
      </c>
      <c r="I489" t="s">
        <v>1451</v>
      </c>
      <c r="J489" t="s">
        <v>36</v>
      </c>
    </row>
    <row r="490" spans="1:10" x14ac:dyDescent="0.2">
      <c r="A490">
        <v>1067</v>
      </c>
      <c r="B490" t="s">
        <v>1452</v>
      </c>
      <c r="C490">
        <v>60</v>
      </c>
      <c r="D490" t="s">
        <v>71</v>
      </c>
      <c r="E490" s="1">
        <v>45969</v>
      </c>
      <c r="F490" s="1">
        <v>45746</v>
      </c>
      <c r="G490" t="s">
        <v>1453</v>
      </c>
      <c r="H490" t="s">
        <v>13</v>
      </c>
      <c r="I490" t="s">
        <v>1454</v>
      </c>
      <c r="J490" t="s">
        <v>60</v>
      </c>
    </row>
    <row r="491" spans="1:10" x14ac:dyDescent="0.2">
      <c r="A491">
        <v>1083</v>
      </c>
      <c r="B491" t="s">
        <v>1455</v>
      </c>
      <c r="C491">
        <v>59</v>
      </c>
      <c r="D491" t="s">
        <v>71</v>
      </c>
      <c r="E491" s="2">
        <v>45918</v>
      </c>
      <c r="F491" s="2">
        <v>45458</v>
      </c>
      <c r="G491" t="s">
        <v>1456</v>
      </c>
      <c r="H491" t="s">
        <v>24</v>
      </c>
      <c r="I491" t="s">
        <v>1457</v>
      </c>
      <c r="J491" t="s">
        <v>20</v>
      </c>
    </row>
    <row r="492" spans="1:10" x14ac:dyDescent="0.2">
      <c r="A492">
        <v>1017</v>
      </c>
      <c r="B492" t="s">
        <v>1458</v>
      </c>
      <c r="C492">
        <v>84</v>
      </c>
      <c r="D492" t="s">
        <v>16</v>
      </c>
      <c r="E492" s="2">
        <v>46058</v>
      </c>
      <c r="F492" s="1">
        <v>45440</v>
      </c>
      <c r="G492" t="s">
        <v>1459</v>
      </c>
      <c r="H492" t="s">
        <v>18</v>
      </c>
      <c r="I492" t="s">
        <v>1460</v>
      </c>
      <c r="J492" t="s">
        <v>60</v>
      </c>
    </row>
    <row r="493" spans="1:10" x14ac:dyDescent="0.2">
      <c r="A493">
        <v>1080</v>
      </c>
      <c r="B493" t="s">
        <v>1461</v>
      </c>
      <c r="C493">
        <v>38</v>
      </c>
      <c r="D493">
        <v>1</v>
      </c>
      <c r="E493" s="1">
        <v>45808</v>
      </c>
      <c r="F493" s="1">
        <v>45438</v>
      </c>
      <c r="G493" t="s">
        <v>1462</v>
      </c>
      <c r="H493" t="s">
        <v>18</v>
      </c>
      <c r="I493" t="s">
        <v>1463</v>
      </c>
      <c r="J493">
        <v>1</v>
      </c>
    </row>
    <row r="494" spans="1:10" x14ac:dyDescent="0.2">
      <c r="A494">
        <v>1089</v>
      </c>
      <c r="B494" t="s">
        <v>1464</v>
      </c>
      <c r="C494">
        <v>23</v>
      </c>
      <c r="D494" t="s">
        <v>16</v>
      </c>
      <c r="E494" s="2">
        <v>45879</v>
      </c>
      <c r="F494" s="2">
        <v>45769</v>
      </c>
      <c r="G494" t="s">
        <v>1465</v>
      </c>
      <c r="H494" t="s">
        <v>28</v>
      </c>
      <c r="I494" t="s">
        <v>1466</v>
      </c>
      <c r="J494">
        <v>0</v>
      </c>
    </row>
    <row r="495" spans="1:10" x14ac:dyDescent="0.2">
      <c r="A495">
        <v>1070</v>
      </c>
      <c r="B495" t="s">
        <v>1467</v>
      </c>
      <c r="C495">
        <v>62</v>
      </c>
      <c r="D495" t="s">
        <v>11</v>
      </c>
      <c r="E495" s="2">
        <v>45909</v>
      </c>
      <c r="F495" s="2">
        <v>45621</v>
      </c>
      <c r="G495" t="s">
        <v>1468</v>
      </c>
      <c r="H495" t="s">
        <v>13</v>
      </c>
      <c r="I495" t="s">
        <v>1469</v>
      </c>
      <c r="J495" t="s">
        <v>36</v>
      </c>
    </row>
    <row r="496" spans="1:10" x14ac:dyDescent="0.2">
      <c r="A496">
        <v>1093</v>
      </c>
      <c r="B496" t="s">
        <v>1470</v>
      </c>
      <c r="C496">
        <v>34</v>
      </c>
      <c r="D496">
        <v>0</v>
      </c>
      <c r="E496" s="1">
        <v>46085</v>
      </c>
      <c r="F496" s="1">
        <v>45546</v>
      </c>
      <c r="G496" t="s">
        <v>1471</v>
      </c>
      <c r="H496" t="s">
        <v>18</v>
      </c>
      <c r="I496" t="s">
        <v>1472</v>
      </c>
      <c r="J496" t="s">
        <v>20</v>
      </c>
    </row>
    <row r="497" spans="1:10" x14ac:dyDescent="0.2">
      <c r="A497">
        <v>1088</v>
      </c>
      <c r="B497" t="s">
        <v>1473</v>
      </c>
      <c r="C497">
        <v>35</v>
      </c>
      <c r="D497" t="s">
        <v>22</v>
      </c>
      <c r="E497" s="1">
        <v>45957</v>
      </c>
      <c r="F497" s="1">
        <v>45849</v>
      </c>
      <c r="G497" t="s">
        <v>1474</v>
      </c>
      <c r="H497" t="s">
        <v>13</v>
      </c>
      <c r="I497" t="s">
        <v>1475</v>
      </c>
      <c r="J497">
        <v>1</v>
      </c>
    </row>
    <row r="498" spans="1:10" x14ac:dyDescent="0.2">
      <c r="A498">
        <v>1086</v>
      </c>
      <c r="B498" t="s">
        <v>1476</v>
      </c>
      <c r="C498">
        <v>36</v>
      </c>
      <c r="D498" t="s">
        <v>71</v>
      </c>
      <c r="E498" s="1">
        <v>46098</v>
      </c>
      <c r="F498" s="2">
        <v>45529</v>
      </c>
      <c r="G498" t="s">
        <v>1477</v>
      </c>
      <c r="H498" t="s">
        <v>18</v>
      </c>
      <c r="I498" t="s">
        <v>1478</v>
      </c>
      <c r="J498">
        <v>0</v>
      </c>
    </row>
    <row r="499" spans="1:10" x14ac:dyDescent="0.2">
      <c r="A499">
        <v>1033</v>
      </c>
      <c r="B499" t="s">
        <v>1479</v>
      </c>
      <c r="C499">
        <v>47</v>
      </c>
      <c r="D499">
        <v>0</v>
      </c>
      <c r="E499" s="2">
        <v>45994</v>
      </c>
      <c r="F499" s="2">
        <v>45893</v>
      </c>
      <c r="G499" t="s">
        <v>1480</v>
      </c>
      <c r="H499" t="s">
        <v>13</v>
      </c>
      <c r="I499" t="s">
        <v>1481</v>
      </c>
      <c r="J499" t="s">
        <v>60</v>
      </c>
    </row>
    <row r="500" spans="1:10" x14ac:dyDescent="0.2">
      <c r="A500">
        <v>1023</v>
      </c>
      <c r="B500" t="s">
        <v>1482</v>
      </c>
      <c r="C500">
        <v>36</v>
      </c>
      <c r="D500">
        <v>1</v>
      </c>
      <c r="E500" s="1">
        <v>45943</v>
      </c>
      <c r="F500" s="2">
        <v>45665</v>
      </c>
      <c r="G500" t="s">
        <v>1483</v>
      </c>
      <c r="H500" t="s">
        <v>13</v>
      </c>
      <c r="I500" t="s">
        <v>1484</v>
      </c>
      <c r="J500" t="s">
        <v>60</v>
      </c>
    </row>
    <row r="501" spans="1:10" x14ac:dyDescent="0.2">
      <c r="A501">
        <v>1053</v>
      </c>
      <c r="B501" t="s">
        <v>1485</v>
      </c>
      <c r="C501">
        <v>57</v>
      </c>
      <c r="D501">
        <v>0</v>
      </c>
      <c r="E501" s="2">
        <v>45836</v>
      </c>
      <c r="F501" s="1">
        <v>45598</v>
      </c>
      <c r="G501" t="s">
        <v>1486</v>
      </c>
      <c r="H501" t="s">
        <v>13</v>
      </c>
      <c r="I501" t="s">
        <v>1487</v>
      </c>
      <c r="J501" t="s">
        <v>36</v>
      </c>
    </row>
    <row r="502" spans="1:10" x14ac:dyDescent="0.2">
      <c r="A502">
        <v>1040</v>
      </c>
      <c r="B502" t="s">
        <v>1488</v>
      </c>
      <c r="C502">
        <v>20</v>
      </c>
      <c r="D502" t="s">
        <v>38</v>
      </c>
      <c r="E502" s="2">
        <v>45983</v>
      </c>
      <c r="F502" s="1">
        <v>45753</v>
      </c>
      <c r="G502" t="s">
        <v>1489</v>
      </c>
      <c r="H502" t="s">
        <v>13</v>
      </c>
      <c r="I502" t="s">
        <v>1490</v>
      </c>
      <c r="J502" t="s">
        <v>30</v>
      </c>
    </row>
    <row r="503" spans="1:10" x14ac:dyDescent="0.2">
      <c r="A503">
        <v>1073</v>
      </c>
      <c r="B503" t="s">
        <v>1491</v>
      </c>
      <c r="C503">
        <v>50</v>
      </c>
      <c r="D503">
        <v>0</v>
      </c>
      <c r="E503" s="1">
        <v>45911</v>
      </c>
      <c r="F503" s="1">
        <v>45730</v>
      </c>
      <c r="G503" t="s">
        <v>1492</v>
      </c>
      <c r="H503" t="s">
        <v>24</v>
      </c>
      <c r="I503" t="s">
        <v>1493</v>
      </c>
      <c r="J503" t="s">
        <v>36</v>
      </c>
    </row>
    <row r="504" spans="1:10" x14ac:dyDescent="0.2">
      <c r="A504">
        <v>1031</v>
      </c>
      <c r="B504" t="s">
        <v>1494</v>
      </c>
      <c r="C504">
        <v>50</v>
      </c>
      <c r="D504" t="s">
        <v>16</v>
      </c>
      <c r="E504" s="2">
        <v>45980</v>
      </c>
      <c r="F504" s="1">
        <v>45672</v>
      </c>
      <c r="G504" t="s">
        <v>1495</v>
      </c>
      <c r="H504" t="s">
        <v>18</v>
      </c>
      <c r="I504" t="s">
        <v>1496</v>
      </c>
      <c r="J504">
        <v>1</v>
      </c>
    </row>
    <row r="505" spans="1:10" x14ac:dyDescent="0.2">
      <c r="A505">
        <v>1093</v>
      </c>
      <c r="B505" t="s">
        <v>1497</v>
      </c>
      <c r="C505">
        <v>66</v>
      </c>
      <c r="D505" t="s">
        <v>16</v>
      </c>
      <c r="E505" s="1">
        <v>46055</v>
      </c>
      <c r="F505" s="2">
        <v>45702</v>
      </c>
      <c r="G505" t="s">
        <v>1498</v>
      </c>
      <c r="H505" t="s">
        <v>24</v>
      </c>
      <c r="I505" t="s">
        <v>1499</v>
      </c>
      <c r="J505">
        <v>1</v>
      </c>
    </row>
    <row r="506" spans="1:10" x14ac:dyDescent="0.2">
      <c r="A506">
        <v>1029</v>
      </c>
      <c r="B506" t="s">
        <v>1500</v>
      </c>
      <c r="C506">
        <v>24</v>
      </c>
      <c r="D506" t="s">
        <v>71</v>
      </c>
      <c r="E506" s="1">
        <v>45865</v>
      </c>
      <c r="F506" s="2">
        <v>45857</v>
      </c>
      <c r="G506" t="s">
        <v>1501</v>
      </c>
      <c r="H506" t="s">
        <v>18</v>
      </c>
      <c r="I506" t="s">
        <v>1502</v>
      </c>
      <c r="J506" t="s">
        <v>36</v>
      </c>
    </row>
    <row r="507" spans="1:10" x14ac:dyDescent="0.2">
      <c r="A507">
        <v>1082</v>
      </c>
      <c r="B507" t="s">
        <v>1503</v>
      </c>
      <c r="C507">
        <v>72</v>
      </c>
      <c r="D507" t="s">
        <v>51</v>
      </c>
      <c r="E507" s="1">
        <v>46002</v>
      </c>
      <c r="F507" s="2">
        <v>45681</v>
      </c>
      <c r="G507" t="s">
        <v>1504</v>
      </c>
      <c r="H507" t="s">
        <v>13</v>
      </c>
      <c r="I507" t="s">
        <v>1505</v>
      </c>
      <c r="J507" t="s">
        <v>30</v>
      </c>
    </row>
    <row r="508" spans="1:10" x14ac:dyDescent="0.2">
      <c r="A508">
        <v>1099</v>
      </c>
      <c r="B508" t="s">
        <v>1506</v>
      </c>
      <c r="C508">
        <v>85</v>
      </c>
      <c r="D508" t="s">
        <v>22</v>
      </c>
      <c r="E508" s="2">
        <v>45950</v>
      </c>
      <c r="F508" s="2">
        <v>45879</v>
      </c>
      <c r="G508" t="s">
        <v>667</v>
      </c>
      <c r="H508" t="s">
        <v>24</v>
      </c>
      <c r="I508" t="s">
        <v>1507</v>
      </c>
      <c r="J508" t="s">
        <v>36</v>
      </c>
    </row>
    <row r="509" spans="1:10" x14ac:dyDescent="0.2">
      <c r="A509">
        <v>1065</v>
      </c>
      <c r="B509" t="s">
        <v>1508</v>
      </c>
      <c r="C509">
        <v>38</v>
      </c>
      <c r="D509" t="s">
        <v>22</v>
      </c>
      <c r="E509" s="2">
        <v>45806</v>
      </c>
      <c r="F509" s="1">
        <v>45790</v>
      </c>
      <c r="G509" t="s">
        <v>1509</v>
      </c>
      <c r="H509" t="s">
        <v>13</v>
      </c>
      <c r="I509" t="s">
        <v>1510</v>
      </c>
      <c r="J509">
        <v>0</v>
      </c>
    </row>
    <row r="510" spans="1:10" x14ac:dyDescent="0.2">
      <c r="A510">
        <v>1041</v>
      </c>
      <c r="B510" t="s">
        <v>1511</v>
      </c>
      <c r="C510">
        <v>67</v>
      </c>
      <c r="D510" t="s">
        <v>38</v>
      </c>
      <c r="E510" s="2">
        <v>45764</v>
      </c>
      <c r="F510" s="2">
        <v>45550</v>
      </c>
      <c r="G510" t="s">
        <v>1512</v>
      </c>
      <c r="H510" t="s">
        <v>18</v>
      </c>
      <c r="I510" t="s">
        <v>1513</v>
      </c>
      <c r="J510">
        <v>0</v>
      </c>
    </row>
    <row r="511" spans="1:10" x14ac:dyDescent="0.2">
      <c r="A511">
        <v>1003</v>
      </c>
      <c r="B511" t="s">
        <v>1514</v>
      </c>
      <c r="C511">
        <v>27</v>
      </c>
      <c r="D511">
        <v>0</v>
      </c>
      <c r="E511" s="1">
        <v>45813</v>
      </c>
      <c r="F511" s="2">
        <v>45729</v>
      </c>
      <c r="G511" t="s">
        <v>1515</v>
      </c>
      <c r="H511" t="s">
        <v>18</v>
      </c>
      <c r="I511" t="s">
        <v>1516</v>
      </c>
      <c r="J511" t="s">
        <v>36</v>
      </c>
    </row>
    <row r="512" spans="1:10" x14ac:dyDescent="0.2">
      <c r="A512">
        <v>1038</v>
      </c>
      <c r="B512" t="s">
        <v>1517</v>
      </c>
      <c r="C512">
        <v>45</v>
      </c>
      <c r="D512" t="s">
        <v>38</v>
      </c>
      <c r="E512" s="2">
        <v>46079</v>
      </c>
      <c r="F512" s="1">
        <v>45811</v>
      </c>
      <c r="G512" t="s">
        <v>1518</v>
      </c>
      <c r="H512" t="s">
        <v>28</v>
      </c>
      <c r="I512" t="s">
        <v>1519</v>
      </c>
      <c r="J512" t="s">
        <v>36</v>
      </c>
    </row>
    <row r="513" spans="1:10" x14ac:dyDescent="0.2">
      <c r="A513">
        <v>1061</v>
      </c>
      <c r="B513" t="s">
        <v>1520</v>
      </c>
      <c r="C513">
        <v>37</v>
      </c>
      <c r="D513">
        <v>0</v>
      </c>
      <c r="E513" s="2">
        <v>45947</v>
      </c>
      <c r="F513" s="1">
        <v>45754</v>
      </c>
      <c r="G513" t="s">
        <v>1521</v>
      </c>
      <c r="H513" t="s">
        <v>18</v>
      </c>
      <c r="I513" t="s">
        <v>1522</v>
      </c>
      <c r="J513" t="s">
        <v>30</v>
      </c>
    </row>
    <row r="514" spans="1:10" x14ac:dyDescent="0.2">
      <c r="A514">
        <v>1024</v>
      </c>
      <c r="B514" t="s">
        <v>1523</v>
      </c>
      <c r="C514">
        <v>26</v>
      </c>
      <c r="D514" t="s">
        <v>22</v>
      </c>
      <c r="E514" s="2">
        <v>45950</v>
      </c>
      <c r="F514" s="2">
        <v>45544</v>
      </c>
      <c r="G514" t="s">
        <v>1524</v>
      </c>
      <c r="H514" t="s">
        <v>18</v>
      </c>
      <c r="I514" t="s">
        <v>1525</v>
      </c>
      <c r="J514" t="s">
        <v>60</v>
      </c>
    </row>
    <row r="515" spans="1:10" x14ac:dyDescent="0.2">
      <c r="A515">
        <v>1017</v>
      </c>
      <c r="B515" t="s">
        <v>1526</v>
      </c>
      <c r="C515">
        <v>86</v>
      </c>
      <c r="D515">
        <v>0</v>
      </c>
      <c r="E515" s="1">
        <v>46062</v>
      </c>
      <c r="F515" s="2">
        <v>46043</v>
      </c>
      <c r="G515" t="s">
        <v>1527</v>
      </c>
      <c r="H515" t="s">
        <v>24</v>
      </c>
      <c r="I515" t="s">
        <v>1528</v>
      </c>
      <c r="J515">
        <v>0</v>
      </c>
    </row>
    <row r="516" spans="1:10" x14ac:dyDescent="0.2">
      <c r="A516">
        <v>1010</v>
      </c>
      <c r="B516" t="s">
        <v>1529</v>
      </c>
      <c r="C516">
        <v>82</v>
      </c>
      <c r="D516" t="s">
        <v>51</v>
      </c>
      <c r="E516" s="1">
        <v>45853</v>
      </c>
      <c r="F516" s="2">
        <v>45796</v>
      </c>
      <c r="G516" t="s">
        <v>1530</v>
      </c>
      <c r="H516" t="s">
        <v>18</v>
      </c>
      <c r="I516" t="s">
        <v>1531</v>
      </c>
      <c r="J516" t="s">
        <v>20</v>
      </c>
    </row>
    <row r="517" spans="1:10" x14ac:dyDescent="0.2">
      <c r="A517">
        <v>1096</v>
      </c>
      <c r="B517" t="s">
        <v>1532</v>
      </c>
      <c r="C517">
        <v>82</v>
      </c>
      <c r="D517" t="s">
        <v>71</v>
      </c>
      <c r="E517" s="2">
        <v>45792</v>
      </c>
      <c r="F517" s="1">
        <v>45790</v>
      </c>
      <c r="G517" t="s">
        <v>1533</v>
      </c>
      <c r="H517" t="s">
        <v>28</v>
      </c>
      <c r="I517" t="s">
        <v>1534</v>
      </c>
      <c r="J517" t="s">
        <v>30</v>
      </c>
    </row>
    <row r="518" spans="1:10" x14ac:dyDescent="0.2">
      <c r="A518">
        <v>1024</v>
      </c>
      <c r="B518" t="s">
        <v>1535</v>
      </c>
      <c r="C518">
        <v>18</v>
      </c>
      <c r="D518" t="s">
        <v>22</v>
      </c>
      <c r="E518" s="2">
        <v>45936</v>
      </c>
      <c r="F518" s="1">
        <v>45624</v>
      </c>
      <c r="G518" t="s">
        <v>1536</v>
      </c>
      <c r="H518" t="s">
        <v>18</v>
      </c>
      <c r="I518" t="s">
        <v>1537</v>
      </c>
      <c r="J518">
        <v>0</v>
      </c>
    </row>
    <row r="519" spans="1:10" x14ac:dyDescent="0.2">
      <c r="A519">
        <v>1058</v>
      </c>
      <c r="B519" t="s">
        <v>1538</v>
      </c>
      <c r="C519">
        <v>59</v>
      </c>
      <c r="D519" t="s">
        <v>11</v>
      </c>
      <c r="E519" s="1">
        <v>46096</v>
      </c>
      <c r="F519" s="2">
        <v>45663</v>
      </c>
      <c r="G519" t="s">
        <v>1539</v>
      </c>
      <c r="H519" t="s">
        <v>18</v>
      </c>
      <c r="I519" t="s">
        <v>1540</v>
      </c>
      <c r="J519" t="s">
        <v>60</v>
      </c>
    </row>
    <row r="520" spans="1:10" x14ac:dyDescent="0.2">
      <c r="A520">
        <v>1068</v>
      </c>
      <c r="B520" t="s">
        <v>1541</v>
      </c>
      <c r="C520">
        <v>37</v>
      </c>
      <c r="D520" t="s">
        <v>51</v>
      </c>
      <c r="E520" s="2">
        <v>45979</v>
      </c>
      <c r="F520" s="1">
        <v>45614</v>
      </c>
      <c r="G520" t="s">
        <v>1542</v>
      </c>
      <c r="H520" t="s">
        <v>13</v>
      </c>
      <c r="I520" t="s">
        <v>1543</v>
      </c>
      <c r="J520" t="s">
        <v>36</v>
      </c>
    </row>
    <row r="521" spans="1:10" x14ac:dyDescent="0.2">
      <c r="A521">
        <v>1013</v>
      </c>
      <c r="B521" t="s">
        <v>1544</v>
      </c>
      <c r="C521">
        <v>71</v>
      </c>
      <c r="D521">
        <v>0</v>
      </c>
      <c r="E521" s="1">
        <v>45874</v>
      </c>
      <c r="F521" s="2">
        <v>45845</v>
      </c>
      <c r="G521" t="s">
        <v>1545</v>
      </c>
      <c r="H521" t="s">
        <v>18</v>
      </c>
      <c r="I521" t="s">
        <v>1546</v>
      </c>
      <c r="J521">
        <v>0</v>
      </c>
    </row>
    <row r="522" spans="1:10" x14ac:dyDescent="0.2">
      <c r="A522">
        <v>1009</v>
      </c>
      <c r="B522" t="s">
        <v>1547</v>
      </c>
      <c r="C522">
        <v>49</v>
      </c>
      <c r="D522">
        <v>0</v>
      </c>
      <c r="E522" s="1">
        <v>46070</v>
      </c>
      <c r="F522" s="2">
        <v>46038</v>
      </c>
      <c r="G522" t="s">
        <v>1548</v>
      </c>
      <c r="H522" t="s">
        <v>13</v>
      </c>
      <c r="I522" t="s">
        <v>1549</v>
      </c>
      <c r="J522" t="s">
        <v>60</v>
      </c>
    </row>
    <row r="523" spans="1:10" x14ac:dyDescent="0.2">
      <c r="A523">
        <v>1031</v>
      </c>
      <c r="B523" t="s">
        <v>1550</v>
      </c>
      <c r="C523">
        <v>35</v>
      </c>
      <c r="D523" t="s">
        <v>22</v>
      </c>
      <c r="E523" s="1">
        <v>45844</v>
      </c>
      <c r="F523" s="2">
        <v>45721</v>
      </c>
      <c r="G523" t="s">
        <v>1551</v>
      </c>
      <c r="H523" t="s">
        <v>28</v>
      </c>
      <c r="I523" t="s">
        <v>1552</v>
      </c>
      <c r="J523" t="s">
        <v>20</v>
      </c>
    </row>
    <row r="524" spans="1:10" x14ac:dyDescent="0.2">
      <c r="A524">
        <v>1043</v>
      </c>
      <c r="B524" t="s">
        <v>1553</v>
      </c>
      <c r="C524">
        <v>38</v>
      </c>
      <c r="D524" t="s">
        <v>22</v>
      </c>
      <c r="E524" s="1">
        <v>46050</v>
      </c>
      <c r="F524" s="2">
        <v>45809</v>
      </c>
      <c r="G524" t="s">
        <v>1554</v>
      </c>
      <c r="H524" t="s">
        <v>24</v>
      </c>
      <c r="I524" t="s">
        <v>1555</v>
      </c>
      <c r="J524">
        <v>0</v>
      </c>
    </row>
    <row r="525" spans="1:10" x14ac:dyDescent="0.2">
      <c r="A525">
        <v>1072</v>
      </c>
      <c r="B525" t="s">
        <v>1556</v>
      </c>
      <c r="C525">
        <v>30</v>
      </c>
      <c r="D525" t="s">
        <v>38</v>
      </c>
      <c r="E525" s="2">
        <v>46047</v>
      </c>
      <c r="F525" s="1">
        <v>45931</v>
      </c>
      <c r="G525" t="s">
        <v>1557</v>
      </c>
      <c r="H525" t="s">
        <v>28</v>
      </c>
      <c r="I525" t="s">
        <v>1558</v>
      </c>
      <c r="J525">
        <v>1</v>
      </c>
    </row>
    <row r="526" spans="1:10" x14ac:dyDescent="0.2">
      <c r="A526">
        <v>1055</v>
      </c>
      <c r="B526" t="s">
        <v>1559</v>
      </c>
      <c r="C526">
        <v>80</v>
      </c>
      <c r="D526" t="s">
        <v>11</v>
      </c>
      <c r="E526" s="2">
        <v>45775</v>
      </c>
      <c r="F526" s="2">
        <v>45381</v>
      </c>
      <c r="G526" t="s">
        <v>1560</v>
      </c>
      <c r="H526" t="s">
        <v>24</v>
      </c>
      <c r="I526" t="s">
        <v>1561</v>
      </c>
      <c r="J526" t="s">
        <v>60</v>
      </c>
    </row>
    <row r="527" spans="1:10" x14ac:dyDescent="0.2">
      <c r="A527">
        <v>1098</v>
      </c>
      <c r="B527" t="s">
        <v>1562</v>
      </c>
      <c r="C527">
        <v>75</v>
      </c>
      <c r="D527" t="s">
        <v>38</v>
      </c>
      <c r="E527" s="2">
        <v>46019</v>
      </c>
      <c r="F527" s="1">
        <v>45642</v>
      </c>
      <c r="G527" t="s">
        <v>1563</v>
      </c>
      <c r="H527" t="s">
        <v>24</v>
      </c>
      <c r="I527" t="s">
        <v>1564</v>
      </c>
      <c r="J527">
        <v>1</v>
      </c>
    </row>
    <row r="528" spans="1:10" x14ac:dyDescent="0.2">
      <c r="A528">
        <v>1072</v>
      </c>
      <c r="B528" t="s">
        <v>1565</v>
      </c>
      <c r="C528">
        <v>49</v>
      </c>
      <c r="D528" t="s">
        <v>16</v>
      </c>
      <c r="E528" s="2">
        <v>45742</v>
      </c>
      <c r="F528" s="1">
        <v>45659</v>
      </c>
      <c r="G528" t="s">
        <v>1566</v>
      </c>
      <c r="H528" t="s">
        <v>13</v>
      </c>
      <c r="I528" t="s">
        <v>1567</v>
      </c>
      <c r="J528" t="s">
        <v>60</v>
      </c>
    </row>
    <row r="529" spans="1:10" x14ac:dyDescent="0.2">
      <c r="A529">
        <v>1070</v>
      </c>
      <c r="B529" t="s">
        <v>1568</v>
      </c>
      <c r="C529">
        <v>24</v>
      </c>
      <c r="D529" t="s">
        <v>22</v>
      </c>
      <c r="E529" s="2">
        <v>46052</v>
      </c>
      <c r="F529" s="1">
        <v>45642</v>
      </c>
      <c r="G529" t="s">
        <v>1569</v>
      </c>
      <c r="H529" t="s">
        <v>28</v>
      </c>
      <c r="I529" t="s">
        <v>1570</v>
      </c>
      <c r="J529" t="s">
        <v>60</v>
      </c>
    </row>
    <row r="530" spans="1:10" x14ac:dyDescent="0.2">
      <c r="A530">
        <v>1061</v>
      </c>
      <c r="B530" t="s">
        <v>1571</v>
      </c>
      <c r="C530">
        <v>74</v>
      </c>
      <c r="D530" t="s">
        <v>11</v>
      </c>
      <c r="E530" s="2">
        <v>45901</v>
      </c>
      <c r="F530" s="1">
        <v>45803</v>
      </c>
      <c r="G530" t="s">
        <v>1572</v>
      </c>
      <c r="H530" t="s">
        <v>28</v>
      </c>
      <c r="I530" t="s">
        <v>1573</v>
      </c>
      <c r="J530" t="s">
        <v>36</v>
      </c>
    </row>
    <row r="531" spans="1:10" x14ac:dyDescent="0.2">
      <c r="A531">
        <v>1059</v>
      </c>
      <c r="B531" t="s">
        <v>1574</v>
      </c>
      <c r="C531">
        <v>35</v>
      </c>
      <c r="D531">
        <v>1</v>
      </c>
      <c r="E531" s="2">
        <v>45972</v>
      </c>
      <c r="F531" s="2">
        <v>45491</v>
      </c>
      <c r="G531" t="s">
        <v>1575</v>
      </c>
      <c r="H531" t="s">
        <v>18</v>
      </c>
      <c r="J531">
        <v>0</v>
      </c>
    </row>
    <row r="532" spans="1:10" x14ac:dyDescent="0.2">
      <c r="A532">
        <v>1091</v>
      </c>
      <c r="B532" t="s">
        <v>1576</v>
      </c>
      <c r="C532">
        <v>85</v>
      </c>
      <c r="D532">
        <v>1</v>
      </c>
      <c r="E532" s="1">
        <v>45745</v>
      </c>
      <c r="F532" s="1">
        <v>45723</v>
      </c>
      <c r="G532" t="s">
        <v>1577</v>
      </c>
      <c r="H532" t="s">
        <v>13</v>
      </c>
      <c r="I532" t="s">
        <v>1578</v>
      </c>
      <c r="J532" t="s">
        <v>30</v>
      </c>
    </row>
    <row r="533" spans="1:10" x14ac:dyDescent="0.2">
      <c r="A533">
        <v>1003</v>
      </c>
      <c r="B533" t="s">
        <v>1579</v>
      </c>
      <c r="C533">
        <v>64</v>
      </c>
      <c r="D533" t="s">
        <v>11</v>
      </c>
      <c r="E533" s="1">
        <v>46046</v>
      </c>
      <c r="F533" s="2">
        <v>45696</v>
      </c>
      <c r="G533" t="s">
        <v>1580</v>
      </c>
      <c r="H533" t="s">
        <v>13</v>
      </c>
      <c r="I533" t="s">
        <v>1581</v>
      </c>
      <c r="J533">
        <v>0</v>
      </c>
    </row>
    <row r="534" spans="1:10" x14ac:dyDescent="0.2">
      <c r="A534">
        <v>1087</v>
      </c>
      <c r="B534" t="s">
        <v>1582</v>
      </c>
      <c r="C534">
        <v>70</v>
      </c>
      <c r="D534" t="s">
        <v>11</v>
      </c>
      <c r="E534" s="1">
        <v>45912</v>
      </c>
      <c r="F534" s="1">
        <v>45446</v>
      </c>
      <c r="G534" t="s">
        <v>1583</v>
      </c>
      <c r="H534" t="s">
        <v>24</v>
      </c>
      <c r="I534" t="s">
        <v>1584</v>
      </c>
      <c r="J534" t="s">
        <v>20</v>
      </c>
    </row>
    <row r="535" spans="1:10" x14ac:dyDescent="0.2">
      <c r="A535">
        <v>1049</v>
      </c>
      <c r="B535" t="s">
        <v>1585</v>
      </c>
      <c r="C535">
        <v>37</v>
      </c>
      <c r="E535" s="1">
        <v>45787</v>
      </c>
      <c r="F535" s="1">
        <v>45530</v>
      </c>
      <c r="G535" t="s">
        <v>1586</v>
      </c>
      <c r="H535" t="s">
        <v>24</v>
      </c>
      <c r="I535" t="s">
        <v>1587</v>
      </c>
      <c r="J535">
        <v>0</v>
      </c>
    </row>
    <row r="536" spans="1:10" x14ac:dyDescent="0.2">
      <c r="A536">
        <v>1056</v>
      </c>
      <c r="B536" t="s">
        <v>1588</v>
      </c>
      <c r="C536">
        <v>24</v>
      </c>
      <c r="D536" t="s">
        <v>51</v>
      </c>
      <c r="E536" s="1">
        <v>45958</v>
      </c>
      <c r="F536" s="1">
        <v>45672</v>
      </c>
      <c r="G536" t="s">
        <v>1589</v>
      </c>
      <c r="H536" t="s">
        <v>13</v>
      </c>
      <c r="I536" t="s">
        <v>1590</v>
      </c>
      <c r="J536" t="s">
        <v>36</v>
      </c>
    </row>
    <row r="537" spans="1:10" x14ac:dyDescent="0.2">
      <c r="A537">
        <v>1057</v>
      </c>
      <c r="B537" t="s">
        <v>1591</v>
      </c>
      <c r="C537">
        <v>86</v>
      </c>
      <c r="D537">
        <v>0</v>
      </c>
      <c r="E537" s="2">
        <v>45819</v>
      </c>
      <c r="F537" s="2">
        <v>45563</v>
      </c>
      <c r="G537" t="s">
        <v>1592</v>
      </c>
      <c r="H537" t="s">
        <v>18</v>
      </c>
      <c r="I537" t="s">
        <v>1593</v>
      </c>
      <c r="J537" t="s">
        <v>30</v>
      </c>
    </row>
    <row r="538" spans="1:10" x14ac:dyDescent="0.2">
      <c r="A538">
        <v>1054</v>
      </c>
      <c r="B538" t="s">
        <v>1594</v>
      </c>
      <c r="C538">
        <v>57</v>
      </c>
      <c r="D538" t="s">
        <v>22</v>
      </c>
      <c r="E538" s="1">
        <v>45939</v>
      </c>
      <c r="F538" s="2">
        <v>45733</v>
      </c>
      <c r="G538" t="s">
        <v>1595</v>
      </c>
      <c r="H538" t="s">
        <v>24</v>
      </c>
      <c r="I538" t="s">
        <v>1596</v>
      </c>
      <c r="J538" t="s">
        <v>30</v>
      </c>
    </row>
    <row r="539" spans="1:10" x14ac:dyDescent="0.2">
      <c r="A539">
        <v>1040</v>
      </c>
      <c r="B539" t="s">
        <v>1597</v>
      </c>
      <c r="C539">
        <v>20</v>
      </c>
      <c r="D539">
        <v>1</v>
      </c>
      <c r="E539" s="1">
        <v>45890</v>
      </c>
      <c r="F539" s="1">
        <v>45397</v>
      </c>
      <c r="G539" t="s">
        <v>1598</v>
      </c>
      <c r="H539" t="s">
        <v>13</v>
      </c>
      <c r="J539">
        <v>0</v>
      </c>
    </row>
    <row r="540" spans="1:10" x14ac:dyDescent="0.2">
      <c r="A540">
        <v>1059</v>
      </c>
      <c r="B540" t="s">
        <v>1599</v>
      </c>
      <c r="C540">
        <v>88</v>
      </c>
      <c r="D540" t="s">
        <v>71</v>
      </c>
      <c r="E540" s="2">
        <v>45868</v>
      </c>
      <c r="F540" s="1">
        <v>45838</v>
      </c>
      <c r="G540" t="s">
        <v>1600</v>
      </c>
      <c r="H540" t="s">
        <v>28</v>
      </c>
      <c r="I540" t="s">
        <v>1601</v>
      </c>
      <c r="J540" t="s">
        <v>20</v>
      </c>
    </row>
    <row r="541" spans="1:10" x14ac:dyDescent="0.2">
      <c r="A541">
        <v>1035</v>
      </c>
      <c r="B541" t="s">
        <v>1602</v>
      </c>
      <c r="C541">
        <v>84</v>
      </c>
      <c r="D541">
        <v>0</v>
      </c>
      <c r="E541" s="2">
        <v>45939</v>
      </c>
      <c r="F541" s="2">
        <v>45787</v>
      </c>
      <c r="G541" t="s">
        <v>1603</v>
      </c>
      <c r="H541" t="s">
        <v>18</v>
      </c>
      <c r="I541" t="s">
        <v>1604</v>
      </c>
      <c r="J541" t="s">
        <v>30</v>
      </c>
    </row>
    <row r="542" spans="1:10" x14ac:dyDescent="0.2">
      <c r="A542">
        <v>1086</v>
      </c>
      <c r="B542" t="s">
        <v>1605</v>
      </c>
      <c r="C542">
        <v>86</v>
      </c>
      <c r="D542" t="s">
        <v>38</v>
      </c>
      <c r="E542" s="1">
        <v>45872</v>
      </c>
      <c r="F542" s="1">
        <v>45707</v>
      </c>
      <c r="G542" t="s">
        <v>1606</v>
      </c>
      <c r="H542" t="s">
        <v>18</v>
      </c>
      <c r="I542" t="s">
        <v>1607</v>
      </c>
      <c r="J542" t="s">
        <v>20</v>
      </c>
    </row>
    <row r="543" spans="1:10" x14ac:dyDescent="0.2">
      <c r="A543">
        <v>1050</v>
      </c>
      <c r="B543" t="s">
        <v>1608</v>
      </c>
      <c r="C543">
        <v>60</v>
      </c>
      <c r="D543" t="s">
        <v>16</v>
      </c>
      <c r="E543" s="1">
        <v>45783</v>
      </c>
      <c r="F543" s="1">
        <v>45576</v>
      </c>
      <c r="G543" t="s">
        <v>1609</v>
      </c>
      <c r="H543" t="s">
        <v>28</v>
      </c>
      <c r="I543" t="s">
        <v>1610</v>
      </c>
      <c r="J543" t="s">
        <v>20</v>
      </c>
    </row>
    <row r="544" spans="1:10" x14ac:dyDescent="0.2">
      <c r="A544">
        <v>1024</v>
      </c>
      <c r="B544" t="s">
        <v>1611</v>
      </c>
      <c r="C544">
        <v>72</v>
      </c>
      <c r="E544" s="2">
        <v>45872</v>
      </c>
      <c r="F544" s="1">
        <v>45758</v>
      </c>
      <c r="G544" t="s">
        <v>1612</v>
      </c>
      <c r="H544" t="s">
        <v>18</v>
      </c>
      <c r="J544" t="s">
        <v>20</v>
      </c>
    </row>
    <row r="545" spans="1:10" x14ac:dyDescent="0.2">
      <c r="A545">
        <v>1046</v>
      </c>
      <c r="B545" t="s">
        <v>1613</v>
      </c>
      <c r="C545">
        <v>76</v>
      </c>
      <c r="D545" t="s">
        <v>22</v>
      </c>
      <c r="E545" s="1">
        <v>46028</v>
      </c>
      <c r="F545" s="2">
        <v>45732</v>
      </c>
      <c r="G545" t="s">
        <v>1614</v>
      </c>
      <c r="H545" t="s">
        <v>13</v>
      </c>
      <c r="I545" t="s">
        <v>1615</v>
      </c>
      <c r="J545">
        <v>1</v>
      </c>
    </row>
    <row r="546" spans="1:10" x14ac:dyDescent="0.2">
      <c r="A546">
        <v>1051</v>
      </c>
      <c r="B546" t="s">
        <v>1616</v>
      </c>
      <c r="C546">
        <v>81</v>
      </c>
      <c r="D546" t="s">
        <v>51</v>
      </c>
      <c r="E546" s="1">
        <v>46056</v>
      </c>
      <c r="F546" s="2">
        <v>45929</v>
      </c>
      <c r="G546" t="s">
        <v>1617</v>
      </c>
      <c r="H546" t="s">
        <v>24</v>
      </c>
      <c r="I546" t="s">
        <v>1618</v>
      </c>
      <c r="J546">
        <v>0</v>
      </c>
    </row>
    <row r="547" spans="1:10" x14ac:dyDescent="0.2">
      <c r="A547">
        <v>1014</v>
      </c>
      <c r="B547" t="s">
        <v>1619</v>
      </c>
      <c r="C547">
        <v>81</v>
      </c>
      <c r="D547" t="s">
        <v>16</v>
      </c>
      <c r="E547" s="1">
        <v>45806</v>
      </c>
      <c r="F547" s="2">
        <v>45454</v>
      </c>
      <c r="G547" t="s">
        <v>1620</v>
      </c>
      <c r="H547" t="s">
        <v>18</v>
      </c>
      <c r="I547" t="s">
        <v>1621</v>
      </c>
      <c r="J547" t="s">
        <v>20</v>
      </c>
    </row>
    <row r="548" spans="1:10" x14ac:dyDescent="0.2">
      <c r="A548">
        <v>1059</v>
      </c>
      <c r="B548" t="s">
        <v>1622</v>
      </c>
      <c r="C548">
        <v>75</v>
      </c>
      <c r="D548" t="s">
        <v>11</v>
      </c>
      <c r="E548" s="2">
        <v>45762</v>
      </c>
      <c r="F548" s="1">
        <v>45444</v>
      </c>
      <c r="G548" t="s">
        <v>1623</v>
      </c>
      <c r="H548" t="s">
        <v>13</v>
      </c>
      <c r="I548" t="s">
        <v>1624</v>
      </c>
      <c r="J548" t="s">
        <v>20</v>
      </c>
    </row>
    <row r="549" spans="1:10" x14ac:dyDescent="0.2">
      <c r="A549">
        <v>1040</v>
      </c>
      <c r="B549" t="s">
        <v>1625</v>
      </c>
      <c r="C549">
        <v>77</v>
      </c>
      <c r="D549" t="s">
        <v>51</v>
      </c>
      <c r="E549" s="2">
        <v>46006</v>
      </c>
      <c r="F549" s="2">
        <v>45523</v>
      </c>
      <c r="G549" t="s">
        <v>1626</v>
      </c>
      <c r="H549" t="s">
        <v>13</v>
      </c>
      <c r="J549">
        <v>0</v>
      </c>
    </row>
    <row r="550" spans="1:10" x14ac:dyDescent="0.2">
      <c r="A550">
        <v>1092</v>
      </c>
      <c r="B550" t="s">
        <v>1627</v>
      </c>
      <c r="C550">
        <v>74</v>
      </c>
      <c r="D550" t="s">
        <v>11</v>
      </c>
      <c r="E550" s="1">
        <v>45862</v>
      </c>
      <c r="F550" s="2">
        <v>45771</v>
      </c>
      <c r="G550" t="s">
        <v>1628</v>
      </c>
      <c r="H550" t="s">
        <v>28</v>
      </c>
      <c r="I550" t="s">
        <v>1629</v>
      </c>
      <c r="J550" t="s">
        <v>20</v>
      </c>
    </row>
    <row r="551" spans="1:10" x14ac:dyDescent="0.2">
      <c r="A551">
        <v>1010</v>
      </c>
      <c r="B551" t="s">
        <v>1630</v>
      </c>
      <c r="C551">
        <v>60</v>
      </c>
      <c r="D551" t="s">
        <v>22</v>
      </c>
      <c r="E551" s="2">
        <v>46048</v>
      </c>
      <c r="F551" s="1">
        <v>45421</v>
      </c>
      <c r="G551" t="s">
        <v>1631</v>
      </c>
      <c r="H551" t="s">
        <v>13</v>
      </c>
      <c r="I551" t="s">
        <v>1632</v>
      </c>
      <c r="J551">
        <v>1</v>
      </c>
    </row>
    <row r="552" spans="1:10" x14ac:dyDescent="0.2">
      <c r="A552">
        <v>1032</v>
      </c>
      <c r="B552" t="s">
        <v>1633</v>
      </c>
      <c r="C552">
        <v>28</v>
      </c>
      <c r="D552" t="s">
        <v>22</v>
      </c>
      <c r="E552" s="1">
        <v>45852</v>
      </c>
      <c r="F552" s="1">
        <v>45520</v>
      </c>
      <c r="G552" t="s">
        <v>1634</v>
      </c>
      <c r="H552" t="s">
        <v>24</v>
      </c>
      <c r="I552" t="s">
        <v>1635</v>
      </c>
      <c r="J552" t="s">
        <v>36</v>
      </c>
    </row>
    <row r="553" spans="1:10" x14ac:dyDescent="0.2">
      <c r="A553">
        <v>1020</v>
      </c>
      <c r="B553" t="s">
        <v>1636</v>
      </c>
      <c r="C553">
        <v>45</v>
      </c>
      <c r="D553" t="s">
        <v>16</v>
      </c>
      <c r="E553" s="2">
        <v>45990</v>
      </c>
      <c r="F553" s="2">
        <v>45900</v>
      </c>
      <c r="G553" t="s">
        <v>1637</v>
      </c>
      <c r="H553" t="s">
        <v>28</v>
      </c>
      <c r="I553" t="s">
        <v>1638</v>
      </c>
      <c r="J553">
        <v>0</v>
      </c>
    </row>
    <row r="554" spans="1:10" x14ac:dyDescent="0.2">
      <c r="A554">
        <v>1020</v>
      </c>
      <c r="B554" t="s">
        <v>1639</v>
      </c>
      <c r="C554">
        <v>50</v>
      </c>
      <c r="D554" t="s">
        <v>22</v>
      </c>
      <c r="E554" s="2">
        <v>45887</v>
      </c>
      <c r="F554" s="1">
        <v>45794</v>
      </c>
      <c r="G554" t="s">
        <v>1640</v>
      </c>
      <c r="H554" t="s">
        <v>24</v>
      </c>
      <c r="I554" t="s">
        <v>1641</v>
      </c>
      <c r="J554">
        <v>1</v>
      </c>
    </row>
    <row r="555" spans="1:10" x14ac:dyDescent="0.2">
      <c r="A555">
        <v>1017</v>
      </c>
      <c r="B555" t="s">
        <v>1642</v>
      </c>
      <c r="C555">
        <v>55</v>
      </c>
      <c r="D555" t="s">
        <v>71</v>
      </c>
      <c r="E555" s="1">
        <v>45856</v>
      </c>
      <c r="F555" s="1">
        <v>45479</v>
      </c>
      <c r="G555" t="s">
        <v>1643</v>
      </c>
      <c r="H555" t="s">
        <v>28</v>
      </c>
      <c r="I555" t="s">
        <v>1644</v>
      </c>
      <c r="J555" t="s">
        <v>30</v>
      </c>
    </row>
    <row r="556" spans="1:10" x14ac:dyDescent="0.2">
      <c r="A556">
        <v>1007</v>
      </c>
      <c r="B556" t="s">
        <v>1645</v>
      </c>
      <c r="C556">
        <v>25</v>
      </c>
      <c r="D556" t="s">
        <v>11</v>
      </c>
      <c r="E556" s="2">
        <v>45996</v>
      </c>
      <c r="F556" s="1">
        <v>45563</v>
      </c>
      <c r="G556" t="s">
        <v>1646</v>
      </c>
      <c r="H556" t="s">
        <v>24</v>
      </c>
      <c r="I556" t="s">
        <v>1647</v>
      </c>
      <c r="J556">
        <v>1</v>
      </c>
    </row>
    <row r="557" spans="1:10" x14ac:dyDescent="0.2">
      <c r="A557">
        <v>1084</v>
      </c>
      <c r="B557" t="s">
        <v>1648</v>
      </c>
      <c r="C557">
        <v>69</v>
      </c>
      <c r="D557" t="s">
        <v>22</v>
      </c>
      <c r="E557" s="1">
        <v>45743</v>
      </c>
      <c r="F557" s="1">
        <v>45508</v>
      </c>
      <c r="G557" t="s">
        <v>1649</v>
      </c>
      <c r="H557" t="s">
        <v>28</v>
      </c>
      <c r="I557" t="s">
        <v>1650</v>
      </c>
      <c r="J557" t="s">
        <v>60</v>
      </c>
    </row>
    <row r="558" spans="1:10" x14ac:dyDescent="0.2">
      <c r="A558">
        <v>1005</v>
      </c>
      <c r="B558" t="s">
        <v>1651</v>
      </c>
      <c r="C558">
        <v>84</v>
      </c>
      <c r="D558" t="s">
        <v>38</v>
      </c>
      <c r="E558" s="1">
        <v>46027</v>
      </c>
      <c r="F558" s="1">
        <v>45849</v>
      </c>
      <c r="G558" t="s">
        <v>1652</v>
      </c>
      <c r="H558" t="s">
        <v>13</v>
      </c>
      <c r="I558" t="s">
        <v>1653</v>
      </c>
      <c r="J558" t="s">
        <v>60</v>
      </c>
    </row>
    <row r="559" spans="1:10" x14ac:dyDescent="0.2">
      <c r="A559">
        <v>1011</v>
      </c>
      <c r="B559" t="s">
        <v>1654</v>
      </c>
      <c r="C559">
        <v>50</v>
      </c>
      <c r="D559" t="s">
        <v>11</v>
      </c>
      <c r="E559" s="2">
        <v>45975</v>
      </c>
      <c r="F559" s="1">
        <v>45914</v>
      </c>
      <c r="G559" t="s">
        <v>1655</v>
      </c>
      <c r="H559" t="s">
        <v>13</v>
      </c>
      <c r="I559" t="s">
        <v>1656</v>
      </c>
      <c r="J559">
        <v>0</v>
      </c>
    </row>
    <row r="560" spans="1:10" x14ac:dyDescent="0.2">
      <c r="A560">
        <v>1085</v>
      </c>
      <c r="B560" t="s">
        <v>1657</v>
      </c>
      <c r="C560">
        <v>28</v>
      </c>
      <c r="D560" t="s">
        <v>11</v>
      </c>
      <c r="E560" s="1">
        <v>46089</v>
      </c>
      <c r="F560" s="1">
        <v>45634</v>
      </c>
      <c r="G560" t="s">
        <v>1658</v>
      </c>
      <c r="H560" t="s">
        <v>18</v>
      </c>
      <c r="J560">
        <v>0</v>
      </c>
    </row>
    <row r="561" spans="1:10" x14ac:dyDescent="0.2">
      <c r="A561">
        <v>1005</v>
      </c>
      <c r="B561" t="s">
        <v>1659</v>
      </c>
      <c r="C561">
        <v>24</v>
      </c>
      <c r="D561" t="s">
        <v>38</v>
      </c>
      <c r="E561" s="2">
        <v>45821</v>
      </c>
      <c r="F561" s="1">
        <v>45449</v>
      </c>
      <c r="G561" t="s">
        <v>1660</v>
      </c>
      <c r="H561" t="s">
        <v>13</v>
      </c>
      <c r="I561" t="s">
        <v>1661</v>
      </c>
      <c r="J561" t="s">
        <v>60</v>
      </c>
    </row>
    <row r="562" spans="1:10" x14ac:dyDescent="0.2">
      <c r="A562">
        <v>1079</v>
      </c>
      <c r="B562" t="s">
        <v>1662</v>
      </c>
      <c r="C562">
        <v>52</v>
      </c>
      <c r="D562" t="s">
        <v>22</v>
      </c>
      <c r="E562" s="1">
        <v>45977</v>
      </c>
      <c r="F562" s="1">
        <v>45740</v>
      </c>
      <c r="G562" t="s">
        <v>1663</v>
      </c>
      <c r="H562" t="s">
        <v>13</v>
      </c>
      <c r="I562" t="s">
        <v>1664</v>
      </c>
      <c r="J562">
        <v>0</v>
      </c>
    </row>
    <row r="563" spans="1:10" x14ac:dyDescent="0.2">
      <c r="A563">
        <v>1090</v>
      </c>
      <c r="B563" t="s">
        <v>1665</v>
      </c>
      <c r="C563">
        <v>53</v>
      </c>
      <c r="D563">
        <v>1</v>
      </c>
      <c r="E563" s="1">
        <v>46068</v>
      </c>
      <c r="F563" s="2">
        <v>45774</v>
      </c>
      <c r="G563" t="s">
        <v>1666</v>
      </c>
      <c r="H563" t="s">
        <v>18</v>
      </c>
      <c r="I563" t="s">
        <v>1667</v>
      </c>
      <c r="J563" t="s">
        <v>20</v>
      </c>
    </row>
    <row r="564" spans="1:10" x14ac:dyDescent="0.2">
      <c r="A564">
        <v>1068</v>
      </c>
      <c r="B564" t="s">
        <v>1668</v>
      </c>
      <c r="C564">
        <v>59</v>
      </c>
      <c r="D564">
        <v>1</v>
      </c>
      <c r="E564" s="1">
        <v>45866</v>
      </c>
      <c r="F564" s="1">
        <v>45492</v>
      </c>
      <c r="G564" t="s">
        <v>1669</v>
      </c>
      <c r="H564" t="s">
        <v>13</v>
      </c>
      <c r="I564" t="s">
        <v>1670</v>
      </c>
      <c r="J564" t="s">
        <v>60</v>
      </c>
    </row>
    <row r="565" spans="1:10" x14ac:dyDescent="0.2">
      <c r="A565">
        <v>1047</v>
      </c>
      <c r="B565" t="s">
        <v>1671</v>
      </c>
      <c r="C565">
        <v>31</v>
      </c>
      <c r="D565" t="s">
        <v>11</v>
      </c>
      <c r="E565" s="2">
        <v>45752</v>
      </c>
      <c r="F565" s="1">
        <v>45420</v>
      </c>
      <c r="G565" t="s">
        <v>1672</v>
      </c>
      <c r="H565" t="s">
        <v>13</v>
      </c>
      <c r="I565" t="s">
        <v>1673</v>
      </c>
      <c r="J565" t="s">
        <v>60</v>
      </c>
    </row>
    <row r="566" spans="1:10" x14ac:dyDescent="0.2">
      <c r="A566">
        <v>1009</v>
      </c>
      <c r="B566" t="s">
        <v>1674</v>
      </c>
      <c r="C566">
        <v>74</v>
      </c>
      <c r="D566" t="s">
        <v>71</v>
      </c>
      <c r="E566" s="1">
        <v>46100</v>
      </c>
      <c r="F566" s="1">
        <v>45987</v>
      </c>
      <c r="G566" t="s">
        <v>1675</v>
      </c>
      <c r="H566" t="s">
        <v>13</v>
      </c>
      <c r="I566" t="s">
        <v>1676</v>
      </c>
      <c r="J566" t="s">
        <v>30</v>
      </c>
    </row>
    <row r="567" spans="1:10" x14ac:dyDescent="0.2">
      <c r="A567">
        <v>1084</v>
      </c>
      <c r="B567" t="s">
        <v>1677</v>
      </c>
      <c r="C567">
        <v>83</v>
      </c>
      <c r="D567" t="s">
        <v>22</v>
      </c>
      <c r="E567" s="1">
        <v>46055</v>
      </c>
      <c r="F567" s="1">
        <v>45867</v>
      </c>
      <c r="G567" t="s">
        <v>1678</v>
      </c>
      <c r="H567" t="s">
        <v>28</v>
      </c>
      <c r="J567">
        <v>0</v>
      </c>
    </row>
    <row r="568" spans="1:10" x14ac:dyDescent="0.2">
      <c r="A568">
        <v>1016</v>
      </c>
      <c r="B568" t="s">
        <v>1679</v>
      </c>
      <c r="C568">
        <v>31</v>
      </c>
      <c r="D568">
        <v>1</v>
      </c>
      <c r="E568" s="2">
        <v>45957</v>
      </c>
      <c r="F568" s="1">
        <v>45728</v>
      </c>
      <c r="G568" t="s">
        <v>1680</v>
      </c>
      <c r="H568" t="s">
        <v>18</v>
      </c>
      <c r="I568" t="s">
        <v>1681</v>
      </c>
      <c r="J568" t="s">
        <v>20</v>
      </c>
    </row>
    <row r="569" spans="1:10" x14ac:dyDescent="0.2">
      <c r="A569">
        <v>1068</v>
      </c>
      <c r="B569" t="s">
        <v>1682</v>
      </c>
      <c r="C569">
        <v>63</v>
      </c>
      <c r="D569" t="s">
        <v>51</v>
      </c>
      <c r="E569" s="1">
        <v>45932</v>
      </c>
      <c r="F569" s="2">
        <v>45449</v>
      </c>
      <c r="G569" t="s">
        <v>1683</v>
      </c>
      <c r="H569" t="s">
        <v>28</v>
      </c>
      <c r="I569" t="s">
        <v>1684</v>
      </c>
      <c r="J569" t="s">
        <v>60</v>
      </c>
    </row>
    <row r="570" spans="1:10" x14ac:dyDescent="0.2">
      <c r="A570">
        <v>1048</v>
      </c>
      <c r="B570" t="s">
        <v>1685</v>
      </c>
      <c r="C570">
        <v>47</v>
      </c>
      <c r="D570" t="s">
        <v>16</v>
      </c>
      <c r="E570" s="1">
        <v>45875</v>
      </c>
      <c r="F570" s="2">
        <v>45859</v>
      </c>
      <c r="G570" t="s">
        <v>1686</v>
      </c>
      <c r="H570" t="s">
        <v>24</v>
      </c>
      <c r="I570" t="s">
        <v>1687</v>
      </c>
      <c r="J570" t="s">
        <v>36</v>
      </c>
    </row>
    <row r="571" spans="1:10" x14ac:dyDescent="0.2">
      <c r="A571">
        <v>1080</v>
      </c>
      <c r="B571" t="s">
        <v>1688</v>
      </c>
      <c r="C571">
        <v>52</v>
      </c>
      <c r="D571" t="s">
        <v>22</v>
      </c>
      <c r="E571" s="2">
        <v>45881</v>
      </c>
      <c r="F571" s="1">
        <v>45679</v>
      </c>
      <c r="G571" t="s">
        <v>1689</v>
      </c>
      <c r="H571" t="s">
        <v>18</v>
      </c>
      <c r="I571" t="s">
        <v>1690</v>
      </c>
      <c r="J571" t="s">
        <v>30</v>
      </c>
    </row>
    <row r="572" spans="1:10" x14ac:dyDescent="0.2">
      <c r="A572">
        <v>1030</v>
      </c>
      <c r="B572" t="s">
        <v>1691</v>
      </c>
      <c r="C572">
        <v>66</v>
      </c>
      <c r="D572" t="s">
        <v>11</v>
      </c>
      <c r="E572" s="2">
        <v>45953</v>
      </c>
      <c r="F572" s="2">
        <v>45437</v>
      </c>
      <c r="G572" t="s">
        <v>1692</v>
      </c>
      <c r="H572" t="s">
        <v>13</v>
      </c>
      <c r="I572" t="s">
        <v>1693</v>
      </c>
      <c r="J572" t="s">
        <v>20</v>
      </c>
    </row>
    <row r="573" spans="1:10" x14ac:dyDescent="0.2">
      <c r="A573">
        <v>1003</v>
      </c>
      <c r="B573" t="s">
        <v>1694</v>
      </c>
      <c r="C573">
        <v>48</v>
      </c>
      <c r="D573" t="s">
        <v>51</v>
      </c>
      <c r="E573" s="2">
        <v>45863</v>
      </c>
      <c r="F573" s="1">
        <v>45671</v>
      </c>
      <c r="G573" t="s">
        <v>1695</v>
      </c>
      <c r="H573" t="s">
        <v>18</v>
      </c>
      <c r="I573" t="s">
        <v>1696</v>
      </c>
      <c r="J573" t="s">
        <v>60</v>
      </c>
    </row>
    <row r="574" spans="1:10" x14ac:dyDescent="0.2">
      <c r="A574">
        <v>1047</v>
      </c>
      <c r="B574" t="s">
        <v>1697</v>
      </c>
      <c r="C574">
        <v>74</v>
      </c>
      <c r="D574">
        <v>0</v>
      </c>
      <c r="E574" s="2">
        <v>45949</v>
      </c>
      <c r="F574" s="1">
        <v>45511</v>
      </c>
      <c r="G574" t="s">
        <v>1698</v>
      </c>
      <c r="H574" t="s">
        <v>18</v>
      </c>
      <c r="I574" t="s">
        <v>1699</v>
      </c>
      <c r="J574">
        <v>1</v>
      </c>
    </row>
    <row r="575" spans="1:10" x14ac:dyDescent="0.2">
      <c r="A575">
        <v>1075</v>
      </c>
      <c r="B575" t="s">
        <v>1700</v>
      </c>
      <c r="C575">
        <v>72</v>
      </c>
      <c r="D575">
        <v>1</v>
      </c>
      <c r="E575" s="1">
        <v>45824</v>
      </c>
      <c r="F575" s="2">
        <v>45527</v>
      </c>
      <c r="G575" t="s">
        <v>1701</v>
      </c>
      <c r="H575" t="s">
        <v>24</v>
      </c>
      <c r="I575" t="s">
        <v>1702</v>
      </c>
      <c r="J575">
        <v>1</v>
      </c>
    </row>
    <row r="576" spans="1:10" x14ac:dyDescent="0.2">
      <c r="A576">
        <v>1072</v>
      </c>
      <c r="B576" t="s">
        <v>1703</v>
      </c>
      <c r="C576">
        <v>49</v>
      </c>
      <c r="D576">
        <v>0</v>
      </c>
      <c r="E576" s="2">
        <v>45760</v>
      </c>
      <c r="F576" s="2">
        <v>45570</v>
      </c>
      <c r="G576" t="s">
        <v>1704</v>
      </c>
      <c r="H576" t="s">
        <v>18</v>
      </c>
      <c r="I576" t="s">
        <v>1705</v>
      </c>
      <c r="J576" t="s">
        <v>60</v>
      </c>
    </row>
    <row r="577" spans="1:10" x14ac:dyDescent="0.2">
      <c r="A577">
        <v>1001</v>
      </c>
      <c r="B577" t="s">
        <v>1706</v>
      </c>
      <c r="C577">
        <v>33</v>
      </c>
      <c r="D577" t="s">
        <v>16</v>
      </c>
      <c r="E577" s="1">
        <v>45975</v>
      </c>
      <c r="F577" s="1">
        <v>45906</v>
      </c>
      <c r="G577" t="s">
        <v>1707</v>
      </c>
      <c r="H577" t="s">
        <v>24</v>
      </c>
      <c r="I577" t="s">
        <v>1708</v>
      </c>
      <c r="J577" t="s">
        <v>30</v>
      </c>
    </row>
    <row r="578" spans="1:10" x14ac:dyDescent="0.2">
      <c r="A578">
        <v>1009</v>
      </c>
      <c r="B578" t="s">
        <v>1709</v>
      </c>
      <c r="C578">
        <v>61</v>
      </c>
      <c r="D578">
        <v>1</v>
      </c>
      <c r="E578" s="2">
        <v>46023</v>
      </c>
      <c r="F578" s="1">
        <v>45883</v>
      </c>
      <c r="G578" t="s">
        <v>1710</v>
      </c>
      <c r="H578" t="s">
        <v>28</v>
      </c>
      <c r="I578" t="s">
        <v>1711</v>
      </c>
      <c r="J578" t="s">
        <v>60</v>
      </c>
    </row>
    <row r="579" spans="1:10" x14ac:dyDescent="0.2">
      <c r="A579">
        <v>1016</v>
      </c>
      <c r="B579" t="s">
        <v>1712</v>
      </c>
      <c r="C579">
        <v>29</v>
      </c>
      <c r="D579" t="s">
        <v>51</v>
      </c>
      <c r="E579" s="2">
        <v>45971</v>
      </c>
      <c r="F579" s="2">
        <v>45794</v>
      </c>
      <c r="G579" t="s">
        <v>1713</v>
      </c>
      <c r="H579" t="s">
        <v>13</v>
      </c>
      <c r="I579" t="s">
        <v>1714</v>
      </c>
      <c r="J579" t="s">
        <v>20</v>
      </c>
    </row>
    <row r="580" spans="1:10" x14ac:dyDescent="0.2">
      <c r="A580">
        <v>1092</v>
      </c>
      <c r="B580" t="s">
        <v>1715</v>
      </c>
      <c r="C580">
        <v>54</v>
      </c>
      <c r="D580">
        <v>1</v>
      </c>
      <c r="E580" s="2">
        <v>45870</v>
      </c>
      <c r="F580" s="2">
        <v>45419</v>
      </c>
      <c r="G580" t="s">
        <v>1716</v>
      </c>
      <c r="H580" t="s">
        <v>28</v>
      </c>
      <c r="I580" t="s">
        <v>1717</v>
      </c>
      <c r="J580">
        <v>1</v>
      </c>
    </row>
    <row r="581" spans="1:10" x14ac:dyDescent="0.2">
      <c r="A581">
        <v>1001</v>
      </c>
      <c r="B581" t="s">
        <v>1718</v>
      </c>
      <c r="C581">
        <v>70</v>
      </c>
      <c r="D581" t="s">
        <v>71</v>
      </c>
      <c r="E581" s="1">
        <v>46041</v>
      </c>
      <c r="F581" s="1">
        <v>45674</v>
      </c>
      <c r="G581" t="s">
        <v>1719</v>
      </c>
      <c r="H581" t="s">
        <v>28</v>
      </c>
      <c r="I581" t="s">
        <v>1720</v>
      </c>
      <c r="J581" t="s">
        <v>20</v>
      </c>
    </row>
    <row r="582" spans="1:10" x14ac:dyDescent="0.2">
      <c r="A582">
        <v>1063</v>
      </c>
      <c r="B582" t="s">
        <v>1721</v>
      </c>
      <c r="C582">
        <v>48</v>
      </c>
      <c r="D582" t="s">
        <v>71</v>
      </c>
      <c r="E582" s="1">
        <v>45898</v>
      </c>
      <c r="F582" s="1">
        <v>45397</v>
      </c>
      <c r="G582" t="s">
        <v>1722</v>
      </c>
      <c r="H582" t="s">
        <v>24</v>
      </c>
      <c r="I582" t="s">
        <v>1723</v>
      </c>
      <c r="J582" t="s">
        <v>30</v>
      </c>
    </row>
    <row r="583" spans="1:10" x14ac:dyDescent="0.2">
      <c r="A583">
        <v>1061</v>
      </c>
      <c r="B583" t="s">
        <v>1724</v>
      </c>
      <c r="C583">
        <v>67</v>
      </c>
      <c r="D583" t="s">
        <v>22</v>
      </c>
      <c r="E583" s="1">
        <v>45977</v>
      </c>
      <c r="F583" s="2">
        <v>45657</v>
      </c>
      <c r="G583" t="s">
        <v>1725</v>
      </c>
      <c r="H583" t="s">
        <v>28</v>
      </c>
      <c r="I583" t="s">
        <v>1726</v>
      </c>
      <c r="J583">
        <v>1</v>
      </c>
    </row>
    <row r="584" spans="1:10" x14ac:dyDescent="0.2">
      <c r="A584">
        <v>1036</v>
      </c>
      <c r="B584" t="s">
        <v>1727</v>
      </c>
      <c r="C584">
        <v>41</v>
      </c>
      <c r="D584" t="s">
        <v>51</v>
      </c>
      <c r="E584" s="2">
        <v>45837</v>
      </c>
      <c r="F584" s="2">
        <v>45556</v>
      </c>
      <c r="G584" t="s">
        <v>1728</v>
      </c>
      <c r="H584" t="s">
        <v>13</v>
      </c>
      <c r="I584" t="s">
        <v>1729</v>
      </c>
      <c r="J584" t="s">
        <v>60</v>
      </c>
    </row>
    <row r="585" spans="1:10" x14ac:dyDescent="0.2">
      <c r="A585">
        <v>1015</v>
      </c>
      <c r="B585" t="s">
        <v>1730</v>
      </c>
      <c r="C585">
        <v>87</v>
      </c>
      <c r="E585" s="2">
        <v>45787</v>
      </c>
      <c r="F585" s="2">
        <v>45694</v>
      </c>
      <c r="G585" t="s">
        <v>1731</v>
      </c>
      <c r="H585" t="s">
        <v>13</v>
      </c>
      <c r="I585" t="s">
        <v>1732</v>
      </c>
      <c r="J585" t="s">
        <v>36</v>
      </c>
    </row>
    <row r="586" spans="1:10" x14ac:dyDescent="0.2">
      <c r="A586">
        <v>1069</v>
      </c>
      <c r="B586" t="s">
        <v>1733</v>
      </c>
      <c r="C586">
        <v>40</v>
      </c>
      <c r="D586">
        <v>0</v>
      </c>
      <c r="E586" s="1">
        <v>46000</v>
      </c>
      <c r="F586" s="2">
        <v>45941</v>
      </c>
      <c r="G586" t="s">
        <v>1734</v>
      </c>
      <c r="H586" t="s">
        <v>28</v>
      </c>
      <c r="I586" t="s">
        <v>1735</v>
      </c>
      <c r="J586" t="s">
        <v>36</v>
      </c>
    </row>
    <row r="587" spans="1:10" x14ac:dyDescent="0.2">
      <c r="A587">
        <v>1029</v>
      </c>
      <c r="B587" t="s">
        <v>1736</v>
      </c>
      <c r="C587">
        <v>55</v>
      </c>
      <c r="D587" t="s">
        <v>71</v>
      </c>
      <c r="E587" s="2">
        <v>45945</v>
      </c>
      <c r="F587" s="1">
        <v>45805</v>
      </c>
      <c r="G587" t="s">
        <v>1737</v>
      </c>
      <c r="H587" t="s">
        <v>18</v>
      </c>
      <c r="I587" t="s">
        <v>1738</v>
      </c>
      <c r="J587" t="s">
        <v>30</v>
      </c>
    </row>
    <row r="588" spans="1:10" x14ac:dyDescent="0.2">
      <c r="A588">
        <v>1037</v>
      </c>
      <c r="B588" t="s">
        <v>1739</v>
      </c>
      <c r="C588">
        <v>90</v>
      </c>
      <c r="D588">
        <v>1</v>
      </c>
      <c r="E588" s="1">
        <v>45999</v>
      </c>
      <c r="F588" s="2">
        <v>45510</v>
      </c>
      <c r="G588" t="s">
        <v>1740</v>
      </c>
      <c r="H588" t="s">
        <v>13</v>
      </c>
      <c r="I588" t="s">
        <v>1741</v>
      </c>
      <c r="J588" t="s">
        <v>60</v>
      </c>
    </row>
    <row r="589" spans="1:10" x14ac:dyDescent="0.2">
      <c r="A589">
        <v>1071</v>
      </c>
      <c r="B589" t="s">
        <v>1742</v>
      </c>
      <c r="C589">
        <v>25</v>
      </c>
      <c r="D589" t="s">
        <v>11</v>
      </c>
      <c r="E589" s="1">
        <v>46077</v>
      </c>
      <c r="F589" s="1">
        <v>45982</v>
      </c>
      <c r="G589" t="s">
        <v>1743</v>
      </c>
      <c r="H589" t="s">
        <v>28</v>
      </c>
      <c r="I589" t="s">
        <v>1744</v>
      </c>
      <c r="J589">
        <v>0</v>
      </c>
    </row>
    <row r="590" spans="1:10" x14ac:dyDescent="0.2">
      <c r="A590">
        <v>1023</v>
      </c>
      <c r="B590" t="s">
        <v>1745</v>
      </c>
      <c r="C590">
        <v>46</v>
      </c>
      <c r="D590" t="s">
        <v>38</v>
      </c>
      <c r="E590" s="2">
        <v>46060</v>
      </c>
      <c r="F590" s="1">
        <v>45645</v>
      </c>
      <c r="G590" t="s">
        <v>1746</v>
      </c>
      <c r="H590" t="s">
        <v>24</v>
      </c>
      <c r="I590" t="s">
        <v>1747</v>
      </c>
      <c r="J590">
        <v>1</v>
      </c>
    </row>
    <row r="591" spans="1:10" x14ac:dyDescent="0.2">
      <c r="A591">
        <v>1074</v>
      </c>
      <c r="B591" t="s">
        <v>1748</v>
      </c>
      <c r="C591">
        <v>75</v>
      </c>
      <c r="D591">
        <v>1</v>
      </c>
      <c r="E591" s="2">
        <v>45884</v>
      </c>
      <c r="F591" s="1">
        <v>45459</v>
      </c>
      <c r="G591" t="s">
        <v>1749</v>
      </c>
      <c r="H591" t="s">
        <v>24</v>
      </c>
      <c r="I591" t="s">
        <v>1750</v>
      </c>
      <c r="J591" t="s">
        <v>20</v>
      </c>
    </row>
    <row r="592" spans="1:10" x14ac:dyDescent="0.2">
      <c r="A592">
        <v>1039</v>
      </c>
      <c r="B592" t="s">
        <v>1751</v>
      </c>
      <c r="C592">
        <v>68</v>
      </c>
      <c r="D592" t="s">
        <v>51</v>
      </c>
      <c r="E592" s="1">
        <v>45779</v>
      </c>
      <c r="F592" s="2">
        <v>45703</v>
      </c>
      <c r="G592" t="s">
        <v>1589</v>
      </c>
      <c r="H592" t="s">
        <v>18</v>
      </c>
      <c r="I592" t="s">
        <v>1752</v>
      </c>
      <c r="J592" t="s">
        <v>30</v>
      </c>
    </row>
    <row r="593" spans="1:10" x14ac:dyDescent="0.2">
      <c r="A593">
        <v>1071</v>
      </c>
      <c r="B593" t="s">
        <v>1753</v>
      </c>
      <c r="C593">
        <v>88</v>
      </c>
      <c r="D593" t="s">
        <v>22</v>
      </c>
      <c r="E593" s="1">
        <v>45996</v>
      </c>
      <c r="F593" s="2">
        <v>45506</v>
      </c>
      <c r="G593" t="s">
        <v>1754</v>
      </c>
      <c r="H593" t="s">
        <v>24</v>
      </c>
      <c r="I593" t="s">
        <v>1755</v>
      </c>
      <c r="J593" t="s">
        <v>20</v>
      </c>
    </row>
    <row r="594" spans="1:10" x14ac:dyDescent="0.2">
      <c r="A594">
        <v>1039</v>
      </c>
      <c r="B594" t="s">
        <v>1756</v>
      </c>
      <c r="C594">
        <v>47</v>
      </c>
      <c r="D594" t="s">
        <v>16</v>
      </c>
      <c r="E594" s="1">
        <v>45827</v>
      </c>
      <c r="F594" s="2">
        <v>45419</v>
      </c>
      <c r="G594" t="s">
        <v>1757</v>
      </c>
      <c r="H594" t="s">
        <v>18</v>
      </c>
      <c r="I594" t="s">
        <v>1758</v>
      </c>
      <c r="J594" t="s">
        <v>20</v>
      </c>
    </row>
    <row r="595" spans="1:10" x14ac:dyDescent="0.2">
      <c r="A595">
        <v>1082</v>
      </c>
      <c r="B595" t="s">
        <v>1759</v>
      </c>
      <c r="C595">
        <v>57</v>
      </c>
      <c r="D595">
        <v>0</v>
      </c>
      <c r="E595" s="1">
        <v>45965</v>
      </c>
      <c r="F595" s="1">
        <v>45737</v>
      </c>
      <c r="G595" t="s">
        <v>1760</v>
      </c>
      <c r="H595" t="s">
        <v>13</v>
      </c>
      <c r="I595" t="s">
        <v>1761</v>
      </c>
      <c r="J595">
        <v>0</v>
      </c>
    </row>
    <row r="596" spans="1:10" x14ac:dyDescent="0.2">
      <c r="A596">
        <v>1084</v>
      </c>
      <c r="B596" t="s">
        <v>1762</v>
      </c>
      <c r="C596">
        <v>71</v>
      </c>
      <c r="D596" t="s">
        <v>22</v>
      </c>
      <c r="E596" s="2">
        <v>45767</v>
      </c>
      <c r="F596" s="2">
        <v>45504</v>
      </c>
      <c r="G596" t="s">
        <v>1763</v>
      </c>
      <c r="H596" t="s">
        <v>13</v>
      </c>
      <c r="I596" t="s">
        <v>1764</v>
      </c>
      <c r="J596" t="s">
        <v>60</v>
      </c>
    </row>
    <row r="597" spans="1:10" x14ac:dyDescent="0.2">
      <c r="A597">
        <v>1089</v>
      </c>
      <c r="B597" t="s">
        <v>1765</v>
      </c>
      <c r="C597">
        <v>68</v>
      </c>
      <c r="D597" t="s">
        <v>11</v>
      </c>
      <c r="E597" s="1">
        <v>45750</v>
      </c>
      <c r="F597" s="1">
        <v>45510</v>
      </c>
      <c r="G597" t="s">
        <v>1766</v>
      </c>
      <c r="H597" t="s">
        <v>18</v>
      </c>
      <c r="I597" t="s">
        <v>1767</v>
      </c>
      <c r="J597">
        <v>0</v>
      </c>
    </row>
    <row r="598" spans="1:10" x14ac:dyDescent="0.2">
      <c r="A598">
        <v>1031</v>
      </c>
      <c r="B598" t="s">
        <v>692</v>
      </c>
      <c r="C598">
        <v>44</v>
      </c>
      <c r="D598" t="s">
        <v>22</v>
      </c>
      <c r="E598" s="2">
        <v>46041</v>
      </c>
      <c r="F598" s="2">
        <v>45457</v>
      </c>
      <c r="G598" t="s">
        <v>1768</v>
      </c>
      <c r="H598" t="s">
        <v>18</v>
      </c>
      <c r="I598" t="s">
        <v>1769</v>
      </c>
      <c r="J598" t="s">
        <v>60</v>
      </c>
    </row>
    <row r="599" spans="1:10" x14ac:dyDescent="0.2">
      <c r="A599">
        <v>1053</v>
      </c>
      <c r="B599" t="s">
        <v>1770</v>
      </c>
      <c r="C599">
        <v>70</v>
      </c>
      <c r="D599" t="s">
        <v>51</v>
      </c>
      <c r="E599" s="2">
        <v>46012</v>
      </c>
      <c r="F599" s="1">
        <v>45876</v>
      </c>
      <c r="G599" t="s">
        <v>1771</v>
      </c>
      <c r="H599" t="s">
        <v>24</v>
      </c>
      <c r="I599" t="s">
        <v>1772</v>
      </c>
      <c r="J599" t="s">
        <v>30</v>
      </c>
    </row>
    <row r="600" spans="1:10" x14ac:dyDescent="0.2">
      <c r="A600">
        <v>1048</v>
      </c>
      <c r="B600" t="s">
        <v>1773</v>
      </c>
      <c r="C600">
        <v>67</v>
      </c>
      <c r="D600" t="s">
        <v>51</v>
      </c>
      <c r="E600" s="1">
        <v>45841</v>
      </c>
      <c r="F600" s="1">
        <v>45503</v>
      </c>
      <c r="G600" t="s">
        <v>1774</v>
      </c>
      <c r="H600" t="s">
        <v>24</v>
      </c>
      <c r="J600" t="s">
        <v>36</v>
      </c>
    </row>
    <row r="601" spans="1:10" x14ac:dyDescent="0.2">
      <c r="A601">
        <v>1075</v>
      </c>
      <c r="B601" t="s">
        <v>1775</v>
      </c>
      <c r="C601">
        <v>67</v>
      </c>
      <c r="D601" t="s">
        <v>11</v>
      </c>
      <c r="E601" s="1">
        <v>45820</v>
      </c>
      <c r="F601" s="2">
        <v>45795</v>
      </c>
      <c r="G601" t="s">
        <v>1776</v>
      </c>
      <c r="H601" t="s">
        <v>24</v>
      </c>
      <c r="I601" t="s">
        <v>1777</v>
      </c>
      <c r="J601" t="s">
        <v>30</v>
      </c>
    </row>
    <row r="602" spans="1:10" x14ac:dyDescent="0.2">
      <c r="A602">
        <v>1033</v>
      </c>
      <c r="B602" t="s">
        <v>1778</v>
      </c>
      <c r="C602">
        <v>38</v>
      </c>
      <c r="D602">
        <v>0</v>
      </c>
      <c r="E602" s="1">
        <v>45796</v>
      </c>
      <c r="F602" s="1">
        <v>45493</v>
      </c>
      <c r="G602" t="s">
        <v>1779</v>
      </c>
      <c r="H602" t="s">
        <v>18</v>
      </c>
      <c r="I602" t="s">
        <v>1780</v>
      </c>
      <c r="J602">
        <v>0</v>
      </c>
    </row>
    <row r="603" spans="1:10" x14ac:dyDescent="0.2">
      <c r="A603">
        <v>1054</v>
      </c>
      <c r="B603" t="s">
        <v>1781</v>
      </c>
      <c r="C603">
        <v>82</v>
      </c>
      <c r="D603" t="s">
        <v>71</v>
      </c>
      <c r="E603" s="1">
        <v>45824</v>
      </c>
      <c r="F603" s="2">
        <v>45383</v>
      </c>
      <c r="G603" t="s">
        <v>1782</v>
      </c>
      <c r="H603" t="s">
        <v>28</v>
      </c>
      <c r="I603" t="s">
        <v>1783</v>
      </c>
      <c r="J603" t="s">
        <v>36</v>
      </c>
    </row>
    <row r="604" spans="1:10" x14ac:dyDescent="0.2">
      <c r="A604">
        <v>1020</v>
      </c>
      <c r="B604" t="s">
        <v>1784</v>
      </c>
      <c r="C604">
        <v>53</v>
      </c>
      <c r="D604" t="s">
        <v>71</v>
      </c>
      <c r="E604" s="1">
        <v>45862</v>
      </c>
      <c r="F604" s="1">
        <v>45691</v>
      </c>
      <c r="G604" t="s">
        <v>1785</v>
      </c>
      <c r="H604" t="s">
        <v>24</v>
      </c>
      <c r="I604" t="s">
        <v>1786</v>
      </c>
      <c r="J604" t="s">
        <v>20</v>
      </c>
    </row>
    <row r="605" spans="1:10" x14ac:dyDescent="0.2">
      <c r="A605">
        <v>1006</v>
      </c>
      <c r="B605" t="s">
        <v>1787</v>
      </c>
      <c r="C605">
        <v>33</v>
      </c>
      <c r="D605">
        <v>0</v>
      </c>
      <c r="E605" s="2">
        <v>45780</v>
      </c>
      <c r="F605" s="1">
        <v>45619</v>
      </c>
      <c r="G605" t="s">
        <v>1788</v>
      </c>
      <c r="H605" t="s">
        <v>18</v>
      </c>
      <c r="I605" t="s">
        <v>1789</v>
      </c>
      <c r="J605">
        <v>0</v>
      </c>
    </row>
    <row r="606" spans="1:10" x14ac:dyDescent="0.2">
      <c r="A606">
        <v>1100</v>
      </c>
      <c r="B606" t="s">
        <v>1790</v>
      </c>
      <c r="C606">
        <v>60</v>
      </c>
      <c r="D606" t="s">
        <v>71</v>
      </c>
      <c r="E606" s="1">
        <v>46068</v>
      </c>
      <c r="F606" s="2">
        <v>45396</v>
      </c>
      <c r="G606" t="s">
        <v>1791</v>
      </c>
      <c r="H606" t="s">
        <v>24</v>
      </c>
      <c r="I606" t="s">
        <v>1792</v>
      </c>
      <c r="J606" t="s">
        <v>20</v>
      </c>
    </row>
    <row r="607" spans="1:10" x14ac:dyDescent="0.2">
      <c r="A607">
        <v>1061</v>
      </c>
      <c r="B607" t="s">
        <v>1793</v>
      </c>
      <c r="C607">
        <v>65</v>
      </c>
      <c r="D607" t="s">
        <v>71</v>
      </c>
      <c r="E607" s="1">
        <v>45970</v>
      </c>
      <c r="F607" s="1">
        <v>45612</v>
      </c>
      <c r="G607" t="s">
        <v>1794</v>
      </c>
      <c r="H607" t="s">
        <v>24</v>
      </c>
      <c r="I607" t="s">
        <v>1795</v>
      </c>
      <c r="J607" t="s">
        <v>60</v>
      </c>
    </row>
    <row r="608" spans="1:10" x14ac:dyDescent="0.2">
      <c r="A608">
        <v>1040</v>
      </c>
      <c r="B608" t="s">
        <v>1580</v>
      </c>
      <c r="C608">
        <v>49</v>
      </c>
      <c r="D608" t="s">
        <v>16</v>
      </c>
      <c r="E608" s="1">
        <v>45829</v>
      </c>
      <c r="F608" s="2">
        <v>45573</v>
      </c>
      <c r="G608" t="s">
        <v>1796</v>
      </c>
      <c r="H608" t="s">
        <v>28</v>
      </c>
      <c r="I608" t="s">
        <v>1797</v>
      </c>
      <c r="J608" t="s">
        <v>60</v>
      </c>
    </row>
    <row r="609" spans="1:10" x14ac:dyDescent="0.2">
      <c r="A609">
        <v>1010</v>
      </c>
      <c r="B609" t="s">
        <v>1798</v>
      </c>
      <c r="C609">
        <v>23</v>
      </c>
      <c r="D609" t="s">
        <v>38</v>
      </c>
      <c r="E609" s="2">
        <v>45759</v>
      </c>
      <c r="F609" s="1">
        <v>45548</v>
      </c>
      <c r="G609" t="s">
        <v>1799</v>
      </c>
      <c r="H609" t="s">
        <v>13</v>
      </c>
      <c r="I609" t="s">
        <v>1800</v>
      </c>
      <c r="J609">
        <v>0</v>
      </c>
    </row>
    <row r="610" spans="1:10" x14ac:dyDescent="0.2">
      <c r="A610">
        <v>1030</v>
      </c>
      <c r="B610" t="s">
        <v>1801</v>
      </c>
      <c r="C610">
        <v>69</v>
      </c>
      <c r="D610" t="s">
        <v>71</v>
      </c>
      <c r="E610" s="1">
        <v>46024</v>
      </c>
      <c r="F610" s="2">
        <v>45558</v>
      </c>
      <c r="G610" t="s">
        <v>1802</v>
      </c>
      <c r="H610" t="s">
        <v>24</v>
      </c>
      <c r="I610" t="s">
        <v>1803</v>
      </c>
      <c r="J610" t="s">
        <v>20</v>
      </c>
    </row>
    <row r="611" spans="1:10" x14ac:dyDescent="0.2">
      <c r="A611">
        <v>1093</v>
      </c>
      <c r="B611" t="s">
        <v>1804</v>
      </c>
      <c r="C611">
        <v>72</v>
      </c>
      <c r="D611" t="s">
        <v>71</v>
      </c>
      <c r="E611" s="1">
        <v>45828</v>
      </c>
      <c r="F611" s="2">
        <v>45553</v>
      </c>
      <c r="G611" t="s">
        <v>1805</v>
      </c>
      <c r="H611" t="s">
        <v>28</v>
      </c>
      <c r="I611" t="s">
        <v>1806</v>
      </c>
      <c r="J611" t="s">
        <v>20</v>
      </c>
    </row>
    <row r="612" spans="1:10" x14ac:dyDescent="0.2">
      <c r="A612">
        <v>1008</v>
      </c>
      <c r="B612" t="s">
        <v>1807</v>
      </c>
      <c r="C612">
        <v>82</v>
      </c>
      <c r="D612" t="s">
        <v>51</v>
      </c>
      <c r="E612" s="1">
        <v>46084</v>
      </c>
      <c r="F612" s="1">
        <v>45599</v>
      </c>
      <c r="G612" t="s">
        <v>1808</v>
      </c>
      <c r="H612" t="s">
        <v>13</v>
      </c>
      <c r="I612" t="s">
        <v>1809</v>
      </c>
      <c r="J612">
        <v>0</v>
      </c>
    </row>
    <row r="613" spans="1:10" x14ac:dyDescent="0.2">
      <c r="A613">
        <v>1087</v>
      </c>
      <c r="B613" t="s">
        <v>1810</v>
      </c>
      <c r="C613">
        <v>69</v>
      </c>
      <c r="D613" t="s">
        <v>38</v>
      </c>
      <c r="E613" s="2">
        <v>45932</v>
      </c>
      <c r="F613" s="1">
        <v>45711</v>
      </c>
      <c r="G613" t="s">
        <v>1811</v>
      </c>
      <c r="H613" t="s">
        <v>13</v>
      </c>
      <c r="I613" t="s">
        <v>1812</v>
      </c>
      <c r="J613" t="s">
        <v>20</v>
      </c>
    </row>
    <row r="614" spans="1:10" x14ac:dyDescent="0.2">
      <c r="A614">
        <v>1008</v>
      </c>
      <c r="B614" t="s">
        <v>1813</v>
      </c>
      <c r="C614">
        <v>30</v>
      </c>
      <c r="D614" t="s">
        <v>22</v>
      </c>
      <c r="E614" s="1">
        <v>46074</v>
      </c>
      <c r="F614" s="1">
        <v>45800</v>
      </c>
      <c r="G614" t="s">
        <v>1814</v>
      </c>
      <c r="H614" t="s">
        <v>13</v>
      </c>
      <c r="I614" t="s">
        <v>1815</v>
      </c>
      <c r="J614" t="s">
        <v>20</v>
      </c>
    </row>
    <row r="615" spans="1:10" x14ac:dyDescent="0.2">
      <c r="A615">
        <v>1090</v>
      </c>
      <c r="B615" t="s">
        <v>1816</v>
      </c>
      <c r="C615">
        <v>30</v>
      </c>
      <c r="D615" t="s">
        <v>11</v>
      </c>
      <c r="E615" s="1">
        <v>45801</v>
      </c>
      <c r="F615" s="1">
        <v>45478</v>
      </c>
      <c r="G615" t="s">
        <v>1817</v>
      </c>
      <c r="H615" t="s">
        <v>24</v>
      </c>
      <c r="I615" t="s">
        <v>1818</v>
      </c>
      <c r="J615">
        <v>1</v>
      </c>
    </row>
    <row r="616" spans="1:10" x14ac:dyDescent="0.2">
      <c r="A616">
        <v>1047</v>
      </c>
      <c r="B616" t="s">
        <v>1819</v>
      </c>
      <c r="C616">
        <v>39</v>
      </c>
      <c r="D616">
        <v>1</v>
      </c>
      <c r="E616" s="1">
        <v>46107</v>
      </c>
      <c r="F616" s="1">
        <v>45893</v>
      </c>
      <c r="G616" t="s">
        <v>1820</v>
      </c>
      <c r="H616" t="s">
        <v>24</v>
      </c>
      <c r="I616" t="s">
        <v>1821</v>
      </c>
      <c r="J616" t="s">
        <v>30</v>
      </c>
    </row>
    <row r="617" spans="1:10" x14ac:dyDescent="0.2">
      <c r="A617">
        <v>1077</v>
      </c>
      <c r="B617" t="s">
        <v>1822</v>
      </c>
      <c r="C617">
        <v>78</v>
      </c>
      <c r="D617">
        <v>0</v>
      </c>
      <c r="E617" s="2">
        <v>46010</v>
      </c>
      <c r="F617" s="2">
        <v>45915</v>
      </c>
      <c r="G617" t="s">
        <v>1823</v>
      </c>
      <c r="H617" t="s">
        <v>18</v>
      </c>
      <c r="I617" t="s">
        <v>1824</v>
      </c>
      <c r="J617">
        <v>1</v>
      </c>
    </row>
    <row r="618" spans="1:10" x14ac:dyDescent="0.2">
      <c r="A618">
        <v>1055</v>
      </c>
      <c r="B618" t="s">
        <v>1825</v>
      </c>
      <c r="C618">
        <v>70</v>
      </c>
      <c r="D618" t="s">
        <v>38</v>
      </c>
      <c r="E618" s="1">
        <v>45895</v>
      </c>
      <c r="F618" s="1">
        <v>45645</v>
      </c>
      <c r="G618" t="s">
        <v>1826</v>
      </c>
      <c r="H618" t="s">
        <v>18</v>
      </c>
      <c r="I618" t="s">
        <v>1827</v>
      </c>
      <c r="J618">
        <v>0</v>
      </c>
    </row>
    <row r="619" spans="1:10" x14ac:dyDescent="0.2">
      <c r="A619">
        <v>1073</v>
      </c>
      <c r="B619" t="s">
        <v>1828</v>
      </c>
      <c r="C619">
        <v>50</v>
      </c>
      <c r="E619" s="1">
        <v>46041</v>
      </c>
      <c r="F619" s="1">
        <v>45383</v>
      </c>
      <c r="G619" t="s">
        <v>1829</v>
      </c>
      <c r="H619" t="s">
        <v>24</v>
      </c>
      <c r="I619" t="s">
        <v>1830</v>
      </c>
      <c r="J619">
        <v>0</v>
      </c>
    </row>
    <row r="620" spans="1:10" x14ac:dyDescent="0.2">
      <c r="A620">
        <v>1016</v>
      </c>
      <c r="B620" t="s">
        <v>1831</v>
      </c>
      <c r="C620">
        <v>40</v>
      </c>
      <c r="E620" s="2">
        <v>45807</v>
      </c>
      <c r="F620" s="1">
        <v>45800</v>
      </c>
      <c r="G620" t="s">
        <v>1832</v>
      </c>
      <c r="H620" t="s">
        <v>18</v>
      </c>
      <c r="I620" t="s">
        <v>1833</v>
      </c>
      <c r="J620">
        <v>1</v>
      </c>
    </row>
    <row r="621" spans="1:10" x14ac:dyDescent="0.2">
      <c r="A621">
        <v>1018</v>
      </c>
      <c r="B621" t="s">
        <v>1834</v>
      </c>
      <c r="C621">
        <v>56</v>
      </c>
      <c r="D621" t="s">
        <v>11</v>
      </c>
      <c r="E621" s="1">
        <v>46081</v>
      </c>
      <c r="F621" s="2">
        <v>45696</v>
      </c>
      <c r="G621" t="s">
        <v>1835</v>
      </c>
      <c r="H621" t="s">
        <v>13</v>
      </c>
      <c r="I621" t="s">
        <v>1836</v>
      </c>
      <c r="J621">
        <v>1</v>
      </c>
    </row>
    <row r="622" spans="1:10" x14ac:dyDescent="0.2">
      <c r="A622">
        <v>1035</v>
      </c>
      <c r="B622" t="s">
        <v>1837</v>
      </c>
      <c r="C622">
        <v>90</v>
      </c>
      <c r="D622">
        <v>0</v>
      </c>
      <c r="E622" s="2">
        <v>45876</v>
      </c>
      <c r="F622" s="2">
        <v>45649</v>
      </c>
      <c r="G622" t="s">
        <v>1838</v>
      </c>
      <c r="H622" t="s">
        <v>24</v>
      </c>
      <c r="I622" t="s">
        <v>1839</v>
      </c>
      <c r="J622">
        <v>0</v>
      </c>
    </row>
    <row r="623" spans="1:10" x14ac:dyDescent="0.2">
      <c r="A623">
        <v>1032</v>
      </c>
      <c r="B623" t="s">
        <v>1840</v>
      </c>
      <c r="C623">
        <v>89</v>
      </c>
      <c r="D623" t="s">
        <v>71</v>
      </c>
      <c r="E623" s="2">
        <v>46071</v>
      </c>
      <c r="F623" s="2">
        <v>45599</v>
      </c>
      <c r="G623" t="s">
        <v>1841</v>
      </c>
      <c r="H623" t="s">
        <v>18</v>
      </c>
      <c r="I623" t="s">
        <v>1842</v>
      </c>
      <c r="J623" t="s">
        <v>60</v>
      </c>
    </row>
    <row r="624" spans="1:10" x14ac:dyDescent="0.2">
      <c r="A624">
        <v>1024</v>
      </c>
      <c r="B624" t="s">
        <v>1843</v>
      </c>
      <c r="C624">
        <v>20</v>
      </c>
      <c r="D624" t="s">
        <v>22</v>
      </c>
      <c r="E624" s="2">
        <v>45977</v>
      </c>
      <c r="F624" s="2">
        <v>45615</v>
      </c>
      <c r="G624" t="s">
        <v>1844</v>
      </c>
      <c r="H624" t="s">
        <v>28</v>
      </c>
      <c r="I624" t="s">
        <v>1845</v>
      </c>
      <c r="J624" t="s">
        <v>60</v>
      </c>
    </row>
    <row r="625" spans="1:10" x14ac:dyDescent="0.2">
      <c r="A625">
        <v>1044</v>
      </c>
      <c r="B625" t="s">
        <v>1846</v>
      </c>
      <c r="C625">
        <v>25</v>
      </c>
      <c r="D625" t="s">
        <v>16</v>
      </c>
      <c r="E625" s="2">
        <v>46089</v>
      </c>
      <c r="F625" s="2">
        <v>45972</v>
      </c>
      <c r="G625" t="s">
        <v>1847</v>
      </c>
      <c r="H625" t="s">
        <v>28</v>
      </c>
      <c r="I625" t="s">
        <v>1848</v>
      </c>
      <c r="J625" t="s">
        <v>20</v>
      </c>
    </row>
    <row r="626" spans="1:10" x14ac:dyDescent="0.2">
      <c r="A626">
        <v>1085</v>
      </c>
      <c r="B626" t="s">
        <v>1849</v>
      </c>
      <c r="C626">
        <v>67</v>
      </c>
      <c r="D626" t="s">
        <v>38</v>
      </c>
      <c r="E626" s="2">
        <v>45797</v>
      </c>
      <c r="F626" s="2">
        <v>45736</v>
      </c>
      <c r="G626" t="s">
        <v>1850</v>
      </c>
      <c r="H626" t="s">
        <v>18</v>
      </c>
      <c r="I626" t="s">
        <v>1851</v>
      </c>
      <c r="J626" t="s">
        <v>60</v>
      </c>
    </row>
    <row r="627" spans="1:10" x14ac:dyDescent="0.2">
      <c r="A627">
        <v>1089</v>
      </c>
      <c r="B627" t="s">
        <v>1852</v>
      </c>
      <c r="C627">
        <v>75</v>
      </c>
      <c r="D627" t="s">
        <v>11</v>
      </c>
      <c r="E627" s="1">
        <v>45991</v>
      </c>
      <c r="F627" s="2">
        <v>45813</v>
      </c>
      <c r="G627" t="s">
        <v>1853</v>
      </c>
      <c r="H627" t="s">
        <v>13</v>
      </c>
      <c r="I627" t="s">
        <v>1854</v>
      </c>
      <c r="J627" t="s">
        <v>36</v>
      </c>
    </row>
    <row r="628" spans="1:10" x14ac:dyDescent="0.2">
      <c r="A628">
        <v>1064</v>
      </c>
      <c r="B628" t="s">
        <v>1855</v>
      </c>
      <c r="C628">
        <v>54</v>
      </c>
      <c r="D628">
        <v>1</v>
      </c>
      <c r="E628" s="1">
        <v>45849</v>
      </c>
      <c r="F628" s="1">
        <v>45468</v>
      </c>
      <c r="G628" t="s">
        <v>1856</v>
      </c>
      <c r="H628" t="s">
        <v>13</v>
      </c>
      <c r="I628" t="s">
        <v>1857</v>
      </c>
      <c r="J628" t="s">
        <v>20</v>
      </c>
    </row>
    <row r="629" spans="1:10" x14ac:dyDescent="0.2">
      <c r="A629">
        <v>1077</v>
      </c>
      <c r="B629" t="s">
        <v>1858</v>
      </c>
      <c r="C629">
        <v>57</v>
      </c>
      <c r="D629" t="s">
        <v>16</v>
      </c>
      <c r="E629" s="1">
        <v>45995</v>
      </c>
      <c r="F629" s="2">
        <v>45577</v>
      </c>
      <c r="G629" t="s">
        <v>1859</v>
      </c>
      <c r="H629" t="s">
        <v>24</v>
      </c>
      <c r="I629" t="s">
        <v>1860</v>
      </c>
      <c r="J629" t="s">
        <v>60</v>
      </c>
    </row>
    <row r="630" spans="1:10" x14ac:dyDescent="0.2">
      <c r="A630">
        <v>1092</v>
      </c>
      <c r="B630" t="s">
        <v>1861</v>
      </c>
      <c r="C630">
        <v>89</v>
      </c>
      <c r="D630" t="s">
        <v>16</v>
      </c>
      <c r="E630" s="1">
        <v>45840</v>
      </c>
      <c r="F630" s="2">
        <v>45755</v>
      </c>
      <c r="G630" t="s">
        <v>1862</v>
      </c>
      <c r="H630" t="s">
        <v>28</v>
      </c>
      <c r="I630" t="s">
        <v>1863</v>
      </c>
      <c r="J630" t="s">
        <v>30</v>
      </c>
    </row>
    <row r="631" spans="1:10" x14ac:dyDescent="0.2">
      <c r="A631">
        <v>1084</v>
      </c>
      <c r="B631" t="s">
        <v>1864</v>
      </c>
      <c r="C631">
        <v>42</v>
      </c>
      <c r="D631" t="s">
        <v>38</v>
      </c>
      <c r="E631" s="1">
        <v>45796</v>
      </c>
      <c r="F631" s="1">
        <v>45603</v>
      </c>
      <c r="G631" t="s">
        <v>1865</v>
      </c>
      <c r="H631" t="s">
        <v>28</v>
      </c>
      <c r="I631" t="s">
        <v>1866</v>
      </c>
      <c r="J631">
        <v>0</v>
      </c>
    </row>
    <row r="632" spans="1:10" x14ac:dyDescent="0.2">
      <c r="A632">
        <v>1044</v>
      </c>
      <c r="B632" t="s">
        <v>1867</v>
      </c>
      <c r="C632">
        <v>79</v>
      </c>
      <c r="D632">
        <v>0</v>
      </c>
      <c r="E632" s="2">
        <v>46014</v>
      </c>
      <c r="F632" s="2">
        <v>45707</v>
      </c>
      <c r="G632" t="s">
        <v>1868</v>
      </c>
      <c r="H632" t="s">
        <v>28</v>
      </c>
      <c r="I632" t="s">
        <v>1869</v>
      </c>
      <c r="J632">
        <v>1</v>
      </c>
    </row>
    <row r="633" spans="1:10" x14ac:dyDescent="0.2">
      <c r="A633">
        <v>1080</v>
      </c>
      <c r="B633" t="s">
        <v>1870</v>
      </c>
      <c r="C633">
        <v>80</v>
      </c>
      <c r="D633" t="s">
        <v>22</v>
      </c>
      <c r="E633" s="1">
        <v>46026</v>
      </c>
      <c r="F633" s="2">
        <v>45948</v>
      </c>
      <c r="G633" t="s">
        <v>1871</v>
      </c>
      <c r="H633" t="s">
        <v>28</v>
      </c>
      <c r="I633" t="s">
        <v>1872</v>
      </c>
      <c r="J633" t="s">
        <v>60</v>
      </c>
    </row>
    <row r="634" spans="1:10" x14ac:dyDescent="0.2">
      <c r="A634">
        <v>1097</v>
      </c>
      <c r="B634" t="s">
        <v>1873</v>
      </c>
      <c r="C634">
        <v>86</v>
      </c>
      <c r="E634" s="1">
        <v>45778</v>
      </c>
      <c r="F634" s="2">
        <v>45523</v>
      </c>
      <c r="G634" t="s">
        <v>1874</v>
      </c>
      <c r="H634" t="s">
        <v>13</v>
      </c>
      <c r="I634" t="s">
        <v>1875</v>
      </c>
      <c r="J634" t="s">
        <v>36</v>
      </c>
    </row>
    <row r="635" spans="1:10" x14ac:dyDescent="0.2">
      <c r="A635">
        <v>1035</v>
      </c>
      <c r="B635" t="s">
        <v>1876</v>
      </c>
      <c r="C635">
        <v>75</v>
      </c>
      <c r="D635" t="s">
        <v>51</v>
      </c>
      <c r="E635" s="1">
        <v>45982</v>
      </c>
      <c r="F635" s="2">
        <v>45659</v>
      </c>
      <c r="G635" t="s">
        <v>1877</v>
      </c>
      <c r="H635" t="s">
        <v>28</v>
      </c>
      <c r="I635" t="s">
        <v>1878</v>
      </c>
      <c r="J635" t="s">
        <v>36</v>
      </c>
    </row>
    <row r="636" spans="1:10" x14ac:dyDescent="0.2">
      <c r="A636">
        <v>1069</v>
      </c>
      <c r="B636" t="s">
        <v>1879</v>
      </c>
      <c r="C636">
        <v>23</v>
      </c>
      <c r="D636">
        <v>0</v>
      </c>
      <c r="E636" s="2">
        <v>45944</v>
      </c>
      <c r="F636" s="1">
        <v>45696</v>
      </c>
      <c r="G636" t="s">
        <v>1880</v>
      </c>
      <c r="H636" t="s">
        <v>24</v>
      </c>
      <c r="I636" t="s">
        <v>1881</v>
      </c>
      <c r="J636">
        <v>1</v>
      </c>
    </row>
    <row r="637" spans="1:10" x14ac:dyDescent="0.2">
      <c r="A637">
        <v>1016</v>
      </c>
      <c r="B637" t="s">
        <v>1882</v>
      </c>
      <c r="C637">
        <v>46</v>
      </c>
      <c r="D637" t="s">
        <v>22</v>
      </c>
      <c r="E637" s="1">
        <v>45826</v>
      </c>
      <c r="F637" s="2">
        <v>45584</v>
      </c>
      <c r="G637" t="s">
        <v>1883</v>
      </c>
      <c r="H637" t="s">
        <v>18</v>
      </c>
      <c r="I637" t="s">
        <v>1884</v>
      </c>
      <c r="J637">
        <v>1</v>
      </c>
    </row>
    <row r="638" spans="1:10" x14ac:dyDescent="0.2">
      <c r="A638">
        <v>1098</v>
      </c>
      <c r="B638" t="s">
        <v>1885</v>
      </c>
      <c r="C638">
        <v>29</v>
      </c>
      <c r="D638" t="s">
        <v>16</v>
      </c>
      <c r="E638" s="2">
        <v>45970</v>
      </c>
      <c r="F638" s="1">
        <v>45854</v>
      </c>
      <c r="G638" t="s">
        <v>1886</v>
      </c>
      <c r="H638" t="s">
        <v>13</v>
      </c>
      <c r="I638" t="s">
        <v>1887</v>
      </c>
      <c r="J638">
        <v>0</v>
      </c>
    </row>
    <row r="639" spans="1:10" x14ac:dyDescent="0.2">
      <c r="A639">
        <v>1012</v>
      </c>
      <c r="B639" t="s">
        <v>1888</v>
      </c>
      <c r="C639">
        <v>38</v>
      </c>
      <c r="D639" t="s">
        <v>22</v>
      </c>
      <c r="E639" s="2">
        <v>46054</v>
      </c>
      <c r="F639" s="2">
        <v>45398</v>
      </c>
      <c r="G639" t="s">
        <v>1889</v>
      </c>
      <c r="H639" t="s">
        <v>18</v>
      </c>
      <c r="I639" t="s">
        <v>1890</v>
      </c>
      <c r="J639" t="s">
        <v>60</v>
      </c>
    </row>
    <row r="640" spans="1:10" x14ac:dyDescent="0.2">
      <c r="A640">
        <v>1100</v>
      </c>
      <c r="B640" t="s">
        <v>1891</v>
      </c>
      <c r="C640">
        <v>60</v>
      </c>
      <c r="D640" t="s">
        <v>11</v>
      </c>
      <c r="E640" s="2">
        <v>45907</v>
      </c>
      <c r="F640" s="2">
        <v>45395</v>
      </c>
      <c r="G640" t="s">
        <v>1892</v>
      </c>
      <c r="H640" t="s">
        <v>18</v>
      </c>
      <c r="I640" t="s">
        <v>1893</v>
      </c>
      <c r="J640" t="s">
        <v>36</v>
      </c>
    </row>
    <row r="641" spans="1:10" x14ac:dyDescent="0.2">
      <c r="A641">
        <v>1021</v>
      </c>
      <c r="B641" t="s">
        <v>1894</v>
      </c>
      <c r="C641">
        <v>37</v>
      </c>
      <c r="D641">
        <v>0</v>
      </c>
      <c r="E641" s="1">
        <v>45918</v>
      </c>
      <c r="F641" s="1">
        <v>45613</v>
      </c>
      <c r="G641" t="s">
        <v>1895</v>
      </c>
      <c r="H641" t="s">
        <v>13</v>
      </c>
      <c r="I641" t="s">
        <v>1896</v>
      </c>
      <c r="J641" t="s">
        <v>30</v>
      </c>
    </row>
    <row r="642" spans="1:10" x14ac:dyDescent="0.2">
      <c r="A642">
        <v>1078</v>
      </c>
      <c r="B642" t="s">
        <v>1897</v>
      </c>
      <c r="C642">
        <v>82</v>
      </c>
      <c r="D642">
        <v>1</v>
      </c>
      <c r="E642" s="1">
        <v>46046</v>
      </c>
      <c r="F642" s="2">
        <v>45568</v>
      </c>
      <c r="G642" t="s">
        <v>1898</v>
      </c>
      <c r="H642" t="s">
        <v>18</v>
      </c>
      <c r="I642" t="s">
        <v>1899</v>
      </c>
      <c r="J642">
        <v>0</v>
      </c>
    </row>
    <row r="643" spans="1:10" x14ac:dyDescent="0.2">
      <c r="A643">
        <v>1094</v>
      </c>
      <c r="B643" t="s">
        <v>1900</v>
      </c>
      <c r="C643">
        <v>60</v>
      </c>
      <c r="D643">
        <v>1</v>
      </c>
      <c r="E643" s="2">
        <v>45888</v>
      </c>
      <c r="F643" s="1">
        <v>45680</v>
      </c>
      <c r="G643" t="s">
        <v>1901</v>
      </c>
      <c r="H643" t="s">
        <v>24</v>
      </c>
      <c r="I643" t="s">
        <v>1902</v>
      </c>
      <c r="J643" t="s">
        <v>20</v>
      </c>
    </row>
    <row r="644" spans="1:10" x14ac:dyDescent="0.2">
      <c r="A644">
        <v>1022</v>
      </c>
      <c r="B644" t="s">
        <v>1903</v>
      </c>
      <c r="C644">
        <v>83</v>
      </c>
      <c r="D644" t="s">
        <v>71</v>
      </c>
      <c r="E644" s="1">
        <v>45915</v>
      </c>
      <c r="F644" s="1">
        <v>45649</v>
      </c>
      <c r="G644" t="s">
        <v>1904</v>
      </c>
      <c r="H644" t="s">
        <v>18</v>
      </c>
      <c r="I644" t="s">
        <v>1905</v>
      </c>
      <c r="J644" t="s">
        <v>30</v>
      </c>
    </row>
    <row r="645" spans="1:10" x14ac:dyDescent="0.2">
      <c r="A645">
        <v>1056</v>
      </c>
      <c r="B645" t="s">
        <v>1906</v>
      </c>
      <c r="C645">
        <v>82</v>
      </c>
      <c r="D645" t="s">
        <v>22</v>
      </c>
      <c r="E645" s="1">
        <v>46026</v>
      </c>
      <c r="F645" s="2">
        <v>45763</v>
      </c>
      <c r="G645" t="s">
        <v>1907</v>
      </c>
      <c r="H645" t="s">
        <v>24</v>
      </c>
      <c r="I645" t="s">
        <v>1908</v>
      </c>
      <c r="J645">
        <v>0</v>
      </c>
    </row>
    <row r="646" spans="1:10" x14ac:dyDescent="0.2">
      <c r="A646">
        <v>1066</v>
      </c>
      <c r="B646" t="s">
        <v>1909</v>
      </c>
      <c r="C646">
        <v>76</v>
      </c>
      <c r="D646" t="s">
        <v>51</v>
      </c>
      <c r="E646" s="2">
        <v>45961</v>
      </c>
      <c r="F646" s="2">
        <v>45470</v>
      </c>
      <c r="G646" t="s">
        <v>1910</v>
      </c>
      <c r="H646" t="s">
        <v>28</v>
      </c>
      <c r="I646" t="s">
        <v>1911</v>
      </c>
      <c r="J646">
        <v>1</v>
      </c>
    </row>
    <row r="647" spans="1:10" x14ac:dyDescent="0.2">
      <c r="A647">
        <v>1088</v>
      </c>
      <c r="B647" t="s">
        <v>1912</v>
      </c>
      <c r="C647">
        <v>79</v>
      </c>
      <c r="D647">
        <v>0</v>
      </c>
      <c r="E647" s="1">
        <v>45982</v>
      </c>
      <c r="F647" s="2">
        <v>45911</v>
      </c>
      <c r="G647" t="s">
        <v>1913</v>
      </c>
      <c r="H647" t="s">
        <v>18</v>
      </c>
      <c r="I647" t="s">
        <v>1914</v>
      </c>
      <c r="J647" t="s">
        <v>30</v>
      </c>
    </row>
    <row r="648" spans="1:10" x14ac:dyDescent="0.2">
      <c r="A648">
        <v>1001</v>
      </c>
      <c r="B648" t="s">
        <v>1915</v>
      </c>
      <c r="C648">
        <v>27</v>
      </c>
      <c r="D648" t="s">
        <v>11</v>
      </c>
      <c r="E648" s="1">
        <v>45887</v>
      </c>
      <c r="F648" s="1">
        <v>45800</v>
      </c>
      <c r="G648" t="s">
        <v>1916</v>
      </c>
      <c r="H648" t="s">
        <v>24</v>
      </c>
      <c r="I648" t="s">
        <v>1917</v>
      </c>
      <c r="J648">
        <v>0</v>
      </c>
    </row>
    <row r="649" spans="1:10" x14ac:dyDescent="0.2">
      <c r="A649">
        <v>1076</v>
      </c>
      <c r="B649" t="s">
        <v>1918</v>
      </c>
      <c r="C649">
        <v>19</v>
      </c>
      <c r="D649">
        <v>0</v>
      </c>
      <c r="E649" s="1">
        <v>46075</v>
      </c>
      <c r="F649" s="1">
        <v>45820</v>
      </c>
      <c r="G649" t="s">
        <v>1919</v>
      </c>
      <c r="H649" t="s">
        <v>18</v>
      </c>
      <c r="I649" t="s">
        <v>1920</v>
      </c>
      <c r="J649" t="s">
        <v>20</v>
      </c>
    </row>
    <row r="650" spans="1:10" x14ac:dyDescent="0.2">
      <c r="A650">
        <v>1019</v>
      </c>
      <c r="B650" t="s">
        <v>1921</v>
      </c>
      <c r="C650">
        <v>41</v>
      </c>
      <c r="D650" t="s">
        <v>51</v>
      </c>
      <c r="E650" s="2">
        <v>45961</v>
      </c>
      <c r="F650" s="1">
        <v>45483</v>
      </c>
      <c r="G650" t="s">
        <v>1922</v>
      </c>
      <c r="H650" t="s">
        <v>24</v>
      </c>
      <c r="I650" t="s">
        <v>1923</v>
      </c>
      <c r="J650">
        <v>0</v>
      </c>
    </row>
    <row r="651" spans="1:10" x14ac:dyDescent="0.2">
      <c r="A651">
        <v>1005</v>
      </c>
      <c r="B651" t="s">
        <v>1924</v>
      </c>
      <c r="C651">
        <v>55</v>
      </c>
      <c r="D651" t="s">
        <v>16</v>
      </c>
      <c r="E651" s="2">
        <v>45876</v>
      </c>
      <c r="F651" s="1">
        <v>45388</v>
      </c>
      <c r="G651" t="s">
        <v>1925</v>
      </c>
      <c r="H651" t="s">
        <v>13</v>
      </c>
      <c r="I651" t="s">
        <v>1926</v>
      </c>
      <c r="J651">
        <v>0</v>
      </c>
    </row>
    <row r="652" spans="1:10" x14ac:dyDescent="0.2">
      <c r="A652">
        <v>1030</v>
      </c>
      <c r="B652" t="s">
        <v>1927</v>
      </c>
      <c r="C652">
        <v>59</v>
      </c>
      <c r="D652" t="s">
        <v>71</v>
      </c>
      <c r="E652" s="1">
        <v>45991</v>
      </c>
      <c r="F652" s="2">
        <v>45870</v>
      </c>
      <c r="G652" t="s">
        <v>1928</v>
      </c>
      <c r="H652" t="s">
        <v>18</v>
      </c>
      <c r="I652" t="s">
        <v>1929</v>
      </c>
      <c r="J652">
        <v>1</v>
      </c>
    </row>
    <row r="653" spans="1:10" x14ac:dyDescent="0.2">
      <c r="A653">
        <v>1088</v>
      </c>
      <c r="B653" t="s">
        <v>1930</v>
      </c>
      <c r="C653">
        <v>55</v>
      </c>
      <c r="D653" t="s">
        <v>16</v>
      </c>
      <c r="E653" s="1">
        <v>45983</v>
      </c>
      <c r="F653" s="2">
        <v>45544</v>
      </c>
      <c r="G653" t="s">
        <v>1931</v>
      </c>
      <c r="H653" t="s">
        <v>18</v>
      </c>
      <c r="I653" t="s">
        <v>1932</v>
      </c>
      <c r="J653">
        <v>0</v>
      </c>
    </row>
    <row r="654" spans="1:10" x14ac:dyDescent="0.2">
      <c r="A654">
        <v>1018</v>
      </c>
      <c r="B654" t="s">
        <v>1933</v>
      </c>
      <c r="C654">
        <v>68</v>
      </c>
      <c r="D654" t="s">
        <v>71</v>
      </c>
      <c r="E654" s="2">
        <v>45769</v>
      </c>
      <c r="F654" s="2">
        <v>45750</v>
      </c>
      <c r="G654" t="s">
        <v>1934</v>
      </c>
      <c r="H654" t="s">
        <v>24</v>
      </c>
      <c r="I654" t="s">
        <v>1935</v>
      </c>
      <c r="J654">
        <v>0</v>
      </c>
    </row>
    <row r="655" spans="1:10" x14ac:dyDescent="0.2">
      <c r="A655">
        <v>1092</v>
      </c>
      <c r="B655" t="s">
        <v>1936</v>
      </c>
      <c r="C655">
        <v>68</v>
      </c>
      <c r="D655" t="s">
        <v>11</v>
      </c>
      <c r="E655" s="1">
        <v>45831</v>
      </c>
      <c r="F655" s="1">
        <v>45589</v>
      </c>
      <c r="G655" t="s">
        <v>1937</v>
      </c>
      <c r="H655" t="s">
        <v>13</v>
      </c>
      <c r="I655" t="s">
        <v>1938</v>
      </c>
      <c r="J655" t="s">
        <v>60</v>
      </c>
    </row>
    <row r="656" spans="1:10" x14ac:dyDescent="0.2">
      <c r="A656">
        <v>1030</v>
      </c>
      <c r="B656" t="s">
        <v>1939</v>
      </c>
      <c r="C656">
        <v>39</v>
      </c>
      <c r="D656" t="s">
        <v>51</v>
      </c>
      <c r="E656" s="1">
        <v>45979</v>
      </c>
      <c r="F656" s="2">
        <v>45965</v>
      </c>
      <c r="G656" t="s">
        <v>1940</v>
      </c>
      <c r="H656" t="s">
        <v>24</v>
      </c>
      <c r="I656" t="s">
        <v>1941</v>
      </c>
      <c r="J656">
        <v>0</v>
      </c>
    </row>
    <row r="657" spans="1:10" x14ac:dyDescent="0.2">
      <c r="A657">
        <v>1089</v>
      </c>
      <c r="B657" t="s">
        <v>1942</v>
      </c>
      <c r="C657">
        <v>63</v>
      </c>
      <c r="D657" t="s">
        <v>22</v>
      </c>
      <c r="E657" s="2">
        <v>45970</v>
      </c>
      <c r="F657" s="2">
        <v>45634</v>
      </c>
      <c r="G657" t="s">
        <v>1943</v>
      </c>
      <c r="H657" t="s">
        <v>24</v>
      </c>
      <c r="I657" t="s">
        <v>1944</v>
      </c>
      <c r="J657">
        <v>1</v>
      </c>
    </row>
    <row r="658" spans="1:10" x14ac:dyDescent="0.2">
      <c r="A658">
        <v>1043</v>
      </c>
      <c r="B658" t="s">
        <v>1945</v>
      </c>
      <c r="C658">
        <v>82</v>
      </c>
      <c r="D658">
        <v>0</v>
      </c>
      <c r="E658" s="2">
        <v>45800</v>
      </c>
      <c r="F658" s="1">
        <v>45583</v>
      </c>
      <c r="G658" t="s">
        <v>1946</v>
      </c>
      <c r="H658" t="s">
        <v>13</v>
      </c>
      <c r="I658" t="s">
        <v>1947</v>
      </c>
      <c r="J658" t="s">
        <v>60</v>
      </c>
    </row>
    <row r="659" spans="1:10" x14ac:dyDescent="0.2">
      <c r="A659">
        <v>1021</v>
      </c>
      <c r="B659" t="s">
        <v>1948</v>
      </c>
      <c r="C659">
        <v>25</v>
      </c>
      <c r="D659" t="s">
        <v>11</v>
      </c>
      <c r="E659" s="2">
        <v>45931</v>
      </c>
      <c r="F659" s="1">
        <v>45536</v>
      </c>
      <c r="G659" t="s">
        <v>1949</v>
      </c>
      <c r="H659" t="s">
        <v>13</v>
      </c>
      <c r="I659" t="s">
        <v>1950</v>
      </c>
      <c r="J659" t="s">
        <v>20</v>
      </c>
    </row>
    <row r="660" spans="1:10" x14ac:dyDescent="0.2">
      <c r="A660">
        <v>1086</v>
      </c>
      <c r="B660" t="s">
        <v>1951</v>
      </c>
      <c r="C660">
        <v>80</v>
      </c>
      <c r="D660">
        <v>0</v>
      </c>
      <c r="E660" s="1">
        <v>45985</v>
      </c>
      <c r="F660" s="2">
        <v>45655</v>
      </c>
      <c r="G660" t="s">
        <v>1952</v>
      </c>
      <c r="H660" t="s">
        <v>13</v>
      </c>
      <c r="I660" t="s">
        <v>1953</v>
      </c>
      <c r="J660">
        <v>1</v>
      </c>
    </row>
    <row r="661" spans="1:10" x14ac:dyDescent="0.2">
      <c r="A661">
        <v>1016</v>
      </c>
      <c r="B661" t="s">
        <v>1954</v>
      </c>
      <c r="C661">
        <v>53</v>
      </c>
      <c r="D661" t="s">
        <v>11</v>
      </c>
      <c r="E661" s="1">
        <v>45806</v>
      </c>
      <c r="F661" s="2">
        <v>45710</v>
      </c>
      <c r="G661" t="s">
        <v>1955</v>
      </c>
      <c r="H661" t="s">
        <v>18</v>
      </c>
      <c r="I661" t="s">
        <v>1956</v>
      </c>
      <c r="J661" t="s">
        <v>36</v>
      </c>
    </row>
    <row r="662" spans="1:10" x14ac:dyDescent="0.2">
      <c r="A662">
        <v>1050</v>
      </c>
      <c r="B662" t="s">
        <v>1957</v>
      </c>
      <c r="C662">
        <v>83</v>
      </c>
      <c r="D662" t="s">
        <v>22</v>
      </c>
      <c r="E662" s="2">
        <v>45911</v>
      </c>
      <c r="F662" s="2">
        <v>45538</v>
      </c>
      <c r="G662" t="s">
        <v>1958</v>
      </c>
      <c r="H662" t="s">
        <v>24</v>
      </c>
      <c r="I662" t="s">
        <v>1959</v>
      </c>
      <c r="J662" t="s">
        <v>60</v>
      </c>
    </row>
    <row r="663" spans="1:10" x14ac:dyDescent="0.2">
      <c r="A663">
        <v>1079</v>
      </c>
      <c r="B663" t="s">
        <v>1960</v>
      </c>
      <c r="C663">
        <v>85</v>
      </c>
      <c r="D663" t="s">
        <v>38</v>
      </c>
      <c r="E663" s="2">
        <v>46101</v>
      </c>
      <c r="F663" s="2">
        <v>45938</v>
      </c>
      <c r="G663" t="s">
        <v>1961</v>
      </c>
      <c r="H663" t="s">
        <v>18</v>
      </c>
      <c r="I663" t="s">
        <v>1962</v>
      </c>
      <c r="J663" t="s">
        <v>60</v>
      </c>
    </row>
    <row r="664" spans="1:10" x14ac:dyDescent="0.2">
      <c r="A664">
        <v>1027</v>
      </c>
      <c r="B664" t="s">
        <v>1963</v>
      </c>
      <c r="C664">
        <v>26</v>
      </c>
      <c r="D664">
        <v>1</v>
      </c>
      <c r="E664" s="1">
        <v>46104</v>
      </c>
      <c r="F664" s="2">
        <v>45668</v>
      </c>
      <c r="G664" t="s">
        <v>1964</v>
      </c>
      <c r="H664" t="s">
        <v>18</v>
      </c>
      <c r="I664" t="s">
        <v>1965</v>
      </c>
      <c r="J664" t="s">
        <v>60</v>
      </c>
    </row>
    <row r="665" spans="1:10" x14ac:dyDescent="0.2">
      <c r="A665">
        <v>1070</v>
      </c>
      <c r="B665" t="s">
        <v>1966</v>
      </c>
      <c r="C665">
        <v>30</v>
      </c>
      <c r="D665" t="s">
        <v>16</v>
      </c>
      <c r="E665" s="2">
        <v>45992</v>
      </c>
      <c r="F665" s="2">
        <v>45489</v>
      </c>
      <c r="G665" t="s">
        <v>1967</v>
      </c>
      <c r="H665" t="s">
        <v>18</v>
      </c>
      <c r="I665" t="s">
        <v>1968</v>
      </c>
      <c r="J665" t="s">
        <v>30</v>
      </c>
    </row>
    <row r="666" spans="1:10" x14ac:dyDescent="0.2">
      <c r="A666">
        <v>1013</v>
      </c>
      <c r="B666" t="s">
        <v>1969</v>
      </c>
      <c r="C666">
        <v>21</v>
      </c>
      <c r="D666" t="s">
        <v>38</v>
      </c>
      <c r="E666" s="1">
        <v>46077</v>
      </c>
      <c r="F666" s="1">
        <v>45812</v>
      </c>
      <c r="G666" t="s">
        <v>1970</v>
      </c>
      <c r="H666" t="s">
        <v>24</v>
      </c>
      <c r="J666" t="s">
        <v>36</v>
      </c>
    </row>
    <row r="667" spans="1:10" x14ac:dyDescent="0.2">
      <c r="A667">
        <v>1027</v>
      </c>
      <c r="B667" t="s">
        <v>1971</v>
      </c>
      <c r="C667">
        <v>27</v>
      </c>
      <c r="D667" t="s">
        <v>11</v>
      </c>
      <c r="E667" s="1">
        <v>45842</v>
      </c>
      <c r="F667" s="2">
        <v>45733</v>
      </c>
      <c r="G667" t="s">
        <v>1972</v>
      </c>
      <c r="H667" t="s">
        <v>18</v>
      </c>
      <c r="I667" t="s">
        <v>1973</v>
      </c>
      <c r="J667">
        <v>1</v>
      </c>
    </row>
    <row r="668" spans="1:10" x14ac:dyDescent="0.2">
      <c r="A668">
        <v>1087</v>
      </c>
      <c r="B668" t="s">
        <v>1974</v>
      </c>
      <c r="C668">
        <v>28</v>
      </c>
      <c r="D668">
        <v>0</v>
      </c>
      <c r="E668" s="2">
        <v>46104</v>
      </c>
      <c r="F668" s="1">
        <v>45383</v>
      </c>
      <c r="G668" t="s">
        <v>1975</v>
      </c>
      <c r="H668" t="s">
        <v>13</v>
      </c>
      <c r="I668" t="s">
        <v>1976</v>
      </c>
      <c r="J668">
        <v>1</v>
      </c>
    </row>
    <row r="669" spans="1:10" x14ac:dyDescent="0.2">
      <c r="A669">
        <v>1081</v>
      </c>
      <c r="B669" t="s">
        <v>1977</v>
      </c>
      <c r="C669">
        <v>32</v>
      </c>
      <c r="D669" t="s">
        <v>16</v>
      </c>
      <c r="E669" s="2">
        <v>45844</v>
      </c>
      <c r="F669" s="2">
        <v>45757</v>
      </c>
      <c r="G669" t="s">
        <v>1978</v>
      </c>
      <c r="H669" t="s">
        <v>24</v>
      </c>
      <c r="I669" t="s">
        <v>1979</v>
      </c>
      <c r="J669" t="s">
        <v>20</v>
      </c>
    </row>
    <row r="670" spans="1:10" x14ac:dyDescent="0.2">
      <c r="A670">
        <v>1053</v>
      </c>
      <c r="B670" t="s">
        <v>1980</v>
      </c>
      <c r="C670">
        <v>87</v>
      </c>
      <c r="D670" t="s">
        <v>51</v>
      </c>
      <c r="E670" s="1">
        <v>46060</v>
      </c>
      <c r="F670" s="2">
        <v>45484</v>
      </c>
      <c r="G670" t="s">
        <v>1981</v>
      </c>
      <c r="H670" t="s">
        <v>18</v>
      </c>
      <c r="I670" t="s">
        <v>1982</v>
      </c>
      <c r="J670" t="s">
        <v>20</v>
      </c>
    </row>
    <row r="671" spans="1:10" x14ac:dyDescent="0.2">
      <c r="A671">
        <v>1051</v>
      </c>
      <c r="B671" t="s">
        <v>1983</v>
      </c>
      <c r="C671">
        <v>72</v>
      </c>
      <c r="D671" t="s">
        <v>38</v>
      </c>
      <c r="E671" s="2">
        <v>46086</v>
      </c>
      <c r="F671" s="1">
        <v>45742</v>
      </c>
      <c r="G671" t="s">
        <v>1984</v>
      </c>
      <c r="H671" t="s">
        <v>28</v>
      </c>
      <c r="I671" t="s">
        <v>1985</v>
      </c>
      <c r="J671" t="s">
        <v>36</v>
      </c>
    </row>
    <row r="672" spans="1:10" x14ac:dyDescent="0.2">
      <c r="A672">
        <v>1098</v>
      </c>
      <c r="B672" t="s">
        <v>1986</v>
      </c>
      <c r="C672">
        <v>59</v>
      </c>
      <c r="D672">
        <v>1</v>
      </c>
      <c r="E672" s="1">
        <v>45940</v>
      </c>
      <c r="F672" s="2">
        <v>45522</v>
      </c>
      <c r="G672" t="s">
        <v>1987</v>
      </c>
      <c r="H672" t="s">
        <v>28</v>
      </c>
      <c r="I672" t="s">
        <v>1988</v>
      </c>
      <c r="J672" t="s">
        <v>60</v>
      </c>
    </row>
    <row r="673" spans="1:10" x14ac:dyDescent="0.2">
      <c r="A673">
        <v>1009</v>
      </c>
      <c r="B673" t="s">
        <v>1989</v>
      </c>
      <c r="C673">
        <v>64</v>
      </c>
      <c r="D673" t="s">
        <v>22</v>
      </c>
      <c r="E673" s="2">
        <v>45869</v>
      </c>
      <c r="F673" s="2">
        <v>45527</v>
      </c>
      <c r="G673" t="s">
        <v>1990</v>
      </c>
      <c r="H673" t="s">
        <v>24</v>
      </c>
      <c r="I673" t="s">
        <v>1991</v>
      </c>
      <c r="J673" t="s">
        <v>20</v>
      </c>
    </row>
    <row r="674" spans="1:10" x14ac:dyDescent="0.2">
      <c r="A674">
        <v>1021</v>
      </c>
      <c r="B674" t="s">
        <v>1992</v>
      </c>
      <c r="C674">
        <v>28</v>
      </c>
      <c r="D674" t="s">
        <v>38</v>
      </c>
      <c r="E674" s="1">
        <v>45884</v>
      </c>
      <c r="F674" s="1">
        <v>45613</v>
      </c>
      <c r="G674" t="s">
        <v>1993</v>
      </c>
      <c r="H674" t="s">
        <v>13</v>
      </c>
      <c r="I674" t="s">
        <v>1994</v>
      </c>
      <c r="J674" t="s">
        <v>36</v>
      </c>
    </row>
    <row r="675" spans="1:10" x14ac:dyDescent="0.2">
      <c r="A675">
        <v>1046</v>
      </c>
      <c r="B675" t="s">
        <v>1995</v>
      </c>
      <c r="C675">
        <v>68</v>
      </c>
      <c r="D675" t="s">
        <v>51</v>
      </c>
      <c r="E675" s="1">
        <v>46097</v>
      </c>
      <c r="F675" s="2">
        <v>45418</v>
      </c>
      <c r="G675" t="s">
        <v>1996</v>
      </c>
      <c r="H675" t="s">
        <v>18</v>
      </c>
      <c r="I675" t="s">
        <v>1997</v>
      </c>
      <c r="J675" t="s">
        <v>20</v>
      </c>
    </row>
    <row r="676" spans="1:10" x14ac:dyDescent="0.2">
      <c r="A676">
        <v>1044</v>
      </c>
      <c r="B676" t="s">
        <v>1998</v>
      </c>
      <c r="C676">
        <v>67</v>
      </c>
      <c r="D676" t="s">
        <v>51</v>
      </c>
      <c r="E676" s="1">
        <v>45759</v>
      </c>
      <c r="F676" s="1">
        <v>45486</v>
      </c>
      <c r="G676" t="s">
        <v>1999</v>
      </c>
      <c r="H676" t="s">
        <v>24</v>
      </c>
      <c r="I676" t="s">
        <v>2000</v>
      </c>
      <c r="J676" t="s">
        <v>60</v>
      </c>
    </row>
    <row r="677" spans="1:10" x14ac:dyDescent="0.2">
      <c r="A677">
        <v>1058</v>
      </c>
      <c r="B677" t="s">
        <v>2001</v>
      </c>
      <c r="C677">
        <v>37</v>
      </c>
      <c r="D677">
        <v>1</v>
      </c>
      <c r="E677" s="2">
        <v>46057</v>
      </c>
      <c r="F677" s="2">
        <v>45971</v>
      </c>
      <c r="G677" t="s">
        <v>2002</v>
      </c>
      <c r="H677" t="s">
        <v>18</v>
      </c>
      <c r="I677" t="s">
        <v>2003</v>
      </c>
      <c r="J677" t="s">
        <v>20</v>
      </c>
    </row>
    <row r="678" spans="1:10" x14ac:dyDescent="0.2">
      <c r="A678">
        <v>1004</v>
      </c>
      <c r="B678" t="s">
        <v>2004</v>
      </c>
      <c r="C678">
        <v>53</v>
      </c>
      <c r="E678" s="2">
        <v>45878</v>
      </c>
      <c r="F678" s="1">
        <v>45479</v>
      </c>
      <c r="G678" t="s">
        <v>2005</v>
      </c>
      <c r="H678" t="s">
        <v>24</v>
      </c>
      <c r="I678" t="s">
        <v>2006</v>
      </c>
      <c r="J678" t="s">
        <v>36</v>
      </c>
    </row>
    <row r="679" spans="1:10" x14ac:dyDescent="0.2">
      <c r="A679">
        <v>1088</v>
      </c>
      <c r="B679" t="s">
        <v>2007</v>
      </c>
      <c r="C679">
        <v>21</v>
      </c>
      <c r="D679" t="s">
        <v>22</v>
      </c>
      <c r="E679" s="2">
        <v>45973</v>
      </c>
      <c r="F679" s="1">
        <v>45769</v>
      </c>
      <c r="G679" t="s">
        <v>2008</v>
      </c>
      <c r="H679" t="s">
        <v>24</v>
      </c>
      <c r="I679" t="s">
        <v>2009</v>
      </c>
      <c r="J679">
        <v>0</v>
      </c>
    </row>
    <row r="680" spans="1:10" x14ac:dyDescent="0.2">
      <c r="A680">
        <v>1035</v>
      </c>
      <c r="B680" t="s">
        <v>2010</v>
      </c>
      <c r="C680">
        <v>53</v>
      </c>
      <c r="D680" t="s">
        <v>22</v>
      </c>
      <c r="E680" s="2">
        <v>46048</v>
      </c>
      <c r="F680" s="1">
        <v>45562</v>
      </c>
      <c r="G680" t="s">
        <v>2011</v>
      </c>
      <c r="H680" t="s">
        <v>24</v>
      </c>
      <c r="I680" t="s">
        <v>2012</v>
      </c>
      <c r="J680">
        <v>1</v>
      </c>
    </row>
    <row r="681" spans="1:10" x14ac:dyDescent="0.2">
      <c r="A681">
        <v>1025</v>
      </c>
      <c r="B681" t="s">
        <v>2013</v>
      </c>
      <c r="C681">
        <v>69</v>
      </c>
      <c r="D681" t="s">
        <v>71</v>
      </c>
      <c r="E681" s="2">
        <v>45753</v>
      </c>
      <c r="F681" s="1">
        <v>45501</v>
      </c>
      <c r="G681" t="s">
        <v>2014</v>
      </c>
      <c r="H681" t="s">
        <v>18</v>
      </c>
      <c r="I681" t="s">
        <v>2015</v>
      </c>
      <c r="J681">
        <v>0</v>
      </c>
    </row>
    <row r="682" spans="1:10" x14ac:dyDescent="0.2">
      <c r="A682">
        <v>1068</v>
      </c>
      <c r="B682" t="s">
        <v>2016</v>
      </c>
      <c r="C682">
        <v>25</v>
      </c>
      <c r="D682" t="s">
        <v>16</v>
      </c>
      <c r="E682" s="1">
        <v>46064</v>
      </c>
      <c r="F682" s="2">
        <v>45828</v>
      </c>
      <c r="G682" t="s">
        <v>2017</v>
      </c>
      <c r="H682" t="s">
        <v>24</v>
      </c>
      <c r="I682" t="s">
        <v>2018</v>
      </c>
      <c r="J682">
        <v>0</v>
      </c>
    </row>
    <row r="683" spans="1:10" x14ac:dyDescent="0.2">
      <c r="A683">
        <v>1014</v>
      </c>
      <c r="B683" t="s">
        <v>2019</v>
      </c>
      <c r="C683">
        <v>61</v>
      </c>
      <c r="E683" s="1">
        <v>45852</v>
      </c>
      <c r="F683" s="2">
        <v>45648</v>
      </c>
      <c r="G683" t="s">
        <v>2020</v>
      </c>
      <c r="H683" t="s">
        <v>13</v>
      </c>
      <c r="I683" t="s">
        <v>2021</v>
      </c>
      <c r="J683">
        <v>1</v>
      </c>
    </row>
    <row r="684" spans="1:10" x14ac:dyDescent="0.2">
      <c r="A684">
        <v>1059</v>
      </c>
      <c r="B684" t="s">
        <v>2022</v>
      </c>
      <c r="C684">
        <v>23</v>
      </c>
      <c r="D684" t="s">
        <v>71</v>
      </c>
      <c r="E684" s="2">
        <v>45910</v>
      </c>
      <c r="F684" s="1">
        <v>45405</v>
      </c>
      <c r="G684" t="s">
        <v>2023</v>
      </c>
      <c r="H684" t="s">
        <v>28</v>
      </c>
      <c r="I684" t="s">
        <v>2024</v>
      </c>
      <c r="J684" t="s">
        <v>20</v>
      </c>
    </row>
    <row r="685" spans="1:10" x14ac:dyDescent="0.2">
      <c r="A685">
        <v>1021</v>
      </c>
      <c r="B685" t="s">
        <v>2025</v>
      </c>
      <c r="C685">
        <v>61</v>
      </c>
      <c r="D685" t="s">
        <v>16</v>
      </c>
      <c r="E685" s="2">
        <v>46085</v>
      </c>
      <c r="F685" s="2">
        <v>45879</v>
      </c>
      <c r="G685" t="s">
        <v>2026</v>
      </c>
      <c r="H685" t="s">
        <v>24</v>
      </c>
      <c r="I685" t="s">
        <v>2027</v>
      </c>
      <c r="J685" t="s">
        <v>36</v>
      </c>
    </row>
    <row r="686" spans="1:10" x14ac:dyDescent="0.2">
      <c r="A686">
        <v>1029</v>
      </c>
      <c r="B686" t="s">
        <v>2028</v>
      </c>
      <c r="C686">
        <v>69</v>
      </c>
      <c r="D686" t="s">
        <v>51</v>
      </c>
      <c r="E686" s="2">
        <v>45804</v>
      </c>
      <c r="F686" s="1">
        <v>45767</v>
      </c>
      <c r="G686" t="s">
        <v>2029</v>
      </c>
      <c r="H686" t="s">
        <v>18</v>
      </c>
      <c r="I686" t="s">
        <v>2030</v>
      </c>
      <c r="J686" t="s">
        <v>60</v>
      </c>
    </row>
    <row r="687" spans="1:10" x14ac:dyDescent="0.2">
      <c r="A687">
        <v>1005</v>
      </c>
      <c r="B687" t="s">
        <v>2031</v>
      </c>
      <c r="C687">
        <v>23</v>
      </c>
      <c r="D687">
        <v>0</v>
      </c>
      <c r="E687" s="1">
        <v>46015</v>
      </c>
      <c r="F687" s="1">
        <v>45662</v>
      </c>
      <c r="G687" t="s">
        <v>2032</v>
      </c>
      <c r="H687" t="s">
        <v>18</v>
      </c>
      <c r="I687" t="s">
        <v>2033</v>
      </c>
      <c r="J687" t="s">
        <v>60</v>
      </c>
    </row>
    <row r="688" spans="1:10" x14ac:dyDescent="0.2">
      <c r="A688">
        <v>1094</v>
      </c>
      <c r="B688" t="s">
        <v>2034</v>
      </c>
      <c r="C688">
        <v>59</v>
      </c>
      <c r="D688">
        <v>0</v>
      </c>
      <c r="E688" s="2">
        <v>45816</v>
      </c>
      <c r="F688" s="1">
        <v>45652</v>
      </c>
      <c r="G688" t="s">
        <v>2035</v>
      </c>
      <c r="H688" t="s">
        <v>18</v>
      </c>
      <c r="I688" t="s">
        <v>2036</v>
      </c>
      <c r="J688" t="s">
        <v>20</v>
      </c>
    </row>
    <row r="689" spans="1:10" x14ac:dyDescent="0.2">
      <c r="A689">
        <v>1065</v>
      </c>
      <c r="B689" t="s">
        <v>2037</v>
      </c>
      <c r="C689">
        <v>80</v>
      </c>
      <c r="D689" t="s">
        <v>16</v>
      </c>
      <c r="E689" s="1">
        <v>45788</v>
      </c>
      <c r="F689" s="1">
        <v>45587</v>
      </c>
      <c r="G689" t="s">
        <v>2038</v>
      </c>
      <c r="H689" t="s">
        <v>13</v>
      </c>
      <c r="I689" t="s">
        <v>2039</v>
      </c>
      <c r="J689">
        <v>0</v>
      </c>
    </row>
    <row r="690" spans="1:10" x14ac:dyDescent="0.2">
      <c r="A690">
        <v>1058</v>
      </c>
      <c r="B690" t="s">
        <v>2040</v>
      </c>
      <c r="C690">
        <v>27</v>
      </c>
      <c r="D690" t="s">
        <v>71</v>
      </c>
      <c r="E690" s="2">
        <v>45863</v>
      </c>
      <c r="F690" s="1">
        <v>45532</v>
      </c>
      <c r="G690" t="s">
        <v>2041</v>
      </c>
      <c r="H690" t="s">
        <v>18</v>
      </c>
      <c r="I690" t="s">
        <v>2042</v>
      </c>
      <c r="J690" t="s">
        <v>30</v>
      </c>
    </row>
    <row r="691" spans="1:10" x14ac:dyDescent="0.2">
      <c r="A691">
        <v>1076</v>
      </c>
      <c r="B691" t="s">
        <v>2043</v>
      </c>
      <c r="C691">
        <v>39</v>
      </c>
      <c r="D691" t="s">
        <v>11</v>
      </c>
      <c r="E691" s="2">
        <v>45807</v>
      </c>
      <c r="F691" s="2">
        <v>45783</v>
      </c>
      <c r="G691" t="s">
        <v>2044</v>
      </c>
      <c r="H691" t="s">
        <v>28</v>
      </c>
      <c r="I691" t="s">
        <v>2045</v>
      </c>
      <c r="J691" t="s">
        <v>36</v>
      </c>
    </row>
    <row r="692" spans="1:10" x14ac:dyDescent="0.2">
      <c r="A692">
        <v>1073</v>
      </c>
      <c r="B692" t="s">
        <v>2046</v>
      </c>
      <c r="C692">
        <v>52</v>
      </c>
      <c r="D692" t="s">
        <v>71</v>
      </c>
      <c r="E692" s="2">
        <v>45925</v>
      </c>
      <c r="F692" s="1">
        <v>45668</v>
      </c>
      <c r="G692" t="s">
        <v>2047</v>
      </c>
      <c r="H692" t="s">
        <v>13</v>
      </c>
      <c r="I692" t="s">
        <v>2048</v>
      </c>
      <c r="J692">
        <v>0</v>
      </c>
    </row>
    <row r="693" spans="1:10" x14ac:dyDescent="0.2">
      <c r="A693">
        <v>1054</v>
      </c>
      <c r="B693" t="s">
        <v>2049</v>
      </c>
      <c r="C693">
        <v>66</v>
      </c>
      <c r="D693" t="s">
        <v>71</v>
      </c>
      <c r="E693" s="1">
        <v>45755</v>
      </c>
      <c r="F693" s="1">
        <v>45659</v>
      </c>
      <c r="G693" t="s">
        <v>2050</v>
      </c>
      <c r="H693" t="s">
        <v>18</v>
      </c>
      <c r="I693" t="s">
        <v>2051</v>
      </c>
      <c r="J693">
        <v>1</v>
      </c>
    </row>
    <row r="694" spans="1:10" x14ac:dyDescent="0.2">
      <c r="A694">
        <v>1020</v>
      </c>
      <c r="B694" t="s">
        <v>2052</v>
      </c>
      <c r="C694">
        <v>52</v>
      </c>
      <c r="D694" t="s">
        <v>51</v>
      </c>
      <c r="E694" s="1">
        <v>46069</v>
      </c>
      <c r="F694" s="2">
        <v>45730</v>
      </c>
      <c r="G694" t="s">
        <v>2053</v>
      </c>
      <c r="H694" t="s">
        <v>28</v>
      </c>
      <c r="I694" t="s">
        <v>2054</v>
      </c>
      <c r="J694">
        <v>0</v>
      </c>
    </row>
    <row r="695" spans="1:10" x14ac:dyDescent="0.2">
      <c r="A695">
        <v>1087</v>
      </c>
      <c r="B695" t="s">
        <v>2055</v>
      </c>
      <c r="C695">
        <v>78</v>
      </c>
      <c r="D695" t="s">
        <v>71</v>
      </c>
      <c r="E695" s="2">
        <v>46044</v>
      </c>
      <c r="F695" s="1">
        <v>45815</v>
      </c>
      <c r="G695" t="s">
        <v>2056</v>
      </c>
      <c r="H695" t="s">
        <v>28</v>
      </c>
      <c r="I695" t="s">
        <v>2057</v>
      </c>
      <c r="J695" t="s">
        <v>30</v>
      </c>
    </row>
    <row r="696" spans="1:10" x14ac:dyDescent="0.2">
      <c r="A696">
        <v>1012</v>
      </c>
      <c r="B696" t="s">
        <v>2058</v>
      </c>
      <c r="C696">
        <v>45</v>
      </c>
      <c r="D696">
        <v>0</v>
      </c>
      <c r="E696" s="2">
        <v>45863</v>
      </c>
      <c r="F696" s="2">
        <v>45535</v>
      </c>
      <c r="G696" t="s">
        <v>2059</v>
      </c>
      <c r="H696" t="s">
        <v>18</v>
      </c>
      <c r="I696" t="s">
        <v>2060</v>
      </c>
      <c r="J696" t="s">
        <v>30</v>
      </c>
    </row>
    <row r="697" spans="1:10" x14ac:dyDescent="0.2">
      <c r="A697">
        <v>1085</v>
      </c>
      <c r="B697" t="s">
        <v>2061</v>
      </c>
      <c r="C697">
        <v>30</v>
      </c>
      <c r="D697" t="s">
        <v>71</v>
      </c>
      <c r="E697" s="2">
        <v>46014</v>
      </c>
      <c r="F697" s="1">
        <v>45455</v>
      </c>
      <c r="G697" t="s">
        <v>2062</v>
      </c>
      <c r="H697" t="s">
        <v>24</v>
      </c>
      <c r="I697" t="s">
        <v>2063</v>
      </c>
      <c r="J697">
        <v>1</v>
      </c>
    </row>
    <row r="698" spans="1:10" x14ac:dyDescent="0.2">
      <c r="A698">
        <v>1012</v>
      </c>
      <c r="B698" t="s">
        <v>2064</v>
      </c>
      <c r="C698">
        <v>30</v>
      </c>
      <c r="D698" t="s">
        <v>16</v>
      </c>
      <c r="E698" s="1">
        <v>45994</v>
      </c>
      <c r="F698" s="2">
        <v>45430</v>
      </c>
      <c r="G698" t="s">
        <v>2065</v>
      </c>
      <c r="H698" t="s">
        <v>24</v>
      </c>
      <c r="I698" t="s">
        <v>2066</v>
      </c>
      <c r="J698">
        <v>1</v>
      </c>
    </row>
    <row r="699" spans="1:10" x14ac:dyDescent="0.2">
      <c r="A699">
        <v>1063</v>
      </c>
      <c r="B699" t="s">
        <v>2067</v>
      </c>
      <c r="C699">
        <v>46</v>
      </c>
      <c r="D699" t="s">
        <v>22</v>
      </c>
      <c r="E699" s="2">
        <v>45948</v>
      </c>
      <c r="F699" s="2">
        <v>45568</v>
      </c>
      <c r="G699" t="s">
        <v>2068</v>
      </c>
      <c r="H699" t="s">
        <v>18</v>
      </c>
      <c r="I699" t="s">
        <v>2069</v>
      </c>
      <c r="J699" t="s">
        <v>60</v>
      </c>
    </row>
    <row r="700" spans="1:10" x14ac:dyDescent="0.2">
      <c r="A700">
        <v>1046</v>
      </c>
      <c r="B700" t="s">
        <v>1145</v>
      </c>
      <c r="C700">
        <v>28</v>
      </c>
      <c r="D700">
        <v>1</v>
      </c>
      <c r="E700" s="2">
        <v>45767</v>
      </c>
      <c r="F700" s="1">
        <v>45505</v>
      </c>
      <c r="G700" t="s">
        <v>2070</v>
      </c>
      <c r="H700" t="s">
        <v>18</v>
      </c>
      <c r="I700" t="s">
        <v>2071</v>
      </c>
      <c r="J700" t="s">
        <v>20</v>
      </c>
    </row>
    <row r="701" spans="1:10" x14ac:dyDescent="0.2">
      <c r="A701">
        <v>1031</v>
      </c>
      <c r="B701" t="s">
        <v>2072</v>
      </c>
      <c r="C701">
        <v>57</v>
      </c>
      <c r="D701">
        <v>0</v>
      </c>
      <c r="E701" s="1">
        <v>45808</v>
      </c>
      <c r="F701" s="1">
        <v>45702</v>
      </c>
      <c r="G701" t="s">
        <v>2073</v>
      </c>
      <c r="H701" t="s">
        <v>18</v>
      </c>
      <c r="I701" t="s">
        <v>2074</v>
      </c>
      <c r="J701" t="s">
        <v>30</v>
      </c>
    </row>
    <row r="702" spans="1:10" x14ac:dyDescent="0.2">
      <c r="A702">
        <v>1098</v>
      </c>
      <c r="B702" t="s">
        <v>2075</v>
      </c>
      <c r="C702">
        <v>27</v>
      </c>
      <c r="E702" s="1">
        <v>46063</v>
      </c>
      <c r="F702" s="1">
        <v>45837</v>
      </c>
      <c r="G702" t="s">
        <v>2076</v>
      </c>
      <c r="H702" t="s">
        <v>28</v>
      </c>
      <c r="I702" t="s">
        <v>2077</v>
      </c>
      <c r="J702" t="s">
        <v>60</v>
      </c>
    </row>
    <row r="703" spans="1:10" x14ac:dyDescent="0.2">
      <c r="A703">
        <v>1021</v>
      </c>
      <c r="B703" t="s">
        <v>2078</v>
      </c>
      <c r="C703">
        <v>63</v>
      </c>
      <c r="D703" t="s">
        <v>51</v>
      </c>
      <c r="E703" s="2">
        <v>45843</v>
      </c>
      <c r="F703" s="1">
        <v>45829</v>
      </c>
      <c r="G703" t="s">
        <v>2079</v>
      </c>
      <c r="H703" t="s">
        <v>24</v>
      </c>
      <c r="I703" t="s">
        <v>2080</v>
      </c>
      <c r="J703">
        <v>1</v>
      </c>
    </row>
    <row r="704" spans="1:10" x14ac:dyDescent="0.2">
      <c r="A704">
        <v>1085</v>
      </c>
      <c r="B704" t="s">
        <v>2081</v>
      </c>
      <c r="C704">
        <v>25</v>
      </c>
      <c r="D704" t="s">
        <v>16</v>
      </c>
      <c r="E704" s="2">
        <v>45943</v>
      </c>
      <c r="F704" s="2">
        <v>45729</v>
      </c>
      <c r="G704" t="s">
        <v>2082</v>
      </c>
      <c r="H704" t="s">
        <v>28</v>
      </c>
      <c r="I704" t="s">
        <v>2083</v>
      </c>
      <c r="J704" t="s">
        <v>36</v>
      </c>
    </row>
    <row r="705" spans="1:10" x14ac:dyDescent="0.2">
      <c r="A705">
        <v>1015</v>
      </c>
      <c r="B705" t="s">
        <v>2084</v>
      </c>
      <c r="C705">
        <v>84</v>
      </c>
      <c r="D705">
        <v>0</v>
      </c>
      <c r="E705" s="2">
        <v>46106</v>
      </c>
      <c r="F705" s="1">
        <v>45900</v>
      </c>
      <c r="G705" t="s">
        <v>2085</v>
      </c>
      <c r="H705" t="s">
        <v>13</v>
      </c>
      <c r="I705" t="s">
        <v>2086</v>
      </c>
      <c r="J705">
        <v>1</v>
      </c>
    </row>
    <row r="706" spans="1:10" x14ac:dyDescent="0.2">
      <c r="A706">
        <v>1015</v>
      </c>
      <c r="B706" t="s">
        <v>2087</v>
      </c>
      <c r="C706">
        <v>86</v>
      </c>
      <c r="E706" s="2">
        <v>45922</v>
      </c>
      <c r="F706" s="2">
        <v>45488</v>
      </c>
      <c r="G706" t="s">
        <v>2088</v>
      </c>
      <c r="H706" t="s">
        <v>18</v>
      </c>
      <c r="I706" t="s">
        <v>2089</v>
      </c>
      <c r="J706" t="s">
        <v>36</v>
      </c>
    </row>
    <row r="707" spans="1:10" x14ac:dyDescent="0.2">
      <c r="A707">
        <v>1008</v>
      </c>
      <c r="B707" t="s">
        <v>2090</v>
      </c>
      <c r="C707">
        <v>40</v>
      </c>
      <c r="D707">
        <v>0</v>
      </c>
      <c r="E707" s="1">
        <v>45960</v>
      </c>
      <c r="F707" s="2">
        <v>45504</v>
      </c>
      <c r="G707" t="s">
        <v>2091</v>
      </c>
      <c r="H707" t="s">
        <v>18</v>
      </c>
      <c r="I707" t="s">
        <v>2092</v>
      </c>
      <c r="J707" t="s">
        <v>60</v>
      </c>
    </row>
    <row r="708" spans="1:10" x14ac:dyDescent="0.2">
      <c r="A708">
        <v>1080</v>
      </c>
      <c r="B708" t="s">
        <v>2093</v>
      </c>
      <c r="C708">
        <v>78</v>
      </c>
      <c r="D708" t="s">
        <v>51</v>
      </c>
      <c r="E708" s="1">
        <v>46055</v>
      </c>
      <c r="F708" s="2">
        <v>45975</v>
      </c>
      <c r="G708" t="s">
        <v>2094</v>
      </c>
      <c r="H708" t="s">
        <v>13</v>
      </c>
      <c r="I708" t="s">
        <v>2095</v>
      </c>
      <c r="J708" t="s">
        <v>30</v>
      </c>
    </row>
    <row r="709" spans="1:10" x14ac:dyDescent="0.2">
      <c r="A709">
        <v>1067</v>
      </c>
      <c r="B709" t="s">
        <v>2096</v>
      </c>
      <c r="C709">
        <v>28</v>
      </c>
      <c r="D709" t="s">
        <v>71</v>
      </c>
      <c r="E709" s="2">
        <v>46029</v>
      </c>
      <c r="F709" s="2">
        <v>45892</v>
      </c>
      <c r="G709" t="s">
        <v>2097</v>
      </c>
      <c r="H709" t="s">
        <v>13</v>
      </c>
      <c r="I709" t="s">
        <v>2098</v>
      </c>
      <c r="J709" t="s">
        <v>20</v>
      </c>
    </row>
    <row r="710" spans="1:10" x14ac:dyDescent="0.2">
      <c r="A710">
        <v>1043</v>
      </c>
      <c r="B710" t="s">
        <v>2099</v>
      </c>
      <c r="C710">
        <v>80</v>
      </c>
      <c r="D710" t="s">
        <v>16</v>
      </c>
      <c r="E710" s="2">
        <v>45928</v>
      </c>
      <c r="F710" s="2">
        <v>45534</v>
      </c>
      <c r="G710" t="s">
        <v>2100</v>
      </c>
      <c r="H710" t="s">
        <v>24</v>
      </c>
      <c r="I710" t="s">
        <v>2101</v>
      </c>
      <c r="J710">
        <v>1</v>
      </c>
    </row>
    <row r="711" spans="1:10" x14ac:dyDescent="0.2">
      <c r="A711">
        <v>1058</v>
      </c>
      <c r="B711" t="s">
        <v>2102</v>
      </c>
      <c r="C711">
        <v>34</v>
      </c>
      <c r="D711" t="s">
        <v>71</v>
      </c>
      <c r="E711" s="2">
        <v>45770</v>
      </c>
      <c r="F711" s="1">
        <v>45634</v>
      </c>
      <c r="G711" t="s">
        <v>2103</v>
      </c>
      <c r="H711" t="s">
        <v>18</v>
      </c>
      <c r="J711">
        <v>1</v>
      </c>
    </row>
    <row r="712" spans="1:10" x14ac:dyDescent="0.2">
      <c r="A712">
        <v>1001</v>
      </c>
      <c r="B712" t="s">
        <v>2104</v>
      </c>
      <c r="C712">
        <v>35</v>
      </c>
      <c r="D712" t="s">
        <v>51</v>
      </c>
      <c r="E712" s="2">
        <v>45852</v>
      </c>
      <c r="F712" s="2">
        <v>45475</v>
      </c>
      <c r="G712" t="s">
        <v>2105</v>
      </c>
      <c r="H712" t="s">
        <v>18</v>
      </c>
      <c r="I712" t="s">
        <v>2106</v>
      </c>
      <c r="J712">
        <v>0</v>
      </c>
    </row>
    <row r="713" spans="1:10" x14ac:dyDescent="0.2">
      <c r="A713">
        <v>1012</v>
      </c>
      <c r="B713" t="s">
        <v>2107</v>
      </c>
      <c r="C713">
        <v>36</v>
      </c>
      <c r="D713">
        <v>1</v>
      </c>
      <c r="E713" s="1">
        <v>46106</v>
      </c>
      <c r="F713" s="1">
        <v>45415</v>
      </c>
      <c r="G713" t="s">
        <v>2108</v>
      </c>
      <c r="H713" t="s">
        <v>13</v>
      </c>
      <c r="I713" t="s">
        <v>2109</v>
      </c>
      <c r="J713" t="s">
        <v>60</v>
      </c>
    </row>
    <row r="714" spans="1:10" x14ac:dyDescent="0.2">
      <c r="A714">
        <v>1066</v>
      </c>
      <c r="B714" t="s">
        <v>2110</v>
      </c>
      <c r="C714">
        <v>65</v>
      </c>
      <c r="D714" t="s">
        <v>71</v>
      </c>
      <c r="E714" s="1">
        <v>45879</v>
      </c>
      <c r="F714" s="2">
        <v>45663</v>
      </c>
      <c r="G714" t="s">
        <v>2111</v>
      </c>
      <c r="H714" t="s">
        <v>18</v>
      </c>
      <c r="I714" t="s">
        <v>2112</v>
      </c>
      <c r="J714" t="s">
        <v>36</v>
      </c>
    </row>
    <row r="715" spans="1:10" x14ac:dyDescent="0.2">
      <c r="A715">
        <v>1015</v>
      </c>
      <c r="B715" t="s">
        <v>2113</v>
      </c>
      <c r="C715">
        <v>29</v>
      </c>
      <c r="D715" t="s">
        <v>51</v>
      </c>
      <c r="E715" s="1">
        <v>45819</v>
      </c>
      <c r="F715" s="2">
        <v>45475</v>
      </c>
      <c r="G715" t="s">
        <v>2114</v>
      </c>
      <c r="H715" t="s">
        <v>13</v>
      </c>
      <c r="I715" t="s">
        <v>2115</v>
      </c>
      <c r="J715" t="s">
        <v>20</v>
      </c>
    </row>
    <row r="716" spans="1:10" x14ac:dyDescent="0.2">
      <c r="A716">
        <v>1024</v>
      </c>
      <c r="B716" t="s">
        <v>2116</v>
      </c>
      <c r="C716">
        <v>22</v>
      </c>
      <c r="E716" s="1">
        <v>45848</v>
      </c>
      <c r="F716" s="1">
        <v>45489</v>
      </c>
      <c r="G716" t="s">
        <v>2117</v>
      </c>
      <c r="H716" t="s">
        <v>24</v>
      </c>
      <c r="I716" t="s">
        <v>2118</v>
      </c>
      <c r="J716">
        <v>0</v>
      </c>
    </row>
    <row r="717" spans="1:10" x14ac:dyDescent="0.2">
      <c r="A717">
        <v>1013</v>
      </c>
      <c r="B717" t="s">
        <v>2119</v>
      </c>
      <c r="C717">
        <v>69</v>
      </c>
      <c r="D717" t="s">
        <v>71</v>
      </c>
      <c r="E717" s="2">
        <v>46043</v>
      </c>
      <c r="F717" s="1">
        <v>45444</v>
      </c>
      <c r="G717" t="s">
        <v>2120</v>
      </c>
      <c r="H717" t="s">
        <v>28</v>
      </c>
      <c r="I717" t="s">
        <v>2121</v>
      </c>
      <c r="J717">
        <v>1</v>
      </c>
    </row>
    <row r="718" spans="1:10" x14ac:dyDescent="0.2">
      <c r="A718">
        <v>1024</v>
      </c>
      <c r="B718" t="s">
        <v>2122</v>
      </c>
      <c r="C718">
        <v>35</v>
      </c>
      <c r="D718" t="s">
        <v>22</v>
      </c>
      <c r="E718" s="2">
        <v>45886</v>
      </c>
      <c r="F718" s="1">
        <v>45875</v>
      </c>
      <c r="G718" t="s">
        <v>2123</v>
      </c>
      <c r="H718" t="s">
        <v>24</v>
      </c>
      <c r="I718" t="s">
        <v>2124</v>
      </c>
      <c r="J718">
        <v>1</v>
      </c>
    </row>
    <row r="719" spans="1:10" x14ac:dyDescent="0.2">
      <c r="A719">
        <v>1061</v>
      </c>
      <c r="B719" t="s">
        <v>2125</v>
      </c>
      <c r="C719">
        <v>59</v>
      </c>
      <c r="D719" t="s">
        <v>16</v>
      </c>
      <c r="E719" s="1">
        <v>45942</v>
      </c>
      <c r="F719" s="2">
        <v>45823</v>
      </c>
      <c r="G719" t="s">
        <v>2126</v>
      </c>
      <c r="H719" t="s">
        <v>18</v>
      </c>
      <c r="I719" t="s">
        <v>2127</v>
      </c>
      <c r="J719" t="s">
        <v>20</v>
      </c>
    </row>
    <row r="720" spans="1:10" x14ac:dyDescent="0.2">
      <c r="A720">
        <v>1095</v>
      </c>
      <c r="B720" t="s">
        <v>2128</v>
      </c>
      <c r="C720">
        <v>56</v>
      </c>
      <c r="D720">
        <v>1</v>
      </c>
      <c r="E720" s="1">
        <v>45812</v>
      </c>
      <c r="F720" s="2">
        <v>45441</v>
      </c>
      <c r="G720" t="s">
        <v>2129</v>
      </c>
      <c r="H720" t="s">
        <v>13</v>
      </c>
      <c r="I720" t="s">
        <v>2130</v>
      </c>
      <c r="J720" t="s">
        <v>20</v>
      </c>
    </row>
    <row r="721" spans="1:10" x14ac:dyDescent="0.2">
      <c r="A721">
        <v>1048</v>
      </c>
      <c r="B721" t="s">
        <v>2131</v>
      </c>
      <c r="C721">
        <v>67</v>
      </c>
      <c r="D721" t="s">
        <v>51</v>
      </c>
      <c r="E721" s="1">
        <v>45988</v>
      </c>
      <c r="F721" s="1">
        <v>45503</v>
      </c>
      <c r="G721" t="s">
        <v>2132</v>
      </c>
      <c r="H721" t="s">
        <v>24</v>
      </c>
      <c r="I721" t="s">
        <v>2133</v>
      </c>
      <c r="J721" t="s">
        <v>30</v>
      </c>
    </row>
    <row r="722" spans="1:10" x14ac:dyDescent="0.2">
      <c r="A722">
        <v>1033</v>
      </c>
      <c r="B722" t="s">
        <v>2134</v>
      </c>
      <c r="C722">
        <v>64</v>
      </c>
      <c r="D722" t="s">
        <v>16</v>
      </c>
      <c r="E722" s="2">
        <v>45916</v>
      </c>
      <c r="F722" s="2">
        <v>45680</v>
      </c>
      <c r="G722" t="s">
        <v>2135</v>
      </c>
      <c r="H722" t="s">
        <v>28</v>
      </c>
      <c r="I722" t="s">
        <v>2136</v>
      </c>
      <c r="J722">
        <v>1</v>
      </c>
    </row>
    <row r="723" spans="1:10" x14ac:dyDescent="0.2">
      <c r="A723">
        <v>1085</v>
      </c>
      <c r="B723" t="s">
        <v>2137</v>
      </c>
      <c r="C723">
        <v>22</v>
      </c>
      <c r="D723" t="s">
        <v>11</v>
      </c>
      <c r="E723" s="2">
        <v>45932</v>
      </c>
      <c r="F723" s="1">
        <v>45842</v>
      </c>
      <c r="G723" t="s">
        <v>2138</v>
      </c>
      <c r="H723" t="s">
        <v>28</v>
      </c>
      <c r="I723" t="s">
        <v>2139</v>
      </c>
      <c r="J723">
        <v>0</v>
      </c>
    </row>
    <row r="724" spans="1:10" x14ac:dyDescent="0.2">
      <c r="A724">
        <v>1003</v>
      </c>
      <c r="B724" t="s">
        <v>2140</v>
      </c>
      <c r="C724">
        <v>89</v>
      </c>
      <c r="D724" t="s">
        <v>38</v>
      </c>
      <c r="E724" s="2">
        <v>46013</v>
      </c>
      <c r="F724" s="2">
        <v>45724</v>
      </c>
      <c r="G724" t="s">
        <v>2141</v>
      </c>
      <c r="H724" t="s">
        <v>28</v>
      </c>
      <c r="I724" t="s">
        <v>2142</v>
      </c>
      <c r="J724" t="s">
        <v>36</v>
      </c>
    </row>
    <row r="725" spans="1:10" x14ac:dyDescent="0.2">
      <c r="A725">
        <v>1030</v>
      </c>
      <c r="B725" t="s">
        <v>2143</v>
      </c>
      <c r="C725">
        <v>72</v>
      </c>
      <c r="D725" t="s">
        <v>16</v>
      </c>
      <c r="E725" s="1">
        <v>45787</v>
      </c>
      <c r="F725" s="1">
        <v>45715</v>
      </c>
      <c r="G725" t="s">
        <v>1225</v>
      </c>
      <c r="H725" t="s">
        <v>24</v>
      </c>
      <c r="I725" t="s">
        <v>2144</v>
      </c>
      <c r="J725" t="s">
        <v>30</v>
      </c>
    </row>
    <row r="726" spans="1:10" x14ac:dyDescent="0.2">
      <c r="A726">
        <v>1083</v>
      </c>
      <c r="B726" t="s">
        <v>2145</v>
      </c>
      <c r="C726">
        <v>40</v>
      </c>
      <c r="D726" t="s">
        <v>11</v>
      </c>
      <c r="E726" s="1">
        <v>45966</v>
      </c>
      <c r="F726" s="2">
        <v>45519</v>
      </c>
      <c r="G726" t="s">
        <v>2146</v>
      </c>
      <c r="H726" t="s">
        <v>18</v>
      </c>
      <c r="I726" t="s">
        <v>2147</v>
      </c>
      <c r="J726">
        <v>0</v>
      </c>
    </row>
    <row r="727" spans="1:10" x14ac:dyDescent="0.2">
      <c r="A727">
        <v>1004</v>
      </c>
      <c r="B727" t="s">
        <v>2148</v>
      </c>
      <c r="C727">
        <v>36</v>
      </c>
      <c r="D727">
        <v>0</v>
      </c>
      <c r="E727" s="1">
        <v>46047</v>
      </c>
      <c r="F727" s="1">
        <v>45595</v>
      </c>
      <c r="G727" t="s">
        <v>2149</v>
      </c>
      <c r="H727" t="s">
        <v>13</v>
      </c>
      <c r="I727" t="s">
        <v>2150</v>
      </c>
      <c r="J727" t="s">
        <v>36</v>
      </c>
    </row>
    <row r="728" spans="1:10" x14ac:dyDescent="0.2">
      <c r="A728">
        <v>1051</v>
      </c>
      <c r="B728" t="s">
        <v>2151</v>
      </c>
      <c r="C728">
        <v>71</v>
      </c>
      <c r="D728" t="s">
        <v>38</v>
      </c>
      <c r="E728" s="1">
        <v>46049</v>
      </c>
      <c r="F728" s="1">
        <v>45723</v>
      </c>
      <c r="G728" t="s">
        <v>2152</v>
      </c>
      <c r="H728" t="s">
        <v>13</v>
      </c>
      <c r="I728" t="s">
        <v>2153</v>
      </c>
      <c r="J728">
        <v>1</v>
      </c>
    </row>
    <row r="729" spans="1:10" x14ac:dyDescent="0.2">
      <c r="A729">
        <v>1059</v>
      </c>
      <c r="B729" t="s">
        <v>2154</v>
      </c>
      <c r="C729">
        <v>81</v>
      </c>
      <c r="D729" t="s">
        <v>38</v>
      </c>
      <c r="E729" s="1">
        <v>45744</v>
      </c>
      <c r="F729" s="1">
        <v>45704</v>
      </c>
      <c r="G729" t="s">
        <v>2155</v>
      </c>
      <c r="H729" t="s">
        <v>13</v>
      </c>
      <c r="I729" t="s">
        <v>2156</v>
      </c>
      <c r="J729" t="s">
        <v>30</v>
      </c>
    </row>
    <row r="730" spans="1:10" x14ac:dyDescent="0.2">
      <c r="A730">
        <v>1044</v>
      </c>
      <c r="B730" t="s">
        <v>2157</v>
      </c>
      <c r="C730">
        <v>21</v>
      </c>
      <c r="D730">
        <v>1</v>
      </c>
      <c r="E730" s="1">
        <v>45765</v>
      </c>
      <c r="F730" s="1">
        <v>45559</v>
      </c>
      <c r="G730" t="s">
        <v>2158</v>
      </c>
      <c r="H730" t="s">
        <v>28</v>
      </c>
      <c r="I730" t="s">
        <v>2159</v>
      </c>
      <c r="J730" t="s">
        <v>20</v>
      </c>
    </row>
    <row r="731" spans="1:10" x14ac:dyDescent="0.2">
      <c r="A731">
        <v>1068</v>
      </c>
      <c r="B731" t="s">
        <v>2160</v>
      </c>
      <c r="C731">
        <v>87</v>
      </c>
      <c r="E731" s="1">
        <v>45899</v>
      </c>
      <c r="F731" s="2">
        <v>45641</v>
      </c>
      <c r="G731" t="s">
        <v>2161</v>
      </c>
      <c r="H731" t="s">
        <v>28</v>
      </c>
      <c r="I731" t="s">
        <v>2162</v>
      </c>
      <c r="J731" t="s">
        <v>60</v>
      </c>
    </row>
    <row r="732" spans="1:10" x14ac:dyDescent="0.2">
      <c r="A732">
        <v>1024</v>
      </c>
      <c r="B732" t="s">
        <v>2163</v>
      </c>
      <c r="C732">
        <v>60</v>
      </c>
      <c r="D732" t="s">
        <v>11</v>
      </c>
      <c r="E732" s="1">
        <v>45858</v>
      </c>
      <c r="F732" s="1">
        <v>45617</v>
      </c>
      <c r="G732" t="s">
        <v>2164</v>
      </c>
      <c r="H732" t="s">
        <v>13</v>
      </c>
      <c r="I732" t="s">
        <v>2165</v>
      </c>
      <c r="J732" t="s">
        <v>30</v>
      </c>
    </row>
    <row r="733" spans="1:10" x14ac:dyDescent="0.2">
      <c r="A733">
        <v>1010</v>
      </c>
      <c r="B733" t="s">
        <v>2166</v>
      </c>
      <c r="C733">
        <v>72</v>
      </c>
      <c r="D733" t="s">
        <v>16</v>
      </c>
      <c r="E733" s="2">
        <v>46069</v>
      </c>
      <c r="F733" s="2">
        <v>45480</v>
      </c>
      <c r="G733" t="s">
        <v>2167</v>
      </c>
      <c r="H733" t="s">
        <v>28</v>
      </c>
      <c r="I733" t="s">
        <v>2168</v>
      </c>
      <c r="J733" t="s">
        <v>30</v>
      </c>
    </row>
    <row r="734" spans="1:10" x14ac:dyDescent="0.2">
      <c r="A734">
        <v>1099</v>
      </c>
      <c r="B734" t="s">
        <v>2169</v>
      </c>
      <c r="C734">
        <v>25</v>
      </c>
      <c r="D734">
        <v>1</v>
      </c>
      <c r="E734" s="1">
        <v>45768</v>
      </c>
      <c r="F734" s="2">
        <v>45555</v>
      </c>
      <c r="G734" t="s">
        <v>2170</v>
      </c>
      <c r="H734" t="s">
        <v>13</v>
      </c>
      <c r="I734" t="s">
        <v>2171</v>
      </c>
      <c r="J734" t="s">
        <v>30</v>
      </c>
    </row>
    <row r="735" spans="1:10" x14ac:dyDescent="0.2">
      <c r="A735">
        <v>1060</v>
      </c>
      <c r="B735" t="s">
        <v>2172</v>
      </c>
      <c r="C735">
        <v>39</v>
      </c>
      <c r="D735" t="s">
        <v>71</v>
      </c>
      <c r="E735" s="2">
        <v>46031</v>
      </c>
      <c r="F735" s="2">
        <v>45828</v>
      </c>
      <c r="G735" t="s">
        <v>2173</v>
      </c>
      <c r="H735" t="s">
        <v>13</v>
      </c>
      <c r="I735" t="s">
        <v>2174</v>
      </c>
      <c r="J735">
        <v>0</v>
      </c>
    </row>
    <row r="736" spans="1:10" x14ac:dyDescent="0.2">
      <c r="A736">
        <v>1044</v>
      </c>
      <c r="B736" t="s">
        <v>2175</v>
      </c>
      <c r="C736">
        <v>63</v>
      </c>
      <c r="D736" t="s">
        <v>11</v>
      </c>
      <c r="E736" s="2">
        <v>45919</v>
      </c>
      <c r="F736" s="2">
        <v>45695</v>
      </c>
      <c r="G736" t="s">
        <v>2176</v>
      </c>
      <c r="H736" t="s">
        <v>28</v>
      </c>
      <c r="I736" t="s">
        <v>2177</v>
      </c>
      <c r="J736" t="s">
        <v>60</v>
      </c>
    </row>
    <row r="737" spans="1:10" x14ac:dyDescent="0.2">
      <c r="A737">
        <v>1047</v>
      </c>
      <c r="B737" t="s">
        <v>2178</v>
      </c>
      <c r="C737">
        <v>33</v>
      </c>
      <c r="D737">
        <v>1</v>
      </c>
      <c r="E737" s="1">
        <v>46071</v>
      </c>
      <c r="F737" s="1">
        <v>45445</v>
      </c>
      <c r="G737" t="s">
        <v>2179</v>
      </c>
      <c r="H737" t="s">
        <v>28</v>
      </c>
      <c r="I737" t="s">
        <v>2180</v>
      </c>
      <c r="J737">
        <v>1</v>
      </c>
    </row>
    <row r="738" spans="1:10" x14ac:dyDescent="0.2">
      <c r="A738">
        <v>1063</v>
      </c>
      <c r="B738" t="s">
        <v>2181</v>
      </c>
      <c r="C738">
        <v>88</v>
      </c>
      <c r="D738" t="s">
        <v>38</v>
      </c>
      <c r="E738" s="1">
        <v>45995</v>
      </c>
      <c r="F738" s="1">
        <v>45941</v>
      </c>
      <c r="G738" t="s">
        <v>2182</v>
      </c>
      <c r="H738" t="s">
        <v>18</v>
      </c>
      <c r="I738" t="s">
        <v>2183</v>
      </c>
      <c r="J738" t="s">
        <v>30</v>
      </c>
    </row>
    <row r="739" spans="1:10" x14ac:dyDescent="0.2">
      <c r="A739">
        <v>1036</v>
      </c>
      <c r="B739" t="s">
        <v>2184</v>
      </c>
      <c r="C739">
        <v>44</v>
      </c>
      <c r="D739">
        <v>1</v>
      </c>
      <c r="E739" s="2">
        <v>45943</v>
      </c>
      <c r="F739" s="1">
        <v>45459</v>
      </c>
      <c r="G739" t="s">
        <v>2185</v>
      </c>
      <c r="H739" t="s">
        <v>18</v>
      </c>
      <c r="I739" t="s">
        <v>2186</v>
      </c>
      <c r="J739">
        <v>1</v>
      </c>
    </row>
    <row r="740" spans="1:10" x14ac:dyDescent="0.2">
      <c r="A740">
        <v>1002</v>
      </c>
      <c r="B740" t="s">
        <v>2187</v>
      </c>
      <c r="C740">
        <v>28</v>
      </c>
      <c r="D740">
        <v>0</v>
      </c>
      <c r="E740" s="1">
        <v>45810</v>
      </c>
      <c r="F740" s="1">
        <v>45464</v>
      </c>
      <c r="G740" t="s">
        <v>2188</v>
      </c>
      <c r="H740" t="s">
        <v>24</v>
      </c>
      <c r="I740" t="s">
        <v>2189</v>
      </c>
      <c r="J740">
        <v>0</v>
      </c>
    </row>
    <row r="741" spans="1:10" x14ac:dyDescent="0.2">
      <c r="A741">
        <v>1075</v>
      </c>
      <c r="B741" t="s">
        <v>2190</v>
      </c>
      <c r="C741">
        <v>25</v>
      </c>
      <c r="D741" t="s">
        <v>11</v>
      </c>
      <c r="E741" s="1">
        <v>45903</v>
      </c>
      <c r="F741" s="2">
        <v>45592</v>
      </c>
      <c r="G741" t="s">
        <v>2191</v>
      </c>
      <c r="H741" t="s">
        <v>18</v>
      </c>
      <c r="I741" t="s">
        <v>2192</v>
      </c>
      <c r="J741" t="s">
        <v>20</v>
      </c>
    </row>
    <row r="742" spans="1:10" x14ac:dyDescent="0.2">
      <c r="A742">
        <v>1090</v>
      </c>
      <c r="B742" t="s">
        <v>2193</v>
      </c>
      <c r="C742">
        <v>85</v>
      </c>
      <c r="D742" t="s">
        <v>51</v>
      </c>
      <c r="E742" s="1">
        <v>46042</v>
      </c>
      <c r="F742" s="2">
        <v>45726</v>
      </c>
      <c r="G742" t="s">
        <v>2194</v>
      </c>
      <c r="H742" t="s">
        <v>24</v>
      </c>
      <c r="I742" t="s">
        <v>2195</v>
      </c>
      <c r="J742" t="s">
        <v>30</v>
      </c>
    </row>
    <row r="743" spans="1:10" x14ac:dyDescent="0.2">
      <c r="A743">
        <v>1000</v>
      </c>
      <c r="B743" t="s">
        <v>2196</v>
      </c>
      <c r="C743">
        <v>18</v>
      </c>
      <c r="D743" t="s">
        <v>51</v>
      </c>
      <c r="E743" s="1">
        <v>45883</v>
      </c>
      <c r="F743" s="2">
        <v>45757</v>
      </c>
      <c r="G743" t="s">
        <v>2197</v>
      </c>
      <c r="H743" t="s">
        <v>18</v>
      </c>
      <c r="I743" t="s">
        <v>2198</v>
      </c>
      <c r="J743">
        <v>0</v>
      </c>
    </row>
    <row r="744" spans="1:10" x14ac:dyDescent="0.2">
      <c r="A744">
        <v>1073</v>
      </c>
      <c r="B744" t="s">
        <v>2199</v>
      </c>
      <c r="C744">
        <v>75</v>
      </c>
      <c r="E744" s="2">
        <v>46028</v>
      </c>
      <c r="F744" s="2">
        <v>45710</v>
      </c>
      <c r="G744" t="s">
        <v>2200</v>
      </c>
      <c r="H744" t="s">
        <v>28</v>
      </c>
      <c r="I744" t="s">
        <v>2201</v>
      </c>
      <c r="J744" t="s">
        <v>60</v>
      </c>
    </row>
    <row r="745" spans="1:10" x14ac:dyDescent="0.2">
      <c r="A745">
        <v>1075</v>
      </c>
      <c r="B745" t="s">
        <v>2202</v>
      </c>
      <c r="C745">
        <v>73</v>
      </c>
      <c r="D745">
        <v>1</v>
      </c>
      <c r="E745" s="2">
        <v>45752</v>
      </c>
      <c r="F745" s="2">
        <v>45646</v>
      </c>
      <c r="G745" t="s">
        <v>2203</v>
      </c>
      <c r="H745" t="s">
        <v>24</v>
      </c>
      <c r="I745" t="s">
        <v>2204</v>
      </c>
      <c r="J745">
        <v>0</v>
      </c>
    </row>
    <row r="746" spans="1:10" x14ac:dyDescent="0.2">
      <c r="A746">
        <v>1033</v>
      </c>
      <c r="B746" t="s">
        <v>2205</v>
      </c>
      <c r="C746">
        <v>58</v>
      </c>
      <c r="D746" t="s">
        <v>71</v>
      </c>
      <c r="E746" s="1">
        <v>45801</v>
      </c>
      <c r="F746" s="1">
        <v>45544</v>
      </c>
      <c r="G746" t="s">
        <v>2206</v>
      </c>
      <c r="H746" t="s">
        <v>18</v>
      </c>
      <c r="I746" t="s">
        <v>2207</v>
      </c>
      <c r="J746">
        <v>1</v>
      </c>
    </row>
    <row r="747" spans="1:10" x14ac:dyDescent="0.2">
      <c r="A747">
        <v>1051</v>
      </c>
      <c r="B747" t="s">
        <v>1052</v>
      </c>
      <c r="C747">
        <v>52</v>
      </c>
      <c r="D747" t="s">
        <v>71</v>
      </c>
      <c r="E747" s="2">
        <v>45961</v>
      </c>
      <c r="F747" s="2">
        <v>45536</v>
      </c>
      <c r="G747" t="s">
        <v>2208</v>
      </c>
      <c r="H747" t="s">
        <v>24</v>
      </c>
      <c r="J747">
        <v>0</v>
      </c>
    </row>
    <row r="748" spans="1:10" x14ac:dyDescent="0.2">
      <c r="A748">
        <v>1021</v>
      </c>
      <c r="B748" t="s">
        <v>2209</v>
      </c>
      <c r="C748">
        <v>41</v>
      </c>
      <c r="D748" t="s">
        <v>22</v>
      </c>
      <c r="E748" s="2">
        <v>45911</v>
      </c>
      <c r="F748" s="2">
        <v>45626</v>
      </c>
      <c r="G748" t="s">
        <v>2210</v>
      </c>
      <c r="H748" t="s">
        <v>28</v>
      </c>
      <c r="I748" t="s">
        <v>2211</v>
      </c>
      <c r="J748" t="s">
        <v>30</v>
      </c>
    </row>
    <row r="749" spans="1:10" x14ac:dyDescent="0.2">
      <c r="A749">
        <v>1052</v>
      </c>
      <c r="B749" t="s">
        <v>2212</v>
      </c>
      <c r="C749">
        <v>80</v>
      </c>
      <c r="D749">
        <v>0</v>
      </c>
      <c r="E749" s="2">
        <v>45781</v>
      </c>
      <c r="F749" s="1">
        <v>45555</v>
      </c>
      <c r="G749" t="s">
        <v>2213</v>
      </c>
      <c r="H749" t="s">
        <v>13</v>
      </c>
      <c r="I749" t="s">
        <v>2214</v>
      </c>
      <c r="J749" t="s">
        <v>60</v>
      </c>
    </row>
    <row r="750" spans="1:10" x14ac:dyDescent="0.2">
      <c r="A750">
        <v>1028</v>
      </c>
      <c r="B750" t="s">
        <v>2215</v>
      </c>
      <c r="C750">
        <v>24</v>
      </c>
      <c r="D750" t="s">
        <v>38</v>
      </c>
      <c r="E750" s="1">
        <v>46085</v>
      </c>
      <c r="F750" s="1">
        <v>45749</v>
      </c>
      <c r="G750" t="s">
        <v>2216</v>
      </c>
      <c r="H750" t="s">
        <v>28</v>
      </c>
      <c r="I750" t="s">
        <v>2217</v>
      </c>
      <c r="J750" t="s">
        <v>20</v>
      </c>
    </row>
    <row r="751" spans="1:10" x14ac:dyDescent="0.2">
      <c r="A751">
        <v>1062</v>
      </c>
      <c r="B751" t="s">
        <v>2218</v>
      </c>
      <c r="C751">
        <v>23</v>
      </c>
      <c r="D751" t="s">
        <v>38</v>
      </c>
      <c r="E751" s="2">
        <v>46051</v>
      </c>
      <c r="F751" s="1">
        <v>45474</v>
      </c>
      <c r="G751" t="s">
        <v>2219</v>
      </c>
      <c r="H751" t="s">
        <v>18</v>
      </c>
      <c r="I751" t="s">
        <v>2220</v>
      </c>
      <c r="J751" t="s">
        <v>30</v>
      </c>
    </row>
    <row r="752" spans="1:10" x14ac:dyDescent="0.2">
      <c r="A752">
        <v>1088</v>
      </c>
      <c r="B752" t="s">
        <v>2221</v>
      </c>
      <c r="C752">
        <v>80</v>
      </c>
      <c r="D752" t="s">
        <v>16</v>
      </c>
      <c r="E752" s="2">
        <v>45839</v>
      </c>
      <c r="F752" s="1">
        <v>45608</v>
      </c>
      <c r="G752" t="s">
        <v>2222</v>
      </c>
      <c r="H752" t="s">
        <v>28</v>
      </c>
      <c r="I752" t="s">
        <v>2223</v>
      </c>
      <c r="J752" t="s">
        <v>20</v>
      </c>
    </row>
    <row r="753" spans="1:10" x14ac:dyDescent="0.2">
      <c r="A753">
        <v>1028</v>
      </c>
      <c r="B753" t="s">
        <v>2224</v>
      </c>
      <c r="C753">
        <v>26</v>
      </c>
      <c r="D753">
        <v>0</v>
      </c>
      <c r="E753" s="2">
        <v>45915</v>
      </c>
      <c r="F753" s="1">
        <v>45790</v>
      </c>
      <c r="G753" t="s">
        <v>2225</v>
      </c>
      <c r="H753" t="s">
        <v>13</v>
      </c>
      <c r="I753" t="s">
        <v>2226</v>
      </c>
      <c r="J753" t="s">
        <v>20</v>
      </c>
    </row>
    <row r="754" spans="1:10" x14ac:dyDescent="0.2">
      <c r="A754">
        <v>1050</v>
      </c>
      <c r="B754" t="s">
        <v>2227</v>
      </c>
      <c r="C754">
        <v>65</v>
      </c>
      <c r="D754" t="s">
        <v>51</v>
      </c>
      <c r="E754" s="1">
        <v>46085</v>
      </c>
      <c r="F754" s="2">
        <v>45444</v>
      </c>
      <c r="G754" t="s">
        <v>2228</v>
      </c>
      <c r="H754" t="s">
        <v>28</v>
      </c>
      <c r="I754" t="s">
        <v>2229</v>
      </c>
      <c r="J754" t="s">
        <v>20</v>
      </c>
    </row>
    <row r="755" spans="1:10" x14ac:dyDescent="0.2">
      <c r="A755">
        <v>1004</v>
      </c>
      <c r="B755" t="s">
        <v>2230</v>
      </c>
      <c r="C755">
        <v>54</v>
      </c>
      <c r="D755" t="s">
        <v>22</v>
      </c>
      <c r="E755" s="2">
        <v>45903</v>
      </c>
      <c r="F755" s="2">
        <v>45708</v>
      </c>
      <c r="G755" t="s">
        <v>2231</v>
      </c>
      <c r="H755" t="s">
        <v>13</v>
      </c>
      <c r="I755" t="s">
        <v>2232</v>
      </c>
      <c r="J755" t="s">
        <v>30</v>
      </c>
    </row>
    <row r="756" spans="1:10" x14ac:dyDescent="0.2">
      <c r="A756">
        <v>1044</v>
      </c>
      <c r="B756" t="s">
        <v>2233</v>
      </c>
      <c r="C756">
        <v>58</v>
      </c>
      <c r="D756" t="s">
        <v>51</v>
      </c>
      <c r="E756" s="1">
        <v>45818</v>
      </c>
      <c r="F756" s="2">
        <v>45506</v>
      </c>
      <c r="G756" t="s">
        <v>2234</v>
      </c>
      <c r="H756" t="s">
        <v>18</v>
      </c>
      <c r="J756" t="s">
        <v>30</v>
      </c>
    </row>
    <row r="757" spans="1:10" x14ac:dyDescent="0.2">
      <c r="A757">
        <v>1030</v>
      </c>
      <c r="B757" t="s">
        <v>2235</v>
      </c>
      <c r="C757">
        <v>42</v>
      </c>
      <c r="D757" t="s">
        <v>71</v>
      </c>
      <c r="E757" s="1">
        <v>45954</v>
      </c>
      <c r="F757" s="2">
        <v>45623</v>
      </c>
      <c r="G757" t="s">
        <v>2236</v>
      </c>
      <c r="H757" t="s">
        <v>24</v>
      </c>
      <c r="I757" t="s">
        <v>2237</v>
      </c>
      <c r="J757" t="s">
        <v>20</v>
      </c>
    </row>
    <row r="758" spans="1:10" x14ac:dyDescent="0.2">
      <c r="A758">
        <v>1073</v>
      </c>
      <c r="B758" t="s">
        <v>2238</v>
      </c>
      <c r="C758">
        <v>84</v>
      </c>
      <c r="D758" t="s">
        <v>51</v>
      </c>
      <c r="E758" s="1">
        <v>45929</v>
      </c>
      <c r="F758" s="1">
        <v>45467</v>
      </c>
      <c r="G758" t="s">
        <v>2239</v>
      </c>
      <c r="H758" t="s">
        <v>24</v>
      </c>
      <c r="I758" t="s">
        <v>2240</v>
      </c>
      <c r="J758" t="s">
        <v>30</v>
      </c>
    </row>
    <row r="759" spans="1:10" x14ac:dyDescent="0.2">
      <c r="A759">
        <v>1018</v>
      </c>
      <c r="B759" t="s">
        <v>2241</v>
      </c>
      <c r="C759">
        <v>55</v>
      </c>
      <c r="D759">
        <v>1</v>
      </c>
      <c r="E759" s="1">
        <v>46014</v>
      </c>
      <c r="F759" s="2">
        <v>45711</v>
      </c>
      <c r="G759" t="s">
        <v>2242</v>
      </c>
      <c r="H759" t="s">
        <v>24</v>
      </c>
      <c r="I759" t="s">
        <v>2243</v>
      </c>
      <c r="J759">
        <v>0</v>
      </c>
    </row>
    <row r="760" spans="1:10" x14ac:dyDescent="0.2">
      <c r="A760">
        <v>1062</v>
      </c>
      <c r="B760" t="s">
        <v>2244</v>
      </c>
      <c r="C760">
        <v>84</v>
      </c>
      <c r="D760" t="s">
        <v>11</v>
      </c>
      <c r="E760" s="1">
        <v>45896</v>
      </c>
      <c r="F760" s="2">
        <v>45445</v>
      </c>
      <c r="G760" t="s">
        <v>2245</v>
      </c>
      <c r="H760" t="s">
        <v>13</v>
      </c>
      <c r="I760" t="s">
        <v>2246</v>
      </c>
      <c r="J760" t="s">
        <v>30</v>
      </c>
    </row>
    <row r="761" spans="1:10" x14ac:dyDescent="0.2">
      <c r="A761">
        <v>1014</v>
      </c>
      <c r="B761" t="s">
        <v>2247</v>
      </c>
      <c r="C761">
        <v>67</v>
      </c>
      <c r="D761" t="s">
        <v>38</v>
      </c>
      <c r="E761" s="2">
        <v>46107</v>
      </c>
      <c r="F761" s="1">
        <v>46088</v>
      </c>
      <c r="G761" t="s">
        <v>2248</v>
      </c>
      <c r="H761" t="s">
        <v>28</v>
      </c>
      <c r="I761" t="s">
        <v>2249</v>
      </c>
      <c r="J761" t="s">
        <v>60</v>
      </c>
    </row>
    <row r="762" spans="1:10" x14ac:dyDescent="0.2">
      <c r="A762">
        <v>1030</v>
      </c>
      <c r="B762" t="s">
        <v>2250</v>
      </c>
      <c r="C762">
        <v>40</v>
      </c>
      <c r="D762" t="s">
        <v>71</v>
      </c>
      <c r="E762" s="2">
        <v>45994</v>
      </c>
      <c r="F762" s="1">
        <v>45908</v>
      </c>
      <c r="G762" t="s">
        <v>2251</v>
      </c>
      <c r="H762" t="s">
        <v>18</v>
      </c>
      <c r="I762" t="s">
        <v>2252</v>
      </c>
      <c r="J762" t="s">
        <v>20</v>
      </c>
    </row>
    <row r="763" spans="1:10" x14ac:dyDescent="0.2">
      <c r="A763">
        <v>1081</v>
      </c>
      <c r="B763" t="s">
        <v>2253</v>
      </c>
      <c r="C763">
        <v>72</v>
      </c>
      <c r="D763" t="s">
        <v>38</v>
      </c>
      <c r="E763" s="1">
        <v>45751</v>
      </c>
      <c r="F763" s="1">
        <v>45643</v>
      </c>
      <c r="G763" t="s">
        <v>2254</v>
      </c>
      <c r="H763" t="s">
        <v>28</v>
      </c>
      <c r="I763" t="s">
        <v>2255</v>
      </c>
      <c r="J763" t="s">
        <v>30</v>
      </c>
    </row>
    <row r="764" spans="1:10" x14ac:dyDescent="0.2">
      <c r="A764">
        <v>1065</v>
      </c>
      <c r="B764" t="s">
        <v>2256</v>
      </c>
      <c r="C764">
        <v>32</v>
      </c>
      <c r="D764" t="s">
        <v>71</v>
      </c>
      <c r="E764" s="2">
        <v>45790</v>
      </c>
      <c r="F764" s="2">
        <v>45525</v>
      </c>
      <c r="G764" t="s">
        <v>2257</v>
      </c>
      <c r="H764" t="s">
        <v>13</v>
      </c>
      <c r="I764" t="s">
        <v>2258</v>
      </c>
      <c r="J764">
        <v>1</v>
      </c>
    </row>
    <row r="765" spans="1:10" x14ac:dyDescent="0.2">
      <c r="A765">
        <v>1081</v>
      </c>
      <c r="B765" t="s">
        <v>2259</v>
      </c>
      <c r="C765">
        <v>65</v>
      </c>
      <c r="D765" t="s">
        <v>16</v>
      </c>
      <c r="E765" s="2">
        <v>45937</v>
      </c>
      <c r="F765" s="2">
        <v>45635</v>
      </c>
      <c r="G765" t="s">
        <v>2260</v>
      </c>
      <c r="H765" t="s">
        <v>18</v>
      </c>
      <c r="J765" t="s">
        <v>30</v>
      </c>
    </row>
    <row r="766" spans="1:10" x14ac:dyDescent="0.2">
      <c r="A766">
        <v>1017</v>
      </c>
      <c r="B766" t="s">
        <v>2261</v>
      </c>
      <c r="C766">
        <v>82</v>
      </c>
      <c r="D766" t="s">
        <v>38</v>
      </c>
      <c r="E766" s="2">
        <v>46037</v>
      </c>
      <c r="F766" s="2">
        <v>45862</v>
      </c>
      <c r="G766" t="s">
        <v>2262</v>
      </c>
      <c r="H766" t="s">
        <v>28</v>
      </c>
      <c r="I766" t="s">
        <v>2263</v>
      </c>
      <c r="J766">
        <v>0</v>
      </c>
    </row>
    <row r="767" spans="1:10" x14ac:dyDescent="0.2">
      <c r="A767">
        <v>1001</v>
      </c>
      <c r="B767" t="s">
        <v>2264</v>
      </c>
      <c r="C767">
        <v>61</v>
      </c>
      <c r="D767" t="s">
        <v>71</v>
      </c>
      <c r="E767" s="1">
        <v>45954</v>
      </c>
      <c r="F767" s="2">
        <v>45890</v>
      </c>
      <c r="G767" t="s">
        <v>2265</v>
      </c>
      <c r="H767" t="s">
        <v>18</v>
      </c>
      <c r="I767" t="s">
        <v>2266</v>
      </c>
      <c r="J767" t="s">
        <v>36</v>
      </c>
    </row>
    <row r="768" spans="1:10" x14ac:dyDescent="0.2">
      <c r="A768">
        <v>1042</v>
      </c>
      <c r="B768" t="s">
        <v>2267</v>
      </c>
      <c r="C768">
        <v>75</v>
      </c>
      <c r="D768" t="s">
        <v>51</v>
      </c>
      <c r="E768" s="2">
        <v>46008</v>
      </c>
      <c r="F768" s="2">
        <v>45557</v>
      </c>
      <c r="G768" t="s">
        <v>2268</v>
      </c>
      <c r="H768" t="s">
        <v>24</v>
      </c>
      <c r="I768" t="s">
        <v>2269</v>
      </c>
      <c r="J768">
        <v>0</v>
      </c>
    </row>
    <row r="769" spans="1:10" x14ac:dyDescent="0.2">
      <c r="A769">
        <v>1015</v>
      </c>
      <c r="B769" t="s">
        <v>2270</v>
      </c>
      <c r="C769">
        <v>35</v>
      </c>
      <c r="D769" t="s">
        <v>38</v>
      </c>
      <c r="E769" s="1">
        <v>45959</v>
      </c>
      <c r="F769" s="2">
        <v>45821</v>
      </c>
      <c r="G769" t="s">
        <v>2271</v>
      </c>
      <c r="H769" t="s">
        <v>28</v>
      </c>
      <c r="I769" t="s">
        <v>2272</v>
      </c>
      <c r="J769">
        <v>0</v>
      </c>
    </row>
    <row r="770" spans="1:10" x14ac:dyDescent="0.2">
      <c r="A770">
        <v>1098</v>
      </c>
      <c r="B770" t="s">
        <v>2273</v>
      </c>
      <c r="C770">
        <v>66</v>
      </c>
      <c r="D770" t="s">
        <v>16</v>
      </c>
      <c r="E770" s="2">
        <v>45794</v>
      </c>
      <c r="F770" s="2">
        <v>45533</v>
      </c>
      <c r="G770" t="s">
        <v>2274</v>
      </c>
      <c r="H770" t="s">
        <v>24</v>
      </c>
      <c r="I770" t="s">
        <v>2275</v>
      </c>
      <c r="J770" t="s">
        <v>60</v>
      </c>
    </row>
    <row r="771" spans="1:10" x14ac:dyDescent="0.2">
      <c r="A771">
        <v>1099</v>
      </c>
      <c r="B771" t="s">
        <v>646</v>
      </c>
      <c r="C771">
        <v>42</v>
      </c>
      <c r="D771" t="s">
        <v>71</v>
      </c>
      <c r="E771" s="2">
        <v>45868</v>
      </c>
      <c r="F771" s="2">
        <v>45725</v>
      </c>
      <c r="G771" t="s">
        <v>2276</v>
      </c>
      <c r="H771" t="s">
        <v>13</v>
      </c>
      <c r="I771" t="s">
        <v>2277</v>
      </c>
      <c r="J771">
        <v>1</v>
      </c>
    </row>
    <row r="772" spans="1:10" x14ac:dyDescent="0.2">
      <c r="A772">
        <v>1032</v>
      </c>
      <c r="B772" t="s">
        <v>2278</v>
      </c>
      <c r="C772">
        <v>19</v>
      </c>
      <c r="D772">
        <v>0</v>
      </c>
      <c r="E772" s="2">
        <v>45907</v>
      </c>
      <c r="F772" s="2">
        <v>45442</v>
      </c>
      <c r="G772" t="s">
        <v>2279</v>
      </c>
      <c r="H772" t="s">
        <v>13</v>
      </c>
      <c r="I772" t="s">
        <v>2280</v>
      </c>
      <c r="J772">
        <v>1</v>
      </c>
    </row>
    <row r="773" spans="1:10" x14ac:dyDescent="0.2">
      <c r="A773">
        <v>1034</v>
      </c>
      <c r="B773" t="s">
        <v>2281</v>
      </c>
      <c r="C773">
        <v>41</v>
      </c>
      <c r="D773" t="s">
        <v>22</v>
      </c>
      <c r="E773" s="2">
        <v>46056</v>
      </c>
      <c r="F773" s="2">
        <v>45934</v>
      </c>
      <c r="G773" t="s">
        <v>2282</v>
      </c>
      <c r="H773" t="s">
        <v>13</v>
      </c>
      <c r="I773" t="s">
        <v>2283</v>
      </c>
      <c r="J773" t="s">
        <v>36</v>
      </c>
    </row>
    <row r="774" spans="1:10" x14ac:dyDescent="0.2">
      <c r="A774">
        <v>1005</v>
      </c>
      <c r="B774" t="s">
        <v>1822</v>
      </c>
      <c r="C774">
        <v>27</v>
      </c>
      <c r="D774" t="s">
        <v>38</v>
      </c>
      <c r="E774" s="1">
        <v>45984</v>
      </c>
      <c r="F774" s="2">
        <v>45394</v>
      </c>
      <c r="G774" t="s">
        <v>2284</v>
      </c>
      <c r="H774" t="s">
        <v>28</v>
      </c>
      <c r="I774" t="s">
        <v>2285</v>
      </c>
      <c r="J774">
        <v>1</v>
      </c>
    </row>
    <row r="775" spans="1:10" x14ac:dyDescent="0.2">
      <c r="A775">
        <v>1050</v>
      </c>
      <c r="B775" t="s">
        <v>2286</v>
      </c>
      <c r="C775">
        <v>21</v>
      </c>
      <c r="D775">
        <v>0</v>
      </c>
      <c r="E775" s="2">
        <v>45853</v>
      </c>
      <c r="F775" s="2">
        <v>45496</v>
      </c>
      <c r="G775" t="s">
        <v>2287</v>
      </c>
      <c r="H775" t="s">
        <v>24</v>
      </c>
      <c r="I775" t="s">
        <v>2288</v>
      </c>
      <c r="J775">
        <v>0</v>
      </c>
    </row>
    <row r="776" spans="1:10" x14ac:dyDescent="0.2">
      <c r="A776">
        <v>1069</v>
      </c>
      <c r="B776" t="s">
        <v>2289</v>
      </c>
      <c r="C776">
        <v>20</v>
      </c>
      <c r="D776">
        <v>1</v>
      </c>
      <c r="E776" s="2">
        <v>45778</v>
      </c>
      <c r="F776" s="1">
        <v>45775</v>
      </c>
      <c r="G776" t="s">
        <v>2290</v>
      </c>
      <c r="H776" t="s">
        <v>18</v>
      </c>
      <c r="I776" t="s">
        <v>2291</v>
      </c>
      <c r="J776" t="s">
        <v>60</v>
      </c>
    </row>
    <row r="777" spans="1:10" x14ac:dyDescent="0.2">
      <c r="A777">
        <v>1001</v>
      </c>
      <c r="B777" t="s">
        <v>2292</v>
      </c>
      <c r="C777">
        <v>84</v>
      </c>
      <c r="D777" t="s">
        <v>51</v>
      </c>
      <c r="E777" s="1">
        <v>46065</v>
      </c>
      <c r="F777" s="2">
        <v>45464</v>
      </c>
      <c r="G777" t="s">
        <v>2293</v>
      </c>
      <c r="H777" t="s">
        <v>13</v>
      </c>
      <c r="I777" t="s">
        <v>2294</v>
      </c>
      <c r="J777" t="s">
        <v>30</v>
      </c>
    </row>
    <row r="778" spans="1:10" x14ac:dyDescent="0.2">
      <c r="A778">
        <v>1066</v>
      </c>
      <c r="B778" t="s">
        <v>2295</v>
      </c>
      <c r="C778">
        <v>74</v>
      </c>
      <c r="D778" t="s">
        <v>38</v>
      </c>
      <c r="E778" s="2">
        <v>45800</v>
      </c>
      <c r="F778" s="1">
        <v>45652</v>
      </c>
      <c r="G778" t="s">
        <v>2296</v>
      </c>
      <c r="H778" t="s">
        <v>18</v>
      </c>
      <c r="I778" t="s">
        <v>2297</v>
      </c>
      <c r="J778" t="s">
        <v>20</v>
      </c>
    </row>
    <row r="779" spans="1:10" x14ac:dyDescent="0.2">
      <c r="A779">
        <v>1018</v>
      </c>
      <c r="B779" t="s">
        <v>2298</v>
      </c>
      <c r="C779">
        <v>70</v>
      </c>
      <c r="D779" t="s">
        <v>11</v>
      </c>
      <c r="E779" s="2">
        <v>45778</v>
      </c>
      <c r="F779" s="1">
        <v>45552</v>
      </c>
      <c r="G779" t="s">
        <v>2299</v>
      </c>
      <c r="H779" t="s">
        <v>13</v>
      </c>
      <c r="I779" t="s">
        <v>2300</v>
      </c>
      <c r="J779">
        <v>1</v>
      </c>
    </row>
    <row r="780" spans="1:10" x14ac:dyDescent="0.2">
      <c r="A780">
        <v>1033</v>
      </c>
      <c r="B780" t="s">
        <v>2301</v>
      </c>
      <c r="C780">
        <v>75</v>
      </c>
      <c r="D780" t="s">
        <v>38</v>
      </c>
      <c r="E780" s="2">
        <v>46075</v>
      </c>
      <c r="F780" s="2">
        <v>45713</v>
      </c>
      <c r="G780" t="s">
        <v>2302</v>
      </c>
      <c r="H780" t="s">
        <v>28</v>
      </c>
      <c r="I780" t="s">
        <v>2303</v>
      </c>
      <c r="J780" t="s">
        <v>36</v>
      </c>
    </row>
    <row r="781" spans="1:10" x14ac:dyDescent="0.2">
      <c r="A781">
        <v>1094</v>
      </c>
      <c r="B781" t="s">
        <v>2304</v>
      </c>
      <c r="C781">
        <v>87</v>
      </c>
      <c r="D781" t="s">
        <v>71</v>
      </c>
      <c r="E781" s="1">
        <v>45952</v>
      </c>
      <c r="F781" s="1">
        <v>45716</v>
      </c>
      <c r="G781" t="s">
        <v>2305</v>
      </c>
      <c r="H781" t="s">
        <v>13</v>
      </c>
      <c r="I781" t="s">
        <v>2306</v>
      </c>
      <c r="J781">
        <v>1</v>
      </c>
    </row>
    <row r="782" spans="1:10" x14ac:dyDescent="0.2">
      <c r="A782">
        <v>1078</v>
      </c>
      <c r="B782" t="s">
        <v>2307</v>
      </c>
      <c r="C782">
        <v>52</v>
      </c>
      <c r="D782" t="s">
        <v>11</v>
      </c>
      <c r="E782" s="2">
        <v>45985</v>
      </c>
      <c r="F782" s="2">
        <v>45422</v>
      </c>
      <c r="G782" t="s">
        <v>2308</v>
      </c>
      <c r="H782" t="s">
        <v>13</v>
      </c>
      <c r="I782" t="s">
        <v>2309</v>
      </c>
      <c r="J782" t="s">
        <v>60</v>
      </c>
    </row>
    <row r="783" spans="1:10" x14ac:dyDescent="0.2">
      <c r="A783">
        <v>1072</v>
      </c>
      <c r="B783" t="s">
        <v>2310</v>
      </c>
      <c r="C783">
        <v>86</v>
      </c>
      <c r="D783" t="s">
        <v>11</v>
      </c>
      <c r="E783" s="2">
        <v>45842</v>
      </c>
      <c r="F783" s="2">
        <v>45676</v>
      </c>
      <c r="G783" t="s">
        <v>2311</v>
      </c>
      <c r="H783" t="s">
        <v>18</v>
      </c>
      <c r="I783" t="s">
        <v>2312</v>
      </c>
      <c r="J783" t="s">
        <v>20</v>
      </c>
    </row>
    <row r="784" spans="1:10" x14ac:dyDescent="0.2">
      <c r="A784">
        <v>1011</v>
      </c>
      <c r="B784" t="s">
        <v>2313</v>
      </c>
      <c r="C784">
        <v>65</v>
      </c>
      <c r="D784" t="s">
        <v>11</v>
      </c>
      <c r="E784" s="2">
        <v>45923</v>
      </c>
      <c r="F784" s="1">
        <v>45383</v>
      </c>
      <c r="G784" t="s">
        <v>31</v>
      </c>
      <c r="H784" t="s">
        <v>18</v>
      </c>
      <c r="I784" t="s">
        <v>2314</v>
      </c>
      <c r="J784" t="s">
        <v>20</v>
      </c>
    </row>
    <row r="785" spans="1:10" x14ac:dyDescent="0.2">
      <c r="A785">
        <v>1045</v>
      </c>
      <c r="B785" t="s">
        <v>2315</v>
      </c>
      <c r="C785">
        <v>65</v>
      </c>
      <c r="D785">
        <v>1</v>
      </c>
      <c r="E785" s="2">
        <v>45744</v>
      </c>
      <c r="F785" s="2">
        <v>45661</v>
      </c>
      <c r="G785" t="s">
        <v>2316</v>
      </c>
      <c r="H785" t="s">
        <v>18</v>
      </c>
      <c r="I785" t="s">
        <v>2317</v>
      </c>
      <c r="J785" t="s">
        <v>30</v>
      </c>
    </row>
    <row r="786" spans="1:10" x14ac:dyDescent="0.2">
      <c r="A786">
        <v>1095</v>
      </c>
      <c r="B786" t="s">
        <v>172</v>
      </c>
      <c r="C786">
        <v>73</v>
      </c>
      <c r="D786" t="s">
        <v>51</v>
      </c>
      <c r="E786" s="2">
        <v>46022</v>
      </c>
      <c r="F786" s="1">
        <v>45640</v>
      </c>
      <c r="G786" t="s">
        <v>2318</v>
      </c>
      <c r="H786" t="s">
        <v>24</v>
      </c>
      <c r="I786" t="s">
        <v>2319</v>
      </c>
      <c r="J786" t="s">
        <v>36</v>
      </c>
    </row>
    <row r="787" spans="1:10" x14ac:dyDescent="0.2">
      <c r="A787">
        <v>1074</v>
      </c>
      <c r="B787" t="s">
        <v>2320</v>
      </c>
      <c r="C787">
        <v>64</v>
      </c>
      <c r="D787" t="s">
        <v>22</v>
      </c>
      <c r="E787" s="1">
        <v>46095</v>
      </c>
      <c r="F787" s="2">
        <v>46063</v>
      </c>
      <c r="G787" t="s">
        <v>2321</v>
      </c>
      <c r="H787" t="s">
        <v>24</v>
      </c>
      <c r="I787" t="s">
        <v>2322</v>
      </c>
      <c r="J787" t="s">
        <v>20</v>
      </c>
    </row>
    <row r="788" spans="1:10" x14ac:dyDescent="0.2">
      <c r="A788">
        <v>1080</v>
      </c>
      <c r="B788" t="s">
        <v>2323</v>
      </c>
      <c r="C788">
        <v>49</v>
      </c>
      <c r="D788" t="s">
        <v>51</v>
      </c>
      <c r="E788" s="1">
        <v>45960</v>
      </c>
      <c r="F788" s="2">
        <v>45820</v>
      </c>
      <c r="G788" t="s">
        <v>2324</v>
      </c>
      <c r="H788" t="s">
        <v>24</v>
      </c>
      <c r="I788" t="s">
        <v>2325</v>
      </c>
      <c r="J788" t="s">
        <v>60</v>
      </c>
    </row>
    <row r="789" spans="1:10" x14ac:dyDescent="0.2">
      <c r="A789">
        <v>1069</v>
      </c>
      <c r="B789" t="s">
        <v>2326</v>
      </c>
      <c r="C789">
        <v>48</v>
      </c>
      <c r="D789" t="s">
        <v>16</v>
      </c>
      <c r="E789" s="2">
        <v>45931</v>
      </c>
      <c r="F789" s="2">
        <v>45599</v>
      </c>
      <c r="G789" t="s">
        <v>2327</v>
      </c>
      <c r="H789" t="s">
        <v>13</v>
      </c>
      <c r="I789" t="s">
        <v>2328</v>
      </c>
      <c r="J789" t="s">
        <v>30</v>
      </c>
    </row>
    <row r="790" spans="1:10" x14ac:dyDescent="0.2">
      <c r="A790">
        <v>1051</v>
      </c>
      <c r="B790" t="s">
        <v>2329</v>
      </c>
      <c r="C790">
        <v>63</v>
      </c>
      <c r="D790">
        <v>0</v>
      </c>
      <c r="E790" s="1">
        <v>46083</v>
      </c>
      <c r="F790" s="1">
        <v>45720</v>
      </c>
      <c r="G790" t="s">
        <v>2330</v>
      </c>
      <c r="H790" t="s">
        <v>28</v>
      </c>
      <c r="I790" t="s">
        <v>2331</v>
      </c>
      <c r="J790" t="s">
        <v>36</v>
      </c>
    </row>
    <row r="791" spans="1:10" x14ac:dyDescent="0.2">
      <c r="A791">
        <v>1092</v>
      </c>
      <c r="B791" t="s">
        <v>2332</v>
      </c>
      <c r="C791">
        <v>44</v>
      </c>
      <c r="D791">
        <v>0</v>
      </c>
      <c r="E791" s="2">
        <v>45992</v>
      </c>
      <c r="F791" s="1">
        <v>45504</v>
      </c>
      <c r="G791" t="s">
        <v>2333</v>
      </c>
      <c r="H791" t="s">
        <v>18</v>
      </c>
      <c r="I791" t="s">
        <v>2334</v>
      </c>
      <c r="J791" t="s">
        <v>20</v>
      </c>
    </row>
    <row r="792" spans="1:10" x14ac:dyDescent="0.2">
      <c r="A792">
        <v>1093</v>
      </c>
      <c r="B792" t="s">
        <v>203</v>
      </c>
      <c r="C792">
        <v>23</v>
      </c>
      <c r="D792" t="s">
        <v>71</v>
      </c>
      <c r="E792" s="2">
        <v>45909</v>
      </c>
      <c r="F792" s="1">
        <v>45621</v>
      </c>
      <c r="G792" t="s">
        <v>2335</v>
      </c>
      <c r="H792" t="s">
        <v>28</v>
      </c>
      <c r="I792" t="s">
        <v>2336</v>
      </c>
      <c r="J792">
        <v>0</v>
      </c>
    </row>
    <row r="793" spans="1:10" x14ac:dyDescent="0.2">
      <c r="A793">
        <v>1075</v>
      </c>
      <c r="B793" t="s">
        <v>2337</v>
      </c>
      <c r="C793">
        <v>48</v>
      </c>
      <c r="D793">
        <v>0</v>
      </c>
      <c r="E793" s="1">
        <v>45828</v>
      </c>
      <c r="F793" s="1">
        <v>45540</v>
      </c>
      <c r="G793" t="s">
        <v>2338</v>
      </c>
      <c r="H793" t="s">
        <v>28</v>
      </c>
      <c r="J793">
        <v>1</v>
      </c>
    </row>
    <row r="794" spans="1:10" x14ac:dyDescent="0.2">
      <c r="A794">
        <v>1055</v>
      </c>
      <c r="B794" t="s">
        <v>2339</v>
      </c>
      <c r="C794">
        <v>71</v>
      </c>
      <c r="D794" t="s">
        <v>71</v>
      </c>
      <c r="E794" s="2">
        <v>45794</v>
      </c>
      <c r="F794" s="1">
        <v>45501</v>
      </c>
      <c r="G794" t="s">
        <v>2340</v>
      </c>
      <c r="H794" t="s">
        <v>18</v>
      </c>
      <c r="I794" t="s">
        <v>2341</v>
      </c>
      <c r="J794" t="s">
        <v>20</v>
      </c>
    </row>
    <row r="795" spans="1:10" x14ac:dyDescent="0.2">
      <c r="A795">
        <v>1033</v>
      </c>
      <c r="B795" t="s">
        <v>2342</v>
      </c>
      <c r="C795">
        <v>74</v>
      </c>
      <c r="D795">
        <v>0</v>
      </c>
      <c r="E795" s="2">
        <v>45886</v>
      </c>
      <c r="F795" s="2">
        <v>45586</v>
      </c>
      <c r="G795" t="s">
        <v>2343</v>
      </c>
      <c r="H795" t="s">
        <v>28</v>
      </c>
      <c r="I795" t="s">
        <v>2344</v>
      </c>
      <c r="J795">
        <v>0</v>
      </c>
    </row>
    <row r="796" spans="1:10" x14ac:dyDescent="0.2">
      <c r="A796">
        <v>1074</v>
      </c>
      <c r="B796" t="s">
        <v>2345</v>
      </c>
      <c r="C796">
        <v>48</v>
      </c>
      <c r="D796">
        <v>0</v>
      </c>
      <c r="E796" s="1">
        <v>45755</v>
      </c>
      <c r="F796" s="1">
        <v>45691</v>
      </c>
      <c r="G796" t="s">
        <v>2346</v>
      </c>
      <c r="H796" t="s">
        <v>13</v>
      </c>
      <c r="I796" t="s">
        <v>2347</v>
      </c>
      <c r="J796">
        <v>0</v>
      </c>
    </row>
    <row r="797" spans="1:10" x14ac:dyDescent="0.2">
      <c r="A797">
        <v>1039</v>
      </c>
      <c r="B797" t="s">
        <v>2348</v>
      </c>
      <c r="C797">
        <v>58</v>
      </c>
      <c r="D797" t="s">
        <v>71</v>
      </c>
      <c r="E797" s="1">
        <v>45753</v>
      </c>
      <c r="F797" s="2">
        <v>45509</v>
      </c>
      <c r="G797" t="s">
        <v>2349</v>
      </c>
      <c r="H797" t="s">
        <v>24</v>
      </c>
      <c r="I797" t="s">
        <v>2350</v>
      </c>
      <c r="J797">
        <v>1</v>
      </c>
    </row>
    <row r="798" spans="1:10" x14ac:dyDescent="0.2">
      <c r="A798">
        <v>1050</v>
      </c>
      <c r="B798" t="s">
        <v>2351</v>
      </c>
      <c r="C798">
        <v>46</v>
      </c>
      <c r="D798" t="s">
        <v>38</v>
      </c>
      <c r="E798" s="2">
        <v>45763</v>
      </c>
      <c r="F798" s="1">
        <v>45589</v>
      </c>
      <c r="G798" t="s">
        <v>2352</v>
      </c>
      <c r="H798" t="s">
        <v>13</v>
      </c>
      <c r="J798">
        <v>0</v>
      </c>
    </row>
    <row r="799" spans="1:10" x14ac:dyDescent="0.2">
      <c r="A799">
        <v>1056</v>
      </c>
      <c r="B799" t="s">
        <v>2353</v>
      </c>
      <c r="C799">
        <v>71</v>
      </c>
      <c r="D799" t="s">
        <v>38</v>
      </c>
      <c r="E799" s="2">
        <v>45984</v>
      </c>
      <c r="F799" s="1">
        <v>45885</v>
      </c>
      <c r="G799" t="s">
        <v>2354</v>
      </c>
      <c r="H799" t="s">
        <v>28</v>
      </c>
      <c r="I799" t="s">
        <v>2355</v>
      </c>
      <c r="J799">
        <v>0</v>
      </c>
    </row>
    <row r="800" spans="1:10" x14ac:dyDescent="0.2">
      <c r="A800">
        <v>1025</v>
      </c>
      <c r="B800" t="s">
        <v>2356</v>
      </c>
      <c r="C800">
        <v>28</v>
      </c>
      <c r="D800">
        <v>1</v>
      </c>
      <c r="E800" s="2">
        <v>45956</v>
      </c>
      <c r="F800" s="2">
        <v>45710</v>
      </c>
      <c r="G800" t="s">
        <v>2357</v>
      </c>
      <c r="H800" t="s">
        <v>18</v>
      </c>
      <c r="I800" t="s">
        <v>2358</v>
      </c>
      <c r="J800" t="s">
        <v>36</v>
      </c>
    </row>
    <row r="801" spans="1:10" x14ac:dyDescent="0.2">
      <c r="A801">
        <v>1037</v>
      </c>
      <c r="B801" t="s">
        <v>2359</v>
      </c>
      <c r="C801">
        <v>39</v>
      </c>
      <c r="D801" t="s">
        <v>22</v>
      </c>
      <c r="E801" s="1">
        <v>45986</v>
      </c>
      <c r="F801" s="1">
        <v>45864</v>
      </c>
      <c r="G801" t="s">
        <v>2360</v>
      </c>
      <c r="H801" t="s">
        <v>28</v>
      </c>
      <c r="I801" t="s">
        <v>2361</v>
      </c>
      <c r="J801" t="s">
        <v>20</v>
      </c>
    </row>
    <row r="802" spans="1:10" x14ac:dyDescent="0.2">
      <c r="A802">
        <v>1010</v>
      </c>
      <c r="B802" t="s">
        <v>2362</v>
      </c>
      <c r="C802">
        <v>71</v>
      </c>
      <c r="D802" t="s">
        <v>38</v>
      </c>
      <c r="E802" s="2">
        <v>45838</v>
      </c>
      <c r="F802" s="1">
        <v>45517</v>
      </c>
      <c r="G802" t="s">
        <v>2363</v>
      </c>
      <c r="H802" t="s">
        <v>18</v>
      </c>
      <c r="I802" t="s">
        <v>2364</v>
      </c>
      <c r="J802" t="s">
        <v>20</v>
      </c>
    </row>
    <row r="803" spans="1:10" x14ac:dyDescent="0.2">
      <c r="A803">
        <v>1039</v>
      </c>
      <c r="B803" t="s">
        <v>2365</v>
      </c>
      <c r="C803">
        <v>46</v>
      </c>
      <c r="D803" t="s">
        <v>16</v>
      </c>
      <c r="E803" s="2">
        <v>45867</v>
      </c>
      <c r="F803" s="1">
        <v>45669</v>
      </c>
      <c r="G803" t="s">
        <v>2366</v>
      </c>
      <c r="H803" t="s">
        <v>13</v>
      </c>
      <c r="I803" t="s">
        <v>2367</v>
      </c>
      <c r="J803">
        <v>1</v>
      </c>
    </row>
    <row r="804" spans="1:10" x14ac:dyDescent="0.2">
      <c r="A804">
        <v>1040</v>
      </c>
      <c r="B804" t="s">
        <v>2368</v>
      </c>
      <c r="C804">
        <v>62</v>
      </c>
      <c r="D804" t="s">
        <v>51</v>
      </c>
      <c r="E804" s="2">
        <v>46043</v>
      </c>
      <c r="F804" s="1">
        <v>45639</v>
      </c>
      <c r="G804" t="s">
        <v>2369</v>
      </c>
      <c r="H804" t="s">
        <v>24</v>
      </c>
      <c r="I804" t="s">
        <v>2370</v>
      </c>
      <c r="J804" t="s">
        <v>36</v>
      </c>
    </row>
    <row r="805" spans="1:10" x14ac:dyDescent="0.2">
      <c r="A805">
        <v>1100</v>
      </c>
      <c r="B805" t="s">
        <v>2371</v>
      </c>
      <c r="C805">
        <v>52</v>
      </c>
      <c r="D805" t="s">
        <v>38</v>
      </c>
      <c r="E805" s="1">
        <v>45967</v>
      </c>
      <c r="F805" s="1">
        <v>45556</v>
      </c>
      <c r="G805" t="s">
        <v>2372</v>
      </c>
      <c r="H805" t="s">
        <v>24</v>
      </c>
      <c r="I805" t="s">
        <v>2373</v>
      </c>
      <c r="J805">
        <v>1</v>
      </c>
    </row>
    <row r="806" spans="1:10" x14ac:dyDescent="0.2">
      <c r="A806">
        <v>1071</v>
      </c>
      <c r="B806" t="s">
        <v>2374</v>
      </c>
      <c r="C806">
        <v>41</v>
      </c>
      <c r="D806" t="s">
        <v>11</v>
      </c>
      <c r="E806" s="1">
        <v>46083</v>
      </c>
      <c r="F806" s="2">
        <v>45927</v>
      </c>
      <c r="G806" t="s">
        <v>2375</v>
      </c>
      <c r="H806" t="s">
        <v>28</v>
      </c>
      <c r="I806" t="s">
        <v>2376</v>
      </c>
      <c r="J806" t="s">
        <v>60</v>
      </c>
    </row>
    <row r="807" spans="1:10" x14ac:dyDescent="0.2">
      <c r="A807">
        <v>1097</v>
      </c>
      <c r="B807" t="s">
        <v>2377</v>
      </c>
      <c r="C807">
        <v>88</v>
      </c>
      <c r="D807" t="s">
        <v>16</v>
      </c>
      <c r="E807" s="2">
        <v>46018</v>
      </c>
      <c r="F807" s="2">
        <v>45651</v>
      </c>
      <c r="G807" t="s">
        <v>2378</v>
      </c>
      <c r="H807" t="s">
        <v>28</v>
      </c>
      <c r="I807" t="s">
        <v>2379</v>
      </c>
      <c r="J807" t="s">
        <v>20</v>
      </c>
    </row>
    <row r="808" spans="1:10" x14ac:dyDescent="0.2">
      <c r="A808">
        <v>1047</v>
      </c>
      <c r="B808" t="s">
        <v>2380</v>
      </c>
      <c r="C808">
        <v>51</v>
      </c>
      <c r="D808">
        <v>1</v>
      </c>
      <c r="E808" s="2">
        <v>45962</v>
      </c>
      <c r="F808" s="1">
        <v>45928</v>
      </c>
      <c r="G808" t="s">
        <v>2381</v>
      </c>
      <c r="H808" t="s">
        <v>24</v>
      </c>
      <c r="I808" t="s">
        <v>2382</v>
      </c>
      <c r="J808">
        <v>1</v>
      </c>
    </row>
    <row r="809" spans="1:10" x14ac:dyDescent="0.2">
      <c r="A809">
        <v>1041</v>
      </c>
      <c r="B809" t="s">
        <v>2383</v>
      </c>
      <c r="C809">
        <v>70</v>
      </c>
      <c r="D809">
        <v>1</v>
      </c>
      <c r="E809" s="2">
        <v>45864</v>
      </c>
      <c r="F809" s="1">
        <v>45537</v>
      </c>
      <c r="G809" t="s">
        <v>2384</v>
      </c>
      <c r="H809" t="s">
        <v>24</v>
      </c>
      <c r="J809">
        <v>0</v>
      </c>
    </row>
    <row r="810" spans="1:10" x14ac:dyDescent="0.2">
      <c r="A810">
        <v>1067</v>
      </c>
      <c r="B810" t="s">
        <v>2385</v>
      </c>
      <c r="C810">
        <v>57</v>
      </c>
      <c r="D810" t="s">
        <v>11</v>
      </c>
      <c r="E810" s="2">
        <v>46013</v>
      </c>
      <c r="F810" s="1">
        <v>45663</v>
      </c>
      <c r="G810" t="s">
        <v>610</v>
      </c>
      <c r="H810" t="s">
        <v>24</v>
      </c>
      <c r="I810" t="s">
        <v>2386</v>
      </c>
      <c r="J810" t="s">
        <v>60</v>
      </c>
    </row>
    <row r="811" spans="1:10" x14ac:dyDescent="0.2">
      <c r="A811">
        <v>1064</v>
      </c>
      <c r="B811" t="s">
        <v>2387</v>
      </c>
      <c r="C811">
        <v>57</v>
      </c>
      <c r="D811" t="s">
        <v>51</v>
      </c>
      <c r="E811" s="1">
        <v>45907</v>
      </c>
      <c r="F811" s="1">
        <v>45569</v>
      </c>
      <c r="G811" t="s">
        <v>2388</v>
      </c>
      <c r="H811" t="s">
        <v>28</v>
      </c>
      <c r="I811" t="s">
        <v>2389</v>
      </c>
      <c r="J811">
        <v>0</v>
      </c>
    </row>
    <row r="812" spans="1:10" x14ac:dyDescent="0.2">
      <c r="A812">
        <v>1008</v>
      </c>
      <c r="B812" t="s">
        <v>2390</v>
      </c>
      <c r="C812">
        <v>22</v>
      </c>
      <c r="D812" t="s">
        <v>11</v>
      </c>
      <c r="E812" s="1">
        <v>45912</v>
      </c>
      <c r="F812" s="2">
        <v>45555</v>
      </c>
      <c r="G812" t="s">
        <v>2391</v>
      </c>
      <c r="H812" t="s">
        <v>28</v>
      </c>
      <c r="I812" t="s">
        <v>2392</v>
      </c>
      <c r="J812">
        <v>1</v>
      </c>
    </row>
    <row r="813" spans="1:10" x14ac:dyDescent="0.2">
      <c r="A813">
        <v>1097</v>
      </c>
      <c r="B813" t="s">
        <v>2393</v>
      </c>
      <c r="C813">
        <v>42</v>
      </c>
      <c r="D813" t="s">
        <v>38</v>
      </c>
      <c r="E813" s="2">
        <v>46054</v>
      </c>
      <c r="F813" s="2">
        <v>46022</v>
      </c>
      <c r="G813" t="s">
        <v>2394</v>
      </c>
      <c r="H813" t="s">
        <v>24</v>
      </c>
      <c r="I813" t="s">
        <v>2395</v>
      </c>
      <c r="J813" t="s">
        <v>30</v>
      </c>
    </row>
    <row r="814" spans="1:10" x14ac:dyDescent="0.2">
      <c r="A814">
        <v>1053</v>
      </c>
      <c r="B814" t="s">
        <v>2396</v>
      </c>
      <c r="C814">
        <v>39</v>
      </c>
      <c r="D814">
        <v>1</v>
      </c>
      <c r="E814" s="1">
        <v>46037</v>
      </c>
      <c r="F814" s="1">
        <v>45972</v>
      </c>
      <c r="G814" t="s">
        <v>2397</v>
      </c>
      <c r="H814" t="s">
        <v>28</v>
      </c>
      <c r="I814" t="s">
        <v>2398</v>
      </c>
      <c r="J814" t="s">
        <v>60</v>
      </c>
    </row>
    <row r="815" spans="1:10" x14ac:dyDescent="0.2">
      <c r="A815">
        <v>1035</v>
      </c>
      <c r="B815" t="s">
        <v>2399</v>
      </c>
      <c r="C815">
        <v>46</v>
      </c>
      <c r="D815" t="s">
        <v>16</v>
      </c>
      <c r="E815" s="1">
        <v>45882</v>
      </c>
      <c r="F815" s="1">
        <v>45802</v>
      </c>
      <c r="G815" t="s">
        <v>2400</v>
      </c>
      <c r="H815" t="s">
        <v>13</v>
      </c>
      <c r="I815" t="s">
        <v>2401</v>
      </c>
      <c r="J815">
        <v>1</v>
      </c>
    </row>
    <row r="816" spans="1:10" x14ac:dyDescent="0.2">
      <c r="A816">
        <v>1074</v>
      </c>
      <c r="B816" t="s">
        <v>2402</v>
      </c>
      <c r="C816">
        <v>87</v>
      </c>
      <c r="E816" s="2">
        <v>45796</v>
      </c>
      <c r="F816" s="1">
        <v>45455</v>
      </c>
      <c r="G816" t="s">
        <v>2403</v>
      </c>
      <c r="H816" t="s">
        <v>28</v>
      </c>
      <c r="I816" t="s">
        <v>2404</v>
      </c>
      <c r="J816" t="s">
        <v>20</v>
      </c>
    </row>
    <row r="817" spans="1:10" x14ac:dyDescent="0.2">
      <c r="A817">
        <v>1015</v>
      </c>
      <c r="B817" t="s">
        <v>2405</v>
      </c>
      <c r="C817">
        <v>21</v>
      </c>
      <c r="D817" t="s">
        <v>11</v>
      </c>
      <c r="E817" s="1">
        <v>45842</v>
      </c>
      <c r="F817" s="2">
        <v>45695</v>
      </c>
      <c r="G817" t="s">
        <v>1562</v>
      </c>
      <c r="H817" t="s">
        <v>13</v>
      </c>
      <c r="I817" t="s">
        <v>2406</v>
      </c>
      <c r="J817" t="s">
        <v>60</v>
      </c>
    </row>
    <row r="818" spans="1:10" x14ac:dyDescent="0.2">
      <c r="A818">
        <v>1071</v>
      </c>
      <c r="B818" t="s">
        <v>2407</v>
      </c>
      <c r="C818">
        <v>88</v>
      </c>
      <c r="D818" t="s">
        <v>16</v>
      </c>
      <c r="E818" s="1">
        <v>45961</v>
      </c>
      <c r="F818" s="1">
        <v>45831</v>
      </c>
      <c r="G818" t="s">
        <v>2408</v>
      </c>
      <c r="H818" t="s">
        <v>13</v>
      </c>
      <c r="I818" t="s">
        <v>2409</v>
      </c>
      <c r="J818" t="s">
        <v>36</v>
      </c>
    </row>
    <row r="819" spans="1:10" x14ac:dyDescent="0.2">
      <c r="A819">
        <v>1044</v>
      </c>
      <c r="B819" t="s">
        <v>2410</v>
      </c>
      <c r="C819">
        <v>83</v>
      </c>
      <c r="D819">
        <v>1</v>
      </c>
      <c r="E819" s="2">
        <v>45824</v>
      </c>
      <c r="F819" s="1">
        <v>45723</v>
      </c>
      <c r="G819" t="s">
        <v>676</v>
      </c>
      <c r="H819" t="s">
        <v>13</v>
      </c>
      <c r="J819" t="s">
        <v>30</v>
      </c>
    </row>
    <row r="820" spans="1:10" x14ac:dyDescent="0.2">
      <c r="A820">
        <v>1038</v>
      </c>
      <c r="B820" t="s">
        <v>2411</v>
      </c>
      <c r="C820">
        <v>29</v>
      </c>
      <c r="D820" t="s">
        <v>16</v>
      </c>
      <c r="E820" s="2">
        <v>46073</v>
      </c>
      <c r="F820" s="2">
        <v>45526</v>
      </c>
      <c r="G820" t="s">
        <v>2412</v>
      </c>
      <c r="H820" t="s">
        <v>24</v>
      </c>
      <c r="I820" t="s">
        <v>2413</v>
      </c>
      <c r="J820">
        <v>0</v>
      </c>
    </row>
    <row r="821" spans="1:10" x14ac:dyDescent="0.2">
      <c r="A821">
        <v>1001</v>
      </c>
      <c r="B821" t="s">
        <v>2414</v>
      </c>
      <c r="C821">
        <v>30</v>
      </c>
      <c r="D821" t="s">
        <v>71</v>
      </c>
      <c r="E821" s="2">
        <v>45807</v>
      </c>
      <c r="F821" s="2">
        <v>45631</v>
      </c>
      <c r="G821" t="s">
        <v>2415</v>
      </c>
      <c r="H821" t="s">
        <v>24</v>
      </c>
      <c r="J821" t="s">
        <v>36</v>
      </c>
    </row>
    <row r="822" spans="1:10" x14ac:dyDescent="0.2">
      <c r="A822">
        <v>1056</v>
      </c>
      <c r="B822" t="s">
        <v>2416</v>
      </c>
      <c r="C822">
        <v>33</v>
      </c>
      <c r="E822" s="2">
        <v>45946</v>
      </c>
      <c r="F822" s="2">
        <v>45548</v>
      </c>
      <c r="G822" t="s">
        <v>2417</v>
      </c>
      <c r="H822" t="s">
        <v>18</v>
      </c>
      <c r="I822" t="s">
        <v>2418</v>
      </c>
      <c r="J822" t="s">
        <v>30</v>
      </c>
    </row>
    <row r="823" spans="1:10" x14ac:dyDescent="0.2">
      <c r="A823">
        <v>1008</v>
      </c>
      <c r="B823" t="s">
        <v>2419</v>
      </c>
      <c r="C823">
        <v>71</v>
      </c>
      <c r="E823" s="2">
        <v>45906</v>
      </c>
      <c r="F823" s="1">
        <v>45433</v>
      </c>
      <c r="G823" t="s">
        <v>2420</v>
      </c>
      <c r="H823" t="s">
        <v>24</v>
      </c>
      <c r="I823" t="s">
        <v>2421</v>
      </c>
      <c r="J823">
        <v>0</v>
      </c>
    </row>
    <row r="824" spans="1:10" x14ac:dyDescent="0.2">
      <c r="A824">
        <v>1099</v>
      </c>
      <c r="B824" t="s">
        <v>2422</v>
      </c>
      <c r="C824">
        <v>74</v>
      </c>
      <c r="D824" t="s">
        <v>71</v>
      </c>
      <c r="E824" s="1">
        <v>45786</v>
      </c>
      <c r="F824" s="1">
        <v>45608</v>
      </c>
      <c r="G824" t="s">
        <v>2423</v>
      </c>
      <c r="H824" t="s">
        <v>13</v>
      </c>
      <c r="I824" t="s">
        <v>2424</v>
      </c>
      <c r="J824" t="s">
        <v>60</v>
      </c>
    </row>
    <row r="825" spans="1:10" x14ac:dyDescent="0.2">
      <c r="A825">
        <v>1060</v>
      </c>
      <c r="B825" t="s">
        <v>2425</v>
      </c>
      <c r="C825">
        <v>26</v>
      </c>
      <c r="D825" t="s">
        <v>71</v>
      </c>
      <c r="E825" s="1">
        <v>45947</v>
      </c>
      <c r="F825" s="1">
        <v>45638</v>
      </c>
      <c r="G825" t="s">
        <v>2426</v>
      </c>
      <c r="H825" t="s">
        <v>18</v>
      </c>
      <c r="I825" t="s">
        <v>2427</v>
      </c>
      <c r="J825" t="s">
        <v>30</v>
      </c>
    </row>
    <row r="826" spans="1:10" x14ac:dyDescent="0.2">
      <c r="A826">
        <v>1080</v>
      </c>
      <c r="B826" t="s">
        <v>2428</v>
      </c>
      <c r="C826">
        <v>18</v>
      </c>
      <c r="D826" t="s">
        <v>71</v>
      </c>
      <c r="E826" s="1">
        <v>45812</v>
      </c>
      <c r="F826" s="1">
        <v>45640</v>
      </c>
      <c r="G826" t="s">
        <v>2429</v>
      </c>
      <c r="H826" t="s">
        <v>24</v>
      </c>
      <c r="I826" t="s">
        <v>2430</v>
      </c>
      <c r="J826" t="s">
        <v>30</v>
      </c>
    </row>
    <row r="827" spans="1:10" x14ac:dyDescent="0.2">
      <c r="A827">
        <v>1056</v>
      </c>
      <c r="B827" t="s">
        <v>2431</v>
      </c>
      <c r="C827">
        <v>26</v>
      </c>
      <c r="D827">
        <v>0</v>
      </c>
      <c r="E827" s="2">
        <v>45987</v>
      </c>
      <c r="F827" s="1">
        <v>45764</v>
      </c>
      <c r="G827" t="s">
        <v>2432</v>
      </c>
      <c r="H827" t="s">
        <v>24</v>
      </c>
      <c r="I827" t="s">
        <v>2433</v>
      </c>
      <c r="J827" t="s">
        <v>30</v>
      </c>
    </row>
    <row r="828" spans="1:10" x14ac:dyDescent="0.2">
      <c r="A828">
        <v>1077</v>
      </c>
      <c r="B828" t="s">
        <v>2434</v>
      </c>
      <c r="C828">
        <v>78</v>
      </c>
      <c r="D828" t="s">
        <v>51</v>
      </c>
      <c r="E828" s="1">
        <v>46031</v>
      </c>
      <c r="F828" s="1">
        <v>45784</v>
      </c>
      <c r="G828" t="s">
        <v>2435</v>
      </c>
      <c r="H828" t="s">
        <v>13</v>
      </c>
      <c r="I828" t="s">
        <v>2436</v>
      </c>
      <c r="J828">
        <v>0</v>
      </c>
    </row>
    <row r="829" spans="1:10" x14ac:dyDescent="0.2">
      <c r="A829">
        <v>1036</v>
      </c>
      <c r="B829" t="s">
        <v>2437</v>
      </c>
      <c r="C829">
        <v>25</v>
      </c>
      <c r="D829" t="s">
        <v>71</v>
      </c>
      <c r="E829" s="2">
        <v>45822</v>
      </c>
      <c r="F829" s="1">
        <v>45409</v>
      </c>
      <c r="G829" t="s">
        <v>2438</v>
      </c>
      <c r="H829" t="s">
        <v>24</v>
      </c>
      <c r="I829" t="s">
        <v>2439</v>
      </c>
      <c r="J829" t="s">
        <v>36</v>
      </c>
    </row>
    <row r="830" spans="1:10" x14ac:dyDescent="0.2">
      <c r="A830">
        <v>1050</v>
      </c>
      <c r="B830" t="s">
        <v>728</v>
      </c>
      <c r="C830">
        <v>41</v>
      </c>
      <c r="D830" t="s">
        <v>11</v>
      </c>
      <c r="E830" s="2">
        <v>46060</v>
      </c>
      <c r="F830" s="1">
        <v>45804</v>
      </c>
      <c r="G830" t="s">
        <v>2440</v>
      </c>
      <c r="H830" t="s">
        <v>18</v>
      </c>
      <c r="I830" t="s">
        <v>2441</v>
      </c>
      <c r="J830" t="s">
        <v>36</v>
      </c>
    </row>
    <row r="831" spans="1:10" x14ac:dyDescent="0.2">
      <c r="A831">
        <v>1003</v>
      </c>
      <c r="B831" t="s">
        <v>2442</v>
      </c>
      <c r="C831">
        <v>85</v>
      </c>
      <c r="D831" t="s">
        <v>11</v>
      </c>
      <c r="E831" s="1">
        <v>45868</v>
      </c>
      <c r="F831" s="2">
        <v>45579</v>
      </c>
      <c r="G831" t="s">
        <v>2443</v>
      </c>
      <c r="H831" t="s">
        <v>13</v>
      </c>
      <c r="I831" t="s">
        <v>2444</v>
      </c>
      <c r="J831">
        <v>1</v>
      </c>
    </row>
    <row r="832" spans="1:10" x14ac:dyDescent="0.2">
      <c r="A832">
        <v>1042</v>
      </c>
      <c r="B832" t="s">
        <v>2445</v>
      </c>
      <c r="C832">
        <v>60</v>
      </c>
      <c r="D832" t="s">
        <v>11</v>
      </c>
      <c r="E832" s="2">
        <v>45744</v>
      </c>
      <c r="F832" s="2">
        <v>45610</v>
      </c>
      <c r="G832" t="s">
        <v>2446</v>
      </c>
      <c r="H832" t="s">
        <v>18</v>
      </c>
      <c r="I832" t="s">
        <v>2447</v>
      </c>
      <c r="J832" t="s">
        <v>36</v>
      </c>
    </row>
    <row r="833" spans="1:10" x14ac:dyDescent="0.2">
      <c r="A833">
        <v>1019</v>
      </c>
      <c r="B833" t="s">
        <v>2448</v>
      </c>
      <c r="C833">
        <v>34</v>
      </c>
      <c r="D833" t="s">
        <v>38</v>
      </c>
      <c r="E833" s="2">
        <v>46081</v>
      </c>
      <c r="F833" s="1">
        <v>45869</v>
      </c>
      <c r="G833" t="s">
        <v>2449</v>
      </c>
      <c r="H833" t="s">
        <v>28</v>
      </c>
      <c r="I833" t="s">
        <v>2450</v>
      </c>
      <c r="J833" t="s">
        <v>36</v>
      </c>
    </row>
    <row r="834" spans="1:10" x14ac:dyDescent="0.2">
      <c r="A834">
        <v>1073</v>
      </c>
      <c r="B834" t="s">
        <v>2451</v>
      </c>
      <c r="C834">
        <v>32</v>
      </c>
      <c r="D834" t="s">
        <v>16</v>
      </c>
      <c r="E834" s="1">
        <v>46044</v>
      </c>
      <c r="F834" s="1">
        <v>45625</v>
      </c>
      <c r="G834" t="s">
        <v>2452</v>
      </c>
      <c r="H834" t="s">
        <v>13</v>
      </c>
      <c r="I834" t="s">
        <v>2453</v>
      </c>
      <c r="J834" t="s">
        <v>20</v>
      </c>
    </row>
    <row r="835" spans="1:10" x14ac:dyDescent="0.2">
      <c r="A835">
        <v>1027</v>
      </c>
      <c r="B835" t="s">
        <v>2454</v>
      </c>
      <c r="C835">
        <v>54</v>
      </c>
      <c r="D835" t="s">
        <v>16</v>
      </c>
      <c r="E835" s="1">
        <v>46001</v>
      </c>
      <c r="F835" s="2">
        <v>45724</v>
      </c>
      <c r="G835" t="s">
        <v>2455</v>
      </c>
      <c r="H835" t="s">
        <v>18</v>
      </c>
      <c r="I835" t="s">
        <v>2456</v>
      </c>
      <c r="J835" t="s">
        <v>20</v>
      </c>
    </row>
    <row r="836" spans="1:10" x14ac:dyDescent="0.2">
      <c r="A836">
        <v>1004</v>
      </c>
      <c r="B836" t="s">
        <v>2457</v>
      </c>
      <c r="C836">
        <v>47</v>
      </c>
      <c r="D836" t="s">
        <v>38</v>
      </c>
      <c r="E836" s="2">
        <v>45986</v>
      </c>
      <c r="F836" s="1">
        <v>45571</v>
      </c>
      <c r="G836" t="s">
        <v>2458</v>
      </c>
      <c r="H836" t="s">
        <v>13</v>
      </c>
      <c r="I836" t="s">
        <v>2459</v>
      </c>
      <c r="J836">
        <v>0</v>
      </c>
    </row>
    <row r="837" spans="1:10" x14ac:dyDescent="0.2">
      <c r="A837">
        <v>1077</v>
      </c>
      <c r="B837" t="s">
        <v>2460</v>
      </c>
      <c r="C837">
        <v>21</v>
      </c>
      <c r="D837" t="s">
        <v>16</v>
      </c>
      <c r="E837" s="1">
        <v>45886</v>
      </c>
      <c r="F837" s="2">
        <v>45475</v>
      </c>
      <c r="G837" t="s">
        <v>2461</v>
      </c>
      <c r="H837" t="s">
        <v>18</v>
      </c>
      <c r="I837" t="s">
        <v>2462</v>
      </c>
      <c r="J837" t="s">
        <v>30</v>
      </c>
    </row>
    <row r="838" spans="1:10" x14ac:dyDescent="0.2">
      <c r="A838">
        <v>1085</v>
      </c>
      <c r="B838" t="s">
        <v>2463</v>
      </c>
      <c r="C838">
        <v>85</v>
      </c>
      <c r="D838" t="s">
        <v>38</v>
      </c>
      <c r="E838" s="1">
        <v>45906</v>
      </c>
      <c r="F838" s="1">
        <v>45715</v>
      </c>
      <c r="G838" t="s">
        <v>2464</v>
      </c>
      <c r="H838" t="s">
        <v>24</v>
      </c>
      <c r="I838" t="s">
        <v>2465</v>
      </c>
      <c r="J838" t="s">
        <v>20</v>
      </c>
    </row>
    <row r="839" spans="1:10" x14ac:dyDescent="0.2">
      <c r="A839">
        <v>1025</v>
      </c>
      <c r="B839" t="s">
        <v>2466</v>
      </c>
      <c r="C839">
        <v>42</v>
      </c>
      <c r="E839" s="2">
        <v>45921</v>
      </c>
      <c r="F839" s="2">
        <v>45631</v>
      </c>
      <c r="G839" t="s">
        <v>2467</v>
      </c>
      <c r="H839" t="s">
        <v>18</v>
      </c>
      <c r="I839" t="s">
        <v>2468</v>
      </c>
      <c r="J839" t="s">
        <v>30</v>
      </c>
    </row>
    <row r="840" spans="1:10" x14ac:dyDescent="0.2">
      <c r="A840">
        <v>1029</v>
      </c>
      <c r="B840" t="s">
        <v>2469</v>
      </c>
      <c r="C840">
        <v>63</v>
      </c>
      <c r="D840">
        <v>1</v>
      </c>
      <c r="E840" s="1">
        <v>45882</v>
      </c>
      <c r="F840" s="2">
        <v>45538</v>
      </c>
      <c r="G840" t="s">
        <v>2470</v>
      </c>
      <c r="H840" t="s">
        <v>18</v>
      </c>
      <c r="I840" t="s">
        <v>2471</v>
      </c>
      <c r="J840" t="s">
        <v>30</v>
      </c>
    </row>
    <row r="841" spans="1:10" x14ac:dyDescent="0.2">
      <c r="A841">
        <v>1052</v>
      </c>
      <c r="B841" t="s">
        <v>2472</v>
      </c>
      <c r="C841">
        <v>26</v>
      </c>
      <c r="D841">
        <v>0</v>
      </c>
      <c r="E841" s="1">
        <v>45961</v>
      </c>
      <c r="F841" s="1">
        <v>45738</v>
      </c>
      <c r="G841" t="s">
        <v>2473</v>
      </c>
      <c r="H841" t="s">
        <v>24</v>
      </c>
      <c r="I841" t="s">
        <v>2474</v>
      </c>
      <c r="J841" t="s">
        <v>20</v>
      </c>
    </row>
    <row r="842" spans="1:10" x14ac:dyDescent="0.2">
      <c r="A842">
        <v>1062</v>
      </c>
      <c r="B842" t="s">
        <v>2475</v>
      </c>
      <c r="C842">
        <v>85</v>
      </c>
      <c r="D842" t="s">
        <v>11</v>
      </c>
      <c r="E842" s="1">
        <v>46057</v>
      </c>
      <c r="F842" s="1">
        <v>45648</v>
      </c>
      <c r="G842" t="s">
        <v>2476</v>
      </c>
      <c r="H842" t="s">
        <v>13</v>
      </c>
      <c r="I842" t="s">
        <v>2477</v>
      </c>
      <c r="J842">
        <v>1</v>
      </c>
    </row>
    <row r="843" spans="1:10" x14ac:dyDescent="0.2">
      <c r="A843">
        <v>1014</v>
      </c>
      <c r="B843" t="s">
        <v>2478</v>
      </c>
      <c r="C843">
        <v>29</v>
      </c>
      <c r="D843" t="s">
        <v>11</v>
      </c>
      <c r="E843" s="2">
        <v>45903</v>
      </c>
      <c r="F843" s="1">
        <v>45500</v>
      </c>
      <c r="G843" t="s">
        <v>2479</v>
      </c>
      <c r="H843" t="s">
        <v>28</v>
      </c>
      <c r="I843" t="s">
        <v>2480</v>
      </c>
      <c r="J843" t="s">
        <v>60</v>
      </c>
    </row>
    <row r="844" spans="1:10" x14ac:dyDescent="0.2">
      <c r="A844">
        <v>1056</v>
      </c>
      <c r="B844" t="s">
        <v>2481</v>
      </c>
      <c r="C844">
        <v>84</v>
      </c>
      <c r="D844" t="s">
        <v>11</v>
      </c>
      <c r="E844" s="2">
        <v>45803</v>
      </c>
      <c r="F844" s="2">
        <v>45596</v>
      </c>
      <c r="G844" t="s">
        <v>2482</v>
      </c>
      <c r="H844" t="s">
        <v>13</v>
      </c>
      <c r="I844" t="s">
        <v>2483</v>
      </c>
      <c r="J844" t="s">
        <v>30</v>
      </c>
    </row>
    <row r="845" spans="1:10" x14ac:dyDescent="0.2">
      <c r="A845">
        <v>1073</v>
      </c>
      <c r="B845" t="s">
        <v>2484</v>
      </c>
      <c r="C845">
        <v>18</v>
      </c>
      <c r="D845" t="s">
        <v>38</v>
      </c>
      <c r="E845" s="1">
        <v>45886</v>
      </c>
      <c r="F845" s="2">
        <v>45833</v>
      </c>
      <c r="G845" t="s">
        <v>2485</v>
      </c>
      <c r="H845" t="s">
        <v>18</v>
      </c>
      <c r="I845" t="s">
        <v>2486</v>
      </c>
      <c r="J845" t="s">
        <v>20</v>
      </c>
    </row>
    <row r="846" spans="1:10" x14ac:dyDescent="0.2">
      <c r="A846">
        <v>1009</v>
      </c>
      <c r="B846" t="s">
        <v>2487</v>
      </c>
      <c r="C846">
        <v>30</v>
      </c>
      <c r="D846" t="s">
        <v>38</v>
      </c>
      <c r="E846" s="2">
        <v>45835</v>
      </c>
      <c r="F846" s="1">
        <v>45798</v>
      </c>
      <c r="G846" t="s">
        <v>2488</v>
      </c>
      <c r="H846" t="s">
        <v>28</v>
      </c>
      <c r="I846" t="s">
        <v>2489</v>
      </c>
      <c r="J846" t="s">
        <v>36</v>
      </c>
    </row>
    <row r="847" spans="1:10" x14ac:dyDescent="0.2">
      <c r="A847">
        <v>1029</v>
      </c>
      <c r="B847" t="s">
        <v>2490</v>
      </c>
      <c r="C847">
        <v>23</v>
      </c>
      <c r="D847" t="s">
        <v>16</v>
      </c>
      <c r="E847" s="2">
        <v>46054</v>
      </c>
      <c r="F847" s="1">
        <v>45904</v>
      </c>
      <c r="G847" t="s">
        <v>2491</v>
      </c>
      <c r="H847" t="s">
        <v>18</v>
      </c>
      <c r="I847" t="s">
        <v>2492</v>
      </c>
      <c r="J847" t="s">
        <v>36</v>
      </c>
    </row>
    <row r="848" spans="1:10" x14ac:dyDescent="0.2">
      <c r="A848">
        <v>1047</v>
      </c>
      <c r="B848" t="s">
        <v>2493</v>
      </c>
      <c r="C848">
        <v>66</v>
      </c>
      <c r="D848" t="s">
        <v>71</v>
      </c>
      <c r="E848" s="1">
        <v>45890</v>
      </c>
      <c r="F848" s="1">
        <v>45448</v>
      </c>
      <c r="G848" t="s">
        <v>2494</v>
      </c>
      <c r="H848" t="s">
        <v>28</v>
      </c>
      <c r="I848" t="s">
        <v>2495</v>
      </c>
      <c r="J848">
        <v>0</v>
      </c>
    </row>
    <row r="849" spans="1:10" x14ac:dyDescent="0.2">
      <c r="A849">
        <v>1091</v>
      </c>
      <c r="B849" t="s">
        <v>2496</v>
      </c>
      <c r="C849">
        <v>25</v>
      </c>
      <c r="D849" t="s">
        <v>22</v>
      </c>
      <c r="E849" s="1">
        <v>45980</v>
      </c>
      <c r="F849" s="2">
        <v>45976</v>
      </c>
      <c r="G849" t="s">
        <v>2497</v>
      </c>
      <c r="H849" t="s">
        <v>13</v>
      </c>
      <c r="I849" t="s">
        <v>2498</v>
      </c>
      <c r="J849" t="s">
        <v>60</v>
      </c>
    </row>
    <row r="850" spans="1:10" x14ac:dyDescent="0.2">
      <c r="A850">
        <v>1026</v>
      </c>
      <c r="B850" t="s">
        <v>2499</v>
      </c>
      <c r="C850">
        <v>56</v>
      </c>
      <c r="D850" t="s">
        <v>16</v>
      </c>
      <c r="E850" s="2">
        <v>46011</v>
      </c>
      <c r="F850" s="2">
        <v>45832</v>
      </c>
      <c r="G850" t="s">
        <v>2500</v>
      </c>
      <c r="H850" t="s">
        <v>28</v>
      </c>
      <c r="I850" t="s">
        <v>2501</v>
      </c>
      <c r="J850" t="s">
        <v>60</v>
      </c>
    </row>
    <row r="851" spans="1:10" x14ac:dyDescent="0.2">
      <c r="A851">
        <v>1075</v>
      </c>
      <c r="B851" t="s">
        <v>2502</v>
      </c>
      <c r="C851">
        <v>85</v>
      </c>
      <c r="D851">
        <v>0</v>
      </c>
      <c r="E851" s="1">
        <v>46090</v>
      </c>
      <c r="F851" s="2">
        <v>45734</v>
      </c>
      <c r="G851" t="s">
        <v>2503</v>
      </c>
      <c r="H851" t="s">
        <v>24</v>
      </c>
      <c r="I851" t="s">
        <v>2504</v>
      </c>
      <c r="J851" t="s">
        <v>30</v>
      </c>
    </row>
    <row r="852" spans="1:10" x14ac:dyDescent="0.2">
      <c r="A852">
        <v>1089</v>
      </c>
      <c r="B852" t="s">
        <v>2505</v>
      </c>
      <c r="C852">
        <v>76</v>
      </c>
      <c r="D852" t="s">
        <v>38</v>
      </c>
      <c r="E852" s="2">
        <v>46102</v>
      </c>
      <c r="F852" s="2">
        <v>45555</v>
      </c>
      <c r="G852" t="s">
        <v>2506</v>
      </c>
      <c r="H852" t="s">
        <v>24</v>
      </c>
      <c r="I852" t="s">
        <v>2507</v>
      </c>
      <c r="J852" t="s">
        <v>20</v>
      </c>
    </row>
    <row r="853" spans="1:10" x14ac:dyDescent="0.2">
      <c r="A853">
        <v>1031</v>
      </c>
      <c r="B853" t="s">
        <v>2508</v>
      </c>
      <c r="C853">
        <v>43</v>
      </c>
      <c r="D853" t="s">
        <v>22</v>
      </c>
      <c r="E853" s="2">
        <v>45896</v>
      </c>
      <c r="F853" s="2">
        <v>45423</v>
      </c>
      <c r="G853" t="s">
        <v>2509</v>
      </c>
      <c r="H853" t="s">
        <v>24</v>
      </c>
      <c r="I853" t="s">
        <v>2510</v>
      </c>
      <c r="J853">
        <v>1</v>
      </c>
    </row>
    <row r="854" spans="1:10" x14ac:dyDescent="0.2">
      <c r="A854">
        <v>1082</v>
      </c>
      <c r="B854" t="s">
        <v>2511</v>
      </c>
      <c r="C854">
        <v>51</v>
      </c>
      <c r="D854" t="s">
        <v>71</v>
      </c>
      <c r="E854" s="1">
        <v>45902</v>
      </c>
      <c r="F854" s="2">
        <v>45884</v>
      </c>
      <c r="G854" t="s">
        <v>2512</v>
      </c>
      <c r="H854" t="s">
        <v>18</v>
      </c>
      <c r="I854" t="s">
        <v>2513</v>
      </c>
      <c r="J854" t="s">
        <v>60</v>
      </c>
    </row>
    <row r="855" spans="1:10" x14ac:dyDescent="0.2">
      <c r="A855">
        <v>1022</v>
      </c>
      <c r="B855" t="s">
        <v>2514</v>
      </c>
      <c r="C855">
        <v>89</v>
      </c>
      <c r="D855">
        <v>0</v>
      </c>
      <c r="E855" s="2">
        <v>46055</v>
      </c>
      <c r="F855" s="2">
        <v>45665</v>
      </c>
      <c r="G855" t="s">
        <v>2515</v>
      </c>
      <c r="H855" t="s">
        <v>24</v>
      </c>
      <c r="I855" t="s">
        <v>2516</v>
      </c>
      <c r="J855">
        <v>1</v>
      </c>
    </row>
    <row r="856" spans="1:10" x14ac:dyDescent="0.2">
      <c r="A856">
        <v>1063</v>
      </c>
      <c r="B856" t="s">
        <v>2517</v>
      </c>
      <c r="C856">
        <v>48</v>
      </c>
      <c r="D856" t="s">
        <v>16</v>
      </c>
      <c r="E856" s="1">
        <v>46045</v>
      </c>
      <c r="F856" s="1">
        <v>45943</v>
      </c>
      <c r="G856" t="s">
        <v>2518</v>
      </c>
      <c r="H856" t="s">
        <v>18</v>
      </c>
      <c r="I856" t="s">
        <v>2519</v>
      </c>
      <c r="J856" t="s">
        <v>30</v>
      </c>
    </row>
    <row r="857" spans="1:10" x14ac:dyDescent="0.2">
      <c r="A857">
        <v>1009</v>
      </c>
      <c r="B857" t="s">
        <v>2520</v>
      </c>
      <c r="C857">
        <v>37</v>
      </c>
      <c r="D857" t="s">
        <v>22</v>
      </c>
      <c r="E857" s="1">
        <v>45861</v>
      </c>
      <c r="F857" s="2">
        <v>45730</v>
      </c>
      <c r="G857" t="s">
        <v>2521</v>
      </c>
      <c r="H857" t="s">
        <v>13</v>
      </c>
      <c r="I857" t="s">
        <v>2522</v>
      </c>
      <c r="J857" t="s">
        <v>30</v>
      </c>
    </row>
    <row r="858" spans="1:10" x14ac:dyDescent="0.2">
      <c r="A858">
        <v>1079</v>
      </c>
      <c r="B858" t="s">
        <v>2523</v>
      </c>
      <c r="C858">
        <v>64</v>
      </c>
      <c r="D858">
        <v>1</v>
      </c>
      <c r="E858" s="2">
        <v>45871</v>
      </c>
      <c r="F858" s="1">
        <v>45808</v>
      </c>
      <c r="G858" t="s">
        <v>2524</v>
      </c>
      <c r="H858" t="s">
        <v>24</v>
      </c>
      <c r="I858" t="s">
        <v>2525</v>
      </c>
      <c r="J858" t="s">
        <v>36</v>
      </c>
    </row>
    <row r="859" spans="1:10" x14ac:dyDescent="0.2">
      <c r="A859">
        <v>1001</v>
      </c>
      <c r="B859" t="s">
        <v>2526</v>
      </c>
      <c r="C859">
        <v>25</v>
      </c>
      <c r="D859" t="s">
        <v>16</v>
      </c>
      <c r="E859" s="2">
        <v>46062</v>
      </c>
      <c r="F859" s="2">
        <v>45676</v>
      </c>
      <c r="G859" t="s">
        <v>2527</v>
      </c>
      <c r="H859" t="s">
        <v>18</v>
      </c>
      <c r="I859" t="s">
        <v>2528</v>
      </c>
      <c r="J859">
        <v>1</v>
      </c>
    </row>
    <row r="860" spans="1:10" x14ac:dyDescent="0.2">
      <c r="A860">
        <v>1022</v>
      </c>
      <c r="B860" t="s">
        <v>2529</v>
      </c>
      <c r="C860">
        <v>78</v>
      </c>
      <c r="D860" t="s">
        <v>51</v>
      </c>
      <c r="E860" s="2">
        <v>45939</v>
      </c>
      <c r="F860" s="1">
        <v>45832</v>
      </c>
      <c r="G860" t="s">
        <v>2530</v>
      </c>
      <c r="H860" t="s">
        <v>28</v>
      </c>
      <c r="I860" t="s">
        <v>2531</v>
      </c>
      <c r="J860" t="s">
        <v>20</v>
      </c>
    </row>
    <row r="861" spans="1:10" x14ac:dyDescent="0.2">
      <c r="A861">
        <v>1008</v>
      </c>
      <c r="B861" t="s">
        <v>2532</v>
      </c>
      <c r="C861">
        <v>77</v>
      </c>
      <c r="D861" t="s">
        <v>38</v>
      </c>
      <c r="E861" s="2">
        <v>46029</v>
      </c>
      <c r="F861" s="2">
        <v>45472</v>
      </c>
      <c r="G861" t="s">
        <v>2533</v>
      </c>
      <c r="H861" t="s">
        <v>13</v>
      </c>
      <c r="I861" t="s">
        <v>2534</v>
      </c>
      <c r="J861" t="s">
        <v>20</v>
      </c>
    </row>
    <row r="862" spans="1:10" x14ac:dyDescent="0.2">
      <c r="A862">
        <v>1100</v>
      </c>
      <c r="B862" t="s">
        <v>2535</v>
      </c>
      <c r="C862">
        <v>46</v>
      </c>
      <c r="D862" t="s">
        <v>51</v>
      </c>
      <c r="E862" s="1">
        <v>46054</v>
      </c>
      <c r="F862" s="1">
        <v>45835</v>
      </c>
      <c r="G862" t="s">
        <v>2536</v>
      </c>
      <c r="H862" t="s">
        <v>13</v>
      </c>
      <c r="I862" t="s">
        <v>2537</v>
      </c>
      <c r="J862" t="s">
        <v>20</v>
      </c>
    </row>
    <row r="863" spans="1:10" x14ac:dyDescent="0.2">
      <c r="A863">
        <v>1074</v>
      </c>
      <c r="B863" t="s">
        <v>2538</v>
      </c>
      <c r="C863">
        <v>90</v>
      </c>
      <c r="D863" t="s">
        <v>16</v>
      </c>
      <c r="E863" s="2">
        <v>45966</v>
      </c>
      <c r="F863" s="2">
        <v>45449</v>
      </c>
      <c r="G863" t="s">
        <v>2539</v>
      </c>
      <c r="H863" t="s">
        <v>28</v>
      </c>
      <c r="I863" t="s">
        <v>2540</v>
      </c>
      <c r="J863">
        <v>0</v>
      </c>
    </row>
    <row r="864" spans="1:10" x14ac:dyDescent="0.2">
      <c r="A864">
        <v>1037</v>
      </c>
      <c r="B864" t="s">
        <v>2541</v>
      </c>
      <c r="C864">
        <v>26</v>
      </c>
      <c r="D864">
        <v>1</v>
      </c>
      <c r="E864" s="1">
        <v>46039</v>
      </c>
      <c r="F864" s="2">
        <v>45471</v>
      </c>
      <c r="G864" t="s">
        <v>2542</v>
      </c>
      <c r="H864" t="s">
        <v>28</v>
      </c>
      <c r="I864" t="s">
        <v>2543</v>
      </c>
      <c r="J864">
        <v>0</v>
      </c>
    </row>
    <row r="865" spans="1:10" x14ac:dyDescent="0.2">
      <c r="A865">
        <v>1094</v>
      </c>
      <c r="B865" t="s">
        <v>2544</v>
      </c>
      <c r="C865">
        <v>22</v>
      </c>
      <c r="D865" t="s">
        <v>16</v>
      </c>
      <c r="E865" s="2">
        <v>46097</v>
      </c>
      <c r="F865" s="2">
        <v>45622</v>
      </c>
      <c r="G865" t="s">
        <v>2545</v>
      </c>
      <c r="H865" t="s">
        <v>18</v>
      </c>
      <c r="I865" t="s">
        <v>2546</v>
      </c>
      <c r="J865">
        <v>1</v>
      </c>
    </row>
    <row r="866" spans="1:10" x14ac:dyDescent="0.2">
      <c r="A866">
        <v>1066</v>
      </c>
      <c r="B866" t="s">
        <v>2547</v>
      </c>
      <c r="C866">
        <v>36</v>
      </c>
      <c r="D866">
        <v>0</v>
      </c>
      <c r="E866" s="1">
        <v>46033</v>
      </c>
      <c r="F866" s="1">
        <v>45930</v>
      </c>
      <c r="G866" t="s">
        <v>2548</v>
      </c>
      <c r="H866" t="s">
        <v>13</v>
      </c>
      <c r="I866" t="s">
        <v>2549</v>
      </c>
      <c r="J866" t="s">
        <v>60</v>
      </c>
    </row>
    <row r="867" spans="1:10" x14ac:dyDescent="0.2">
      <c r="A867">
        <v>1084</v>
      </c>
      <c r="B867" t="s">
        <v>2550</v>
      </c>
      <c r="C867">
        <v>83</v>
      </c>
      <c r="D867" t="s">
        <v>38</v>
      </c>
      <c r="E867" s="2">
        <v>45865</v>
      </c>
      <c r="F867" s="2">
        <v>45744</v>
      </c>
      <c r="G867" t="s">
        <v>2551</v>
      </c>
      <c r="H867" t="s">
        <v>18</v>
      </c>
      <c r="I867" t="s">
        <v>2552</v>
      </c>
      <c r="J867" t="s">
        <v>30</v>
      </c>
    </row>
    <row r="868" spans="1:10" x14ac:dyDescent="0.2">
      <c r="A868">
        <v>1008</v>
      </c>
      <c r="B868" t="s">
        <v>2553</v>
      </c>
      <c r="C868">
        <v>44</v>
      </c>
      <c r="D868" t="s">
        <v>16</v>
      </c>
      <c r="E868" s="1">
        <v>45937</v>
      </c>
      <c r="F868" s="1">
        <v>45613</v>
      </c>
      <c r="G868" t="s">
        <v>2554</v>
      </c>
      <c r="H868" t="s">
        <v>24</v>
      </c>
      <c r="I868" t="s">
        <v>2555</v>
      </c>
      <c r="J868">
        <v>0</v>
      </c>
    </row>
    <row r="869" spans="1:10" x14ac:dyDescent="0.2">
      <c r="A869">
        <v>1039</v>
      </c>
      <c r="B869" t="s">
        <v>2556</v>
      </c>
      <c r="C869">
        <v>69</v>
      </c>
      <c r="D869" t="s">
        <v>11</v>
      </c>
      <c r="E869" s="1">
        <v>46057</v>
      </c>
      <c r="F869" s="1">
        <v>45582</v>
      </c>
      <c r="G869" t="s">
        <v>2557</v>
      </c>
      <c r="H869" t="s">
        <v>13</v>
      </c>
      <c r="I869" t="s">
        <v>2558</v>
      </c>
      <c r="J869" t="s">
        <v>20</v>
      </c>
    </row>
    <row r="870" spans="1:10" x14ac:dyDescent="0.2">
      <c r="A870">
        <v>1092</v>
      </c>
      <c r="B870" t="s">
        <v>2559</v>
      </c>
      <c r="C870">
        <v>58</v>
      </c>
      <c r="D870" t="s">
        <v>22</v>
      </c>
      <c r="E870" s="2">
        <v>45843</v>
      </c>
      <c r="F870" s="2">
        <v>45793</v>
      </c>
      <c r="G870" t="s">
        <v>2560</v>
      </c>
      <c r="H870" t="s">
        <v>28</v>
      </c>
      <c r="I870" t="s">
        <v>2561</v>
      </c>
      <c r="J870" t="s">
        <v>20</v>
      </c>
    </row>
    <row r="871" spans="1:10" x14ac:dyDescent="0.2">
      <c r="A871">
        <v>1023</v>
      </c>
      <c r="B871" t="s">
        <v>2562</v>
      </c>
      <c r="C871">
        <v>76</v>
      </c>
      <c r="D871">
        <v>1</v>
      </c>
      <c r="E871" s="1">
        <v>45888</v>
      </c>
      <c r="F871" s="1">
        <v>45884</v>
      </c>
      <c r="G871" t="s">
        <v>2563</v>
      </c>
      <c r="H871" t="s">
        <v>28</v>
      </c>
      <c r="I871" t="s">
        <v>2564</v>
      </c>
      <c r="J871">
        <v>1</v>
      </c>
    </row>
    <row r="872" spans="1:10" x14ac:dyDescent="0.2">
      <c r="A872">
        <v>1004</v>
      </c>
      <c r="B872" t="s">
        <v>2565</v>
      </c>
      <c r="C872">
        <v>67</v>
      </c>
      <c r="D872">
        <v>1</v>
      </c>
      <c r="E872" s="2">
        <v>45981</v>
      </c>
      <c r="F872" s="1">
        <v>45871</v>
      </c>
      <c r="G872" t="s">
        <v>2566</v>
      </c>
      <c r="H872" t="s">
        <v>24</v>
      </c>
      <c r="I872" t="s">
        <v>2567</v>
      </c>
      <c r="J872" t="s">
        <v>36</v>
      </c>
    </row>
    <row r="873" spans="1:10" x14ac:dyDescent="0.2">
      <c r="A873">
        <v>1056</v>
      </c>
      <c r="B873" t="s">
        <v>2568</v>
      </c>
      <c r="C873">
        <v>30</v>
      </c>
      <c r="E873" s="1">
        <v>45806</v>
      </c>
      <c r="F873" s="2">
        <v>45443</v>
      </c>
      <c r="G873" t="s">
        <v>2569</v>
      </c>
      <c r="H873" t="s">
        <v>18</v>
      </c>
      <c r="I873" t="s">
        <v>2570</v>
      </c>
      <c r="J873" t="s">
        <v>36</v>
      </c>
    </row>
    <row r="874" spans="1:10" x14ac:dyDescent="0.2">
      <c r="A874">
        <v>1077</v>
      </c>
      <c r="B874" t="s">
        <v>2571</v>
      </c>
      <c r="C874">
        <v>78</v>
      </c>
      <c r="D874" t="s">
        <v>22</v>
      </c>
      <c r="E874" s="2">
        <v>45970</v>
      </c>
      <c r="F874" s="2">
        <v>45852</v>
      </c>
      <c r="G874" t="s">
        <v>2572</v>
      </c>
      <c r="H874" t="s">
        <v>18</v>
      </c>
      <c r="I874" t="s">
        <v>2573</v>
      </c>
      <c r="J874" t="s">
        <v>36</v>
      </c>
    </row>
    <row r="875" spans="1:10" x14ac:dyDescent="0.2">
      <c r="A875">
        <v>1081</v>
      </c>
      <c r="B875" t="s">
        <v>2396</v>
      </c>
      <c r="C875">
        <v>45</v>
      </c>
      <c r="D875" t="s">
        <v>22</v>
      </c>
      <c r="E875" s="2">
        <v>46102</v>
      </c>
      <c r="F875" s="2">
        <v>45416</v>
      </c>
      <c r="G875" t="s">
        <v>2574</v>
      </c>
      <c r="H875" t="s">
        <v>28</v>
      </c>
      <c r="I875" t="s">
        <v>2575</v>
      </c>
      <c r="J875" t="s">
        <v>20</v>
      </c>
    </row>
    <row r="876" spans="1:10" x14ac:dyDescent="0.2">
      <c r="A876">
        <v>1078</v>
      </c>
      <c r="B876" t="s">
        <v>2576</v>
      </c>
      <c r="C876">
        <v>25</v>
      </c>
      <c r="D876" t="s">
        <v>38</v>
      </c>
      <c r="E876" s="2">
        <v>45977</v>
      </c>
      <c r="F876" s="1">
        <v>45557</v>
      </c>
      <c r="G876" t="s">
        <v>2577</v>
      </c>
      <c r="H876" t="s">
        <v>13</v>
      </c>
      <c r="I876" t="s">
        <v>2578</v>
      </c>
      <c r="J876" t="s">
        <v>30</v>
      </c>
    </row>
    <row r="877" spans="1:10" x14ac:dyDescent="0.2">
      <c r="A877">
        <v>1054</v>
      </c>
      <c r="B877" t="s">
        <v>2579</v>
      </c>
      <c r="C877">
        <v>50</v>
      </c>
      <c r="D877" t="s">
        <v>38</v>
      </c>
      <c r="E877" s="1">
        <v>45813</v>
      </c>
      <c r="F877" s="2">
        <v>45645</v>
      </c>
      <c r="G877" t="s">
        <v>2580</v>
      </c>
      <c r="H877" t="s">
        <v>28</v>
      </c>
      <c r="I877" t="s">
        <v>2581</v>
      </c>
      <c r="J877" t="s">
        <v>30</v>
      </c>
    </row>
    <row r="878" spans="1:10" x14ac:dyDescent="0.2">
      <c r="A878">
        <v>1085</v>
      </c>
      <c r="B878" t="s">
        <v>2582</v>
      </c>
      <c r="C878">
        <v>85</v>
      </c>
      <c r="D878" t="s">
        <v>71</v>
      </c>
      <c r="E878" s="1">
        <v>46031</v>
      </c>
      <c r="F878" s="2">
        <v>45780</v>
      </c>
      <c r="G878" t="s">
        <v>2583</v>
      </c>
      <c r="H878" t="s">
        <v>13</v>
      </c>
      <c r="I878" t="s">
        <v>2584</v>
      </c>
      <c r="J878" t="s">
        <v>30</v>
      </c>
    </row>
    <row r="879" spans="1:10" x14ac:dyDescent="0.2">
      <c r="A879">
        <v>1028</v>
      </c>
      <c r="B879" t="s">
        <v>2585</v>
      </c>
      <c r="C879">
        <v>22</v>
      </c>
      <c r="D879">
        <v>1</v>
      </c>
      <c r="E879" s="1">
        <v>46008</v>
      </c>
      <c r="F879" s="2">
        <v>45875</v>
      </c>
      <c r="G879" t="s">
        <v>2586</v>
      </c>
      <c r="H879" t="s">
        <v>18</v>
      </c>
      <c r="I879" t="s">
        <v>2587</v>
      </c>
      <c r="J879" t="s">
        <v>30</v>
      </c>
    </row>
    <row r="880" spans="1:10" x14ac:dyDescent="0.2">
      <c r="A880">
        <v>1048</v>
      </c>
      <c r="B880" t="s">
        <v>2588</v>
      </c>
      <c r="C880">
        <v>89</v>
      </c>
      <c r="D880">
        <v>0</v>
      </c>
      <c r="E880" s="1">
        <v>45858</v>
      </c>
      <c r="F880" s="2">
        <v>45455</v>
      </c>
      <c r="G880" t="s">
        <v>2589</v>
      </c>
      <c r="H880" t="s">
        <v>24</v>
      </c>
      <c r="I880" t="s">
        <v>2590</v>
      </c>
      <c r="J880" t="s">
        <v>30</v>
      </c>
    </row>
    <row r="881" spans="1:10" x14ac:dyDescent="0.2">
      <c r="A881">
        <v>1008</v>
      </c>
      <c r="B881" t="s">
        <v>2591</v>
      </c>
      <c r="C881">
        <v>34</v>
      </c>
      <c r="D881" t="s">
        <v>38</v>
      </c>
      <c r="E881" s="2">
        <v>45940</v>
      </c>
      <c r="F881" s="2">
        <v>45779</v>
      </c>
      <c r="G881" t="s">
        <v>2592</v>
      </c>
      <c r="H881" t="s">
        <v>24</v>
      </c>
      <c r="I881" t="s">
        <v>2593</v>
      </c>
      <c r="J881">
        <v>0</v>
      </c>
    </row>
    <row r="882" spans="1:10" x14ac:dyDescent="0.2">
      <c r="A882">
        <v>1002</v>
      </c>
      <c r="B882" t="s">
        <v>2594</v>
      </c>
      <c r="C882">
        <v>22</v>
      </c>
      <c r="D882" t="s">
        <v>22</v>
      </c>
      <c r="E882" s="2">
        <v>45886</v>
      </c>
      <c r="F882" s="2">
        <v>45662</v>
      </c>
      <c r="G882" t="s">
        <v>2595</v>
      </c>
      <c r="H882" t="s">
        <v>18</v>
      </c>
      <c r="I882" t="s">
        <v>2596</v>
      </c>
      <c r="J882">
        <v>0</v>
      </c>
    </row>
    <row r="883" spans="1:10" x14ac:dyDescent="0.2">
      <c r="A883">
        <v>1013</v>
      </c>
      <c r="B883" t="s">
        <v>2597</v>
      </c>
      <c r="C883">
        <v>24</v>
      </c>
      <c r="E883" s="2">
        <v>45757</v>
      </c>
      <c r="F883" s="1">
        <v>45738</v>
      </c>
      <c r="G883" t="s">
        <v>2598</v>
      </c>
      <c r="H883" t="s">
        <v>18</v>
      </c>
      <c r="I883" t="s">
        <v>2599</v>
      </c>
      <c r="J883" t="s">
        <v>30</v>
      </c>
    </row>
    <row r="884" spans="1:10" x14ac:dyDescent="0.2">
      <c r="A884">
        <v>1032</v>
      </c>
      <c r="B884" t="s">
        <v>2600</v>
      </c>
      <c r="C884">
        <v>21</v>
      </c>
      <c r="D884" t="s">
        <v>71</v>
      </c>
      <c r="E884" s="2">
        <v>46061</v>
      </c>
      <c r="F884" s="1">
        <v>45791</v>
      </c>
      <c r="G884" t="s">
        <v>2090</v>
      </c>
      <c r="H884" t="s">
        <v>28</v>
      </c>
      <c r="I884" t="s">
        <v>2601</v>
      </c>
      <c r="J884" t="s">
        <v>60</v>
      </c>
    </row>
    <row r="885" spans="1:10" x14ac:dyDescent="0.2">
      <c r="A885">
        <v>1074</v>
      </c>
      <c r="B885" t="s">
        <v>2602</v>
      </c>
      <c r="C885">
        <v>23</v>
      </c>
      <c r="D885" t="s">
        <v>51</v>
      </c>
      <c r="E885" s="1">
        <v>45803</v>
      </c>
      <c r="F885" s="1">
        <v>45674</v>
      </c>
      <c r="G885" t="s">
        <v>2603</v>
      </c>
      <c r="H885" t="s">
        <v>24</v>
      </c>
      <c r="I885" t="s">
        <v>2604</v>
      </c>
      <c r="J885" t="s">
        <v>36</v>
      </c>
    </row>
    <row r="886" spans="1:10" x14ac:dyDescent="0.2">
      <c r="A886">
        <v>1025</v>
      </c>
      <c r="B886" t="s">
        <v>2605</v>
      </c>
      <c r="C886">
        <v>52</v>
      </c>
      <c r="D886">
        <v>0</v>
      </c>
      <c r="E886" s="1">
        <v>45813</v>
      </c>
      <c r="F886" s="2">
        <v>45602</v>
      </c>
      <c r="G886" t="s">
        <v>2606</v>
      </c>
      <c r="H886" t="s">
        <v>18</v>
      </c>
      <c r="I886" t="s">
        <v>2607</v>
      </c>
      <c r="J886" t="s">
        <v>60</v>
      </c>
    </row>
    <row r="887" spans="1:10" x14ac:dyDescent="0.2">
      <c r="A887">
        <v>1040</v>
      </c>
      <c r="B887" t="s">
        <v>2608</v>
      </c>
      <c r="C887">
        <v>36</v>
      </c>
      <c r="E887" s="2">
        <v>45804</v>
      </c>
      <c r="F887" s="1">
        <v>45628</v>
      </c>
      <c r="G887" t="s">
        <v>2609</v>
      </c>
      <c r="H887" t="s">
        <v>18</v>
      </c>
      <c r="I887" t="s">
        <v>2610</v>
      </c>
      <c r="J887" t="s">
        <v>30</v>
      </c>
    </row>
    <row r="888" spans="1:10" x14ac:dyDescent="0.2">
      <c r="A888">
        <v>1089</v>
      </c>
      <c r="B888" t="s">
        <v>2611</v>
      </c>
      <c r="C888">
        <v>20</v>
      </c>
      <c r="D888">
        <v>1</v>
      </c>
      <c r="E888" s="1">
        <v>45933</v>
      </c>
      <c r="F888" s="2">
        <v>45868</v>
      </c>
      <c r="G888" t="s">
        <v>2612</v>
      </c>
      <c r="H888" t="s">
        <v>24</v>
      </c>
      <c r="I888" t="s">
        <v>2613</v>
      </c>
      <c r="J888">
        <v>0</v>
      </c>
    </row>
    <row r="889" spans="1:10" x14ac:dyDescent="0.2">
      <c r="A889">
        <v>1069</v>
      </c>
      <c r="B889" t="s">
        <v>2614</v>
      </c>
      <c r="C889">
        <v>32</v>
      </c>
      <c r="D889">
        <v>0</v>
      </c>
      <c r="E889" s="2">
        <v>46076</v>
      </c>
      <c r="F889" s="2">
        <v>45671</v>
      </c>
      <c r="G889" t="s">
        <v>2615</v>
      </c>
      <c r="H889" t="s">
        <v>28</v>
      </c>
      <c r="I889" t="s">
        <v>2616</v>
      </c>
      <c r="J889">
        <v>1</v>
      </c>
    </row>
    <row r="890" spans="1:10" x14ac:dyDescent="0.2">
      <c r="A890">
        <v>1070</v>
      </c>
      <c r="B890" t="s">
        <v>2617</v>
      </c>
      <c r="C890">
        <v>38</v>
      </c>
      <c r="D890">
        <v>1</v>
      </c>
      <c r="E890" s="1">
        <v>45844</v>
      </c>
      <c r="F890" s="1">
        <v>45770</v>
      </c>
      <c r="G890" t="s">
        <v>2618</v>
      </c>
      <c r="H890" t="s">
        <v>24</v>
      </c>
      <c r="I890" t="s">
        <v>2619</v>
      </c>
      <c r="J890" t="s">
        <v>20</v>
      </c>
    </row>
    <row r="891" spans="1:10" x14ac:dyDescent="0.2">
      <c r="A891">
        <v>1070</v>
      </c>
      <c r="B891" t="s">
        <v>2620</v>
      </c>
      <c r="C891">
        <v>53</v>
      </c>
      <c r="E891" s="1">
        <v>46040</v>
      </c>
      <c r="F891" s="2">
        <v>45727</v>
      </c>
      <c r="G891" t="s">
        <v>2621</v>
      </c>
      <c r="H891" t="s">
        <v>24</v>
      </c>
      <c r="I891" t="s">
        <v>2622</v>
      </c>
      <c r="J891" t="s">
        <v>36</v>
      </c>
    </row>
    <row r="892" spans="1:10" x14ac:dyDescent="0.2">
      <c r="A892">
        <v>1077</v>
      </c>
      <c r="B892" t="s">
        <v>2623</v>
      </c>
      <c r="C892">
        <v>58</v>
      </c>
      <c r="D892" t="s">
        <v>16</v>
      </c>
      <c r="E892" s="1">
        <v>46106</v>
      </c>
      <c r="F892" s="1">
        <v>45954</v>
      </c>
      <c r="G892" t="s">
        <v>2624</v>
      </c>
      <c r="H892" t="s">
        <v>24</v>
      </c>
      <c r="I892" t="s">
        <v>2625</v>
      </c>
      <c r="J892" t="s">
        <v>30</v>
      </c>
    </row>
    <row r="893" spans="1:10" x14ac:dyDescent="0.2">
      <c r="A893">
        <v>1082</v>
      </c>
      <c r="B893" t="s">
        <v>2626</v>
      </c>
      <c r="C893">
        <v>61</v>
      </c>
      <c r="D893" t="s">
        <v>22</v>
      </c>
      <c r="E893" s="1">
        <v>45966</v>
      </c>
      <c r="F893" s="1">
        <v>45920</v>
      </c>
      <c r="G893" t="s">
        <v>1022</v>
      </c>
      <c r="H893" t="s">
        <v>13</v>
      </c>
      <c r="I893" t="s">
        <v>2627</v>
      </c>
      <c r="J893">
        <v>0</v>
      </c>
    </row>
    <row r="894" spans="1:10" x14ac:dyDescent="0.2">
      <c r="A894">
        <v>1053</v>
      </c>
      <c r="B894" t="s">
        <v>2628</v>
      </c>
      <c r="C894">
        <v>66</v>
      </c>
      <c r="D894">
        <v>0</v>
      </c>
      <c r="E894" s="1">
        <v>45893</v>
      </c>
      <c r="F894" s="1">
        <v>45431</v>
      </c>
      <c r="G894" t="s">
        <v>2629</v>
      </c>
      <c r="H894" t="s">
        <v>18</v>
      </c>
      <c r="I894" t="s">
        <v>2630</v>
      </c>
      <c r="J894">
        <v>0</v>
      </c>
    </row>
    <row r="895" spans="1:10" x14ac:dyDescent="0.2">
      <c r="A895">
        <v>1083</v>
      </c>
      <c r="B895" t="s">
        <v>2631</v>
      </c>
      <c r="C895">
        <v>18</v>
      </c>
      <c r="D895" t="s">
        <v>71</v>
      </c>
      <c r="E895" s="1">
        <v>45768</v>
      </c>
      <c r="F895" s="2">
        <v>45539</v>
      </c>
      <c r="G895" t="s">
        <v>2632</v>
      </c>
      <c r="H895" t="s">
        <v>24</v>
      </c>
      <c r="I895" t="s">
        <v>2633</v>
      </c>
      <c r="J895" t="s">
        <v>36</v>
      </c>
    </row>
    <row r="896" spans="1:10" x14ac:dyDescent="0.2">
      <c r="A896">
        <v>1096</v>
      </c>
      <c r="B896" t="s">
        <v>2634</v>
      </c>
      <c r="C896">
        <v>70</v>
      </c>
      <c r="D896">
        <v>1</v>
      </c>
      <c r="E896" s="2">
        <v>45820</v>
      </c>
      <c r="F896" s="1">
        <v>45623</v>
      </c>
      <c r="G896" t="s">
        <v>2635</v>
      </c>
      <c r="H896" t="s">
        <v>24</v>
      </c>
      <c r="I896" t="s">
        <v>2636</v>
      </c>
      <c r="J896" t="s">
        <v>36</v>
      </c>
    </row>
    <row r="897" spans="1:10" x14ac:dyDescent="0.2">
      <c r="A897">
        <v>1043</v>
      </c>
      <c r="B897" t="s">
        <v>2637</v>
      </c>
      <c r="C897">
        <v>31</v>
      </c>
      <c r="D897" t="s">
        <v>51</v>
      </c>
      <c r="E897" s="2">
        <v>45982</v>
      </c>
      <c r="F897" s="2">
        <v>45885</v>
      </c>
      <c r="G897" t="s">
        <v>2638</v>
      </c>
      <c r="H897" t="s">
        <v>24</v>
      </c>
      <c r="I897" t="s">
        <v>2639</v>
      </c>
      <c r="J897" t="s">
        <v>60</v>
      </c>
    </row>
    <row r="898" spans="1:10" x14ac:dyDescent="0.2">
      <c r="A898">
        <v>1058</v>
      </c>
      <c r="B898" t="s">
        <v>2640</v>
      </c>
      <c r="C898">
        <v>64</v>
      </c>
      <c r="D898" t="s">
        <v>71</v>
      </c>
      <c r="E898" s="1">
        <v>45761</v>
      </c>
      <c r="F898" s="1">
        <v>45692</v>
      </c>
      <c r="G898" t="s">
        <v>2641</v>
      </c>
      <c r="H898" t="s">
        <v>24</v>
      </c>
      <c r="I898" t="s">
        <v>2642</v>
      </c>
      <c r="J898">
        <v>1</v>
      </c>
    </row>
    <row r="899" spans="1:10" x14ac:dyDescent="0.2">
      <c r="A899">
        <v>1080</v>
      </c>
      <c r="B899" t="s">
        <v>2643</v>
      </c>
      <c r="C899">
        <v>21</v>
      </c>
      <c r="D899" t="s">
        <v>51</v>
      </c>
      <c r="E899" s="2">
        <v>45774</v>
      </c>
      <c r="F899" s="1">
        <v>45729</v>
      </c>
      <c r="G899" t="s">
        <v>2644</v>
      </c>
      <c r="H899" t="s">
        <v>24</v>
      </c>
      <c r="I899" t="s">
        <v>2645</v>
      </c>
      <c r="J899" t="s">
        <v>36</v>
      </c>
    </row>
    <row r="900" spans="1:10" x14ac:dyDescent="0.2">
      <c r="A900">
        <v>1097</v>
      </c>
      <c r="B900" t="s">
        <v>2646</v>
      </c>
      <c r="C900">
        <v>51</v>
      </c>
      <c r="D900" t="s">
        <v>11</v>
      </c>
      <c r="E900" s="1">
        <v>45911</v>
      </c>
      <c r="F900" s="2">
        <v>45456</v>
      </c>
      <c r="G900" t="s">
        <v>2647</v>
      </c>
      <c r="H900" t="s">
        <v>28</v>
      </c>
      <c r="I900" t="s">
        <v>2648</v>
      </c>
      <c r="J900" t="s">
        <v>30</v>
      </c>
    </row>
    <row r="901" spans="1:10" x14ac:dyDescent="0.2">
      <c r="A901">
        <v>1054</v>
      </c>
      <c r="B901" t="s">
        <v>2649</v>
      </c>
      <c r="C901">
        <v>29</v>
      </c>
      <c r="D901" t="s">
        <v>22</v>
      </c>
      <c r="E901" s="2">
        <v>45794</v>
      </c>
      <c r="F901" s="1">
        <v>45571</v>
      </c>
      <c r="G901" t="s">
        <v>2650</v>
      </c>
      <c r="H901" t="s">
        <v>24</v>
      </c>
      <c r="I901" t="s">
        <v>2651</v>
      </c>
      <c r="J901" t="s">
        <v>60</v>
      </c>
    </row>
    <row r="902" spans="1:10" x14ac:dyDescent="0.2">
      <c r="A902">
        <v>1075</v>
      </c>
      <c r="B902" t="s">
        <v>2652</v>
      </c>
      <c r="C902">
        <v>51</v>
      </c>
      <c r="D902" t="s">
        <v>71</v>
      </c>
      <c r="E902" s="1">
        <v>46002</v>
      </c>
      <c r="F902" s="1">
        <v>45949</v>
      </c>
      <c r="G902" t="s">
        <v>2653</v>
      </c>
      <c r="H902" t="s">
        <v>24</v>
      </c>
      <c r="I902" t="s">
        <v>2654</v>
      </c>
      <c r="J902" t="s">
        <v>30</v>
      </c>
    </row>
    <row r="903" spans="1:10" x14ac:dyDescent="0.2">
      <c r="A903">
        <v>1036</v>
      </c>
      <c r="B903" t="s">
        <v>2655</v>
      </c>
      <c r="C903">
        <v>82</v>
      </c>
      <c r="D903" t="s">
        <v>51</v>
      </c>
      <c r="E903" s="1">
        <v>45999</v>
      </c>
      <c r="F903" s="2">
        <v>45389</v>
      </c>
      <c r="G903" t="s">
        <v>2656</v>
      </c>
      <c r="H903" t="s">
        <v>28</v>
      </c>
      <c r="I903" t="s">
        <v>2657</v>
      </c>
      <c r="J903" t="s">
        <v>20</v>
      </c>
    </row>
    <row r="904" spans="1:10" x14ac:dyDescent="0.2">
      <c r="A904">
        <v>1064</v>
      </c>
      <c r="B904" t="s">
        <v>2658</v>
      </c>
      <c r="C904">
        <v>78</v>
      </c>
      <c r="D904" t="s">
        <v>11</v>
      </c>
      <c r="E904" s="2">
        <v>46036</v>
      </c>
      <c r="F904" s="1">
        <v>45784</v>
      </c>
      <c r="G904" t="s">
        <v>2659</v>
      </c>
      <c r="H904" t="s">
        <v>18</v>
      </c>
      <c r="I904" t="s">
        <v>2660</v>
      </c>
      <c r="J904" t="s">
        <v>30</v>
      </c>
    </row>
    <row r="905" spans="1:10" x14ac:dyDescent="0.2">
      <c r="A905">
        <v>1015</v>
      </c>
      <c r="B905" t="s">
        <v>2661</v>
      </c>
      <c r="C905">
        <v>63</v>
      </c>
      <c r="D905">
        <v>1</v>
      </c>
      <c r="E905" s="2">
        <v>45989</v>
      </c>
      <c r="F905" s="1">
        <v>45559</v>
      </c>
      <c r="G905" t="s">
        <v>2662</v>
      </c>
      <c r="H905" t="s">
        <v>24</v>
      </c>
      <c r="I905" t="s">
        <v>2663</v>
      </c>
      <c r="J905" t="s">
        <v>36</v>
      </c>
    </row>
    <row r="906" spans="1:10" x14ac:dyDescent="0.2">
      <c r="A906">
        <v>1045</v>
      </c>
      <c r="B906" t="s">
        <v>2664</v>
      </c>
      <c r="C906">
        <v>66</v>
      </c>
      <c r="D906">
        <v>1</v>
      </c>
      <c r="E906" s="2">
        <v>45800</v>
      </c>
      <c r="F906" s="2">
        <v>45411</v>
      </c>
      <c r="G906" t="s">
        <v>2665</v>
      </c>
      <c r="H906" t="s">
        <v>18</v>
      </c>
      <c r="I906" t="s">
        <v>2666</v>
      </c>
      <c r="J906" t="s">
        <v>36</v>
      </c>
    </row>
    <row r="907" spans="1:10" x14ac:dyDescent="0.2">
      <c r="A907">
        <v>1016</v>
      </c>
      <c r="B907" t="s">
        <v>2667</v>
      </c>
      <c r="C907">
        <v>49</v>
      </c>
      <c r="D907" t="s">
        <v>51</v>
      </c>
      <c r="E907" s="2">
        <v>45916</v>
      </c>
      <c r="F907" s="2">
        <v>45779</v>
      </c>
      <c r="G907" t="s">
        <v>2668</v>
      </c>
      <c r="H907" t="s">
        <v>18</v>
      </c>
      <c r="J907">
        <v>0</v>
      </c>
    </row>
    <row r="908" spans="1:10" x14ac:dyDescent="0.2">
      <c r="A908">
        <v>1006</v>
      </c>
      <c r="B908" t="s">
        <v>2669</v>
      </c>
      <c r="C908">
        <v>61</v>
      </c>
      <c r="D908" t="s">
        <v>22</v>
      </c>
      <c r="E908" s="1">
        <v>45975</v>
      </c>
      <c r="F908" s="1">
        <v>45422</v>
      </c>
      <c r="G908" t="s">
        <v>2670</v>
      </c>
      <c r="H908" t="s">
        <v>18</v>
      </c>
      <c r="I908" t="s">
        <v>2671</v>
      </c>
      <c r="J908" t="s">
        <v>60</v>
      </c>
    </row>
    <row r="909" spans="1:10" x14ac:dyDescent="0.2">
      <c r="A909">
        <v>1058</v>
      </c>
      <c r="B909" t="s">
        <v>2672</v>
      </c>
      <c r="C909">
        <v>30</v>
      </c>
      <c r="D909" t="s">
        <v>16</v>
      </c>
      <c r="E909" s="1">
        <v>46079</v>
      </c>
      <c r="F909" s="1">
        <v>46060</v>
      </c>
      <c r="G909" t="s">
        <v>2673</v>
      </c>
      <c r="H909" t="s">
        <v>28</v>
      </c>
      <c r="I909" t="s">
        <v>2674</v>
      </c>
      <c r="J909">
        <v>0</v>
      </c>
    </row>
    <row r="910" spans="1:10" x14ac:dyDescent="0.2">
      <c r="A910">
        <v>1050</v>
      </c>
      <c r="B910" t="s">
        <v>2675</v>
      </c>
      <c r="C910">
        <v>23</v>
      </c>
      <c r="D910">
        <v>1</v>
      </c>
      <c r="E910" s="1">
        <v>45957</v>
      </c>
      <c r="F910" s="1">
        <v>45830</v>
      </c>
      <c r="G910" t="s">
        <v>2676</v>
      </c>
      <c r="H910" t="s">
        <v>13</v>
      </c>
      <c r="I910" t="s">
        <v>2677</v>
      </c>
      <c r="J910">
        <v>1</v>
      </c>
    </row>
    <row r="911" spans="1:10" x14ac:dyDescent="0.2">
      <c r="A911">
        <v>1016</v>
      </c>
      <c r="B911" t="s">
        <v>2678</v>
      </c>
      <c r="C911">
        <v>87</v>
      </c>
      <c r="D911" t="s">
        <v>11</v>
      </c>
      <c r="E911" s="2">
        <v>46046</v>
      </c>
      <c r="F911" s="2">
        <v>45635</v>
      </c>
      <c r="G911" t="s">
        <v>2679</v>
      </c>
      <c r="H911" t="s">
        <v>28</v>
      </c>
      <c r="I911" t="s">
        <v>2680</v>
      </c>
      <c r="J911" t="s">
        <v>20</v>
      </c>
    </row>
    <row r="912" spans="1:10" x14ac:dyDescent="0.2">
      <c r="A912">
        <v>1014</v>
      </c>
      <c r="B912" t="s">
        <v>2681</v>
      </c>
      <c r="C912">
        <v>31</v>
      </c>
      <c r="D912">
        <v>0</v>
      </c>
      <c r="E912" s="2">
        <v>45899</v>
      </c>
      <c r="F912" s="2">
        <v>45674</v>
      </c>
      <c r="G912" t="s">
        <v>2682</v>
      </c>
      <c r="H912" t="s">
        <v>28</v>
      </c>
      <c r="I912" t="s">
        <v>2683</v>
      </c>
      <c r="J912" t="s">
        <v>20</v>
      </c>
    </row>
    <row r="913" spans="1:10" x14ac:dyDescent="0.2">
      <c r="A913">
        <v>1070</v>
      </c>
      <c r="B913" t="s">
        <v>2684</v>
      </c>
      <c r="C913">
        <v>49</v>
      </c>
      <c r="D913">
        <v>0</v>
      </c>
      <c r="E913" s="2">
        <v>45797</v>
      </c>
      <c r="F913" s="1">
        <v>45547</v>
      </c>
      <c r="G913" t="s">
        <v>2685</v>
      </c>
      <c r="H913" t="s">
        <v>28</v>
      </c>
      <c r="I913" t="s">
        <v>2686</v>
      </c>
      <c r="J913" t="s">
        <v>36</v>
      </c>
    </row>
    <row r="914" spans="1:10" x14ac:dyDescent="0.2">
      <c r="A914">
        <v>1068</v>
      </c>
      <c r="B914" t="s">
        <v>2687</v>
      </c>
      <c r="C914">
        <v>52</v>
      </c>
      <c r="D914" t="s">
        <v>38</v>
      </c>
      <c r="E914" s="2">
        <v>46034</v>
      </c>
      <c r="F914" s="1">
        <v>45543</v>
      </c>
      <c r="G914" t="s">
        <v>2688</v>
      </c>
      <c r="H914" t="s">
        <v>24</v>
      </c>
      <c r="I914" t="s">
        <v>2689</v>
      </c>
      <c r="J914">
        <v>0</v>
      </c>
    </row>
    <row r="915" spans="1:10" x14ac:dyDescent="0.2">
      <c r="A915">
        <v>1088</v>
      </c>
      <c r="B915" t="s">
        <v>2690</v>
      </c>
      <c r="C915">
        <v>65</v>
      </c>
      <c r="D915" t="s">
        <v>22</v>
      </c>
      <c r="E915" s="1">
        <v>45861</v>
      </c>
      <c r="F915" s="1">
        <v>45692</v>
      </c>
      <c r="G915" t="s">
        <v>2691</v>
      </c>
      <c r="H915" t="s">
        <v>24</v>
      </c>
      <c r="I915" t="s">
        <v>2692</v>
      </c>
      <c r="J915" t="s">
        <v>20</v>
      </c>
    </row>
    <row r="916" spans="1:10" x14ac:dyDescent="0.2">
      <c r="A916">
        <v>1012</v>
      </c>
      <c r="B916" t="s">
        <v>2693</v>
      </c>
      <c r="C916">
        <v>18</v>
      </c>
      <c r="D916" t="s">
        <v>16</v>
      </c>
      <c r="E916" s="1">
        <v>46041</v>
      </c>
      <c r="F916" s="1">
        <v>45809</v>
      </c>
      <c r="G916" t="s">
        <v>2694</v>
      </c>
      <c r="H916" t="s">
        <v>24</v>
      </c>
      <c r="I916" t="s">
        <v>2695</v>
      </c>
      <c r="J916" t="s">
        <v>36</v>
      </c>
    </row>
    <row r="917" spans="1:10" x14ac:dyDescent="0.2">
      <c r="A917">
        <v>1066</v>
      </c>
      <c r="B917" t="s">
        <v>1998</v>
      </c>
      <c r="C917">
        <v>37</v>
      </c>
      <c r="D917" t="s">
        <v>38</v>
      </c>
      <c r="E917" s="2">
        <v>45802</v>
      </c>
      <c r="F917" s="2">
        <v>45577</v>
      </c>
      <c r="G917" t="s">
        <v>2696</v>
      </c>
      <c r="H917" t="s">
        <v>28</v>
      </c>
      <c r="I917" t="s">
        <v>2697</v>
      </c>
      <c r="J917" t="s">
        <v>20</v>
      </c>
    </row>
    <row r="918" spans="1:10" x14ac:dyDescent="0.2">
      <c r="A918">
        <v>1071</v>
      </c>
      <c r="B918" t="s">
        <v>2698</v>
      </c>
      <c r="C918">
        <v>74</v>
      </c>
      <c r="D918" t="s">
        <v>22</v>
      </c>
      <c r="E918" s="2">
        <v>45892</v>
      </c>
      <c r="F918" s="2">
        <v>45559</v>
      </c>
      <c r="G918" t="s">
        <v>2699</v>
      </c>
      <c r="H918" t="s">
        <v>13</v>
      </c>
      <c r="I918" t="s">
        <v>2700</v>
      </c>
      <c r="J918" t="s">
        <v>60</v>
      </c>
    </row>
    <row r="919" spans="1:10" x14ac:dyDescent="0.2">
      <c r="A919">
        <v>1094</v>
      </c>
      <c r="B919" t="s">
        <v>2701</v>
      </c>
      <c r="C919">
        <v>60</v>
      </c>
      <c r="E919" s="1">
        <v>46017</v>
      </c>
      <c r="F919" s="2">
        <v>45434</v>
      </c>
      <c r="G919" t="s">
        <v>2702</v>
      </c>
      <c r="H919" t="s">
        <v>28</v>
      </c>
      <c r="I919" t="s">
        <v>2703</v>
      </c>
      <c r="J919">
        <v>0</v>
      </c>
    </row>
    <row r="920" spans="1:10" x14ac:dyDescent="0.2">
      <c r="A920">
        <v>1075</v>
      </c>
      <c r="B920" t="s">
        <v>2704</v>
      </c>
      <c r="C920">
        <v>43</v>
      </c>
      <c r="D920">
        <v>1</v>
      </c>
      <c r="E920" s="1">
        <v>46005</v>
      </c>
      <c r="F920" s="2">
        <v>45716</v>
      </c>
      <c r="G920" t="s">
        <v>2705</v>
      </c>
      <c r="H920" t="s">
        <v>24</v>
      </c>
      <c r="I920" t="s">
        <v>2706</v>
      </c>
      <c r="J920" t="s">
        <v>36</v>
      </c>
    </row>
    <row r="921" spans="1:10" x14ac:dyDescent="0.2">
      <c r="A921">
        <v>1077</v>
      </c>
      <c r="B921" t="s">
        <v>2707</v>
      </c>
      <c r="C921">
        <v>30</v>
      </c>
      <c r="D921" t="s">
        <v>51</v>
      </c>
      <c r="E921" s="2">
        <v>45806</v>
      </c>
      <c r="F921" s="1">
        <v>45683</v>
      </c>
      <c r="G921" t="s">
        <v>2708</v>
      </c>
      <c r="H921" t="s">
        <v>18</v>
      </c>
      <c r="I921" t="s">
        <v>2709</v>
      </c>
      <c r="J921">
        <v>0</v>
      </c>
    </row>
    <row r="922" spans="1:10" x14ac:dyDescent="0.2">
      <c r="A922">
        <v>1044</v>
      </c>
      <c r="B922" t="s">
        <v>2710</v>
      </c>
      <c r="C922">
        <v>43</v>
      </c>
      <c r="D922" t="s">
        <v>51</v>
      </c>
      <c r="E922" s="2">
        <v>45749</v>
      </c>
      <c r="F922" s="2">
        <v>45481</v>
      </c>
      <c r="G922" t="s">
        <v>2711</v>
      </c>
      <c r="H922" t="s">
        <v>28</v>
      </c>
      <c r="I922" t="s">
        <v>2712</v>
      </c>
      <c r="J922">
        <v>0</v>
      </c>
    </row>
    <row r="923" spans="1:10" x14ac:dyDescent="0.2">
      <c r="A923">
        <v>1084</v>
      </c>
      <c r="B923" t="s">
        <v>2713</v>
      </c>
      <c r="C923">
        <v>68</v>
      </c>
      <c r="D923" t="s">
        <v>71</v>
      </c>
      <c r="E923" s="2">
        <v>45860</v>
      </c>
      <c r="F923" s="2">
        <v>45836</v>
      </c>
      <c r="G923" t="s">
        <v>2714</v>
      </c>
      <c r="H923" t="s">
        <v>28</v>
      </c>
      <c r="I923" t="s">
        <v>2715</v>
      </c>
      <c r="J923">
        <v>0</v>
      </c>
    </row>
    <row r="924" spans="1:10" x14ac:dyDescent="0.2">
      <c r="A924">
        <v>1060</v>
      </c>
      <c r="B924" t="s">
        <v>2716</v>
      </c>
      <c r="C924">
        <v>85</v>
      </c>
      <c r="D924" t="s">
        <v>11</v>
      </c>
      <c r="E924" s="2">
        <v>45919</v>
      </c>
      <c r="F924" s="2">
        <v>45916</v>
      </c>
      <c r="G924" t="s">
        <v>2717</v>
      </c>
      <c r="H924" t="s">
        <v>13</v>
      </c>
      <c r="I924" t="s">
        <v>2718</v>
      </c>
      <c r="J924" t="s">
        <v>20</v>
      </c>
    </row>
    <row r="925" spans="1:10" x14ac:dyDescent="0.2">
      <c r="A925">
        <v>1055</v>
      </c>
      <c r="B925" t="s">
        <v>2719</v>
      </c>
      <c r="C925">
        <v>69</v>
      </c>
      <c r="D925" t="s">
        <v>71</v>
      </c>
      <c r="E925" s="2">
        <v>45747</v>
      </c>
      <c r="F925" s="1">
        <v>45601</v>
      </c>
      <c r="G925" t="s">
        <v>2720</v>
      </c>
      <c r="H925" t="s">
        <v>18</v>
      </c>
      <c r="I925" t="s">
        <v>2721</v>
      </c>
      <c r="J925" t="s">
        <v>36</v>
      </c>
    </row>
    <row r="926" spans="1:10" x14ac:dyDescent="0.2">
      <c r="A926">
        <v>1046</v>
      </c>
      <c r="B926" t="s">
        <v>2722</v>
      </c>
      <c r="C926">
        <v>29</v>
      </c>
      <c r="D926">
        <v>1</v>
      </c>
      <c r="E926" s="2">
        <v>45754</v>
      </c>
      <c r="F926" s="2">
        <v>45445</v>
      </c>
      <c r="G926" t="s">
        <v>2723</v>
      </c>
      <c r="H926" t="s">
        <v>13</v>
      </c>
      <c r="I926" t="s">
        <v>2724</v>
      </c>
      <c r="J926">
        <v>1</v>
      </c>
    </row>
    <row r="927" spans="1:10" x14ac:dyDescent="0.2">
      <c r="A927">
        <v>1087</v>
      </c>
      <c r="B927" t="s">
        <v>2725</v>
      </c>
      <c r="C927">
        <v>31</v>
      </c>
      <c r="D927">
        <v>0</v>
      </c>
      <c r="E927" s="1">
        <v>45808</v>
      </c>
      <c r="F927" s="1">
        <v>45801</v>
      </c>
      <c r="G927" t="s">
        <v>2019</v>
      </c>
      <c r="H927" t="s">
        <v>13</v>
      </c>
      <c r="I927" t="s">
        <v>2726</v>
      </c>
      <c r="J927" t="s">
        <v>36</v>
      </c>
    </row>
    <row r="928" spans="1:10" x14ac:dyDescent="0.2">
      <c r="A928">
        <v>1020</v>
      </c>
      <c r="B928" t="s">
        <v>2727</v>
      </c>
      <c r="C928">
        <v>56</v>
      </c>
      <c r="D928" t="s">
        <v>22</v>
      </c>
      <c r="E928" s="2">
        <v>45767</v>
      </c>
      <c r="F928" s="2">
        <v>45633</v>
      </c>
      <c r="G928" t="s">
        <v>2728</v>
      </c>
      <c r="H928" t="s">
        <v>24</v>
      </c>
      <c r="I928" t="s">
        <v>2729</v>
      </c>
      <c r="J928" t="s">
        <v>20</v>
      </c>
    </row>
    <row r="929" spans="1:10" x14ac:dyDescent="0.2">
      <c r="A929">
        <v>1047</v>
      </c>
      <c r="B929" t="s">
        <v>2730</v>
      </c>
      <c r="C929">
        <v>63</v>
      </c>
      <c r="D929" t="s">
        <v>16</v>
      </c>
      <c r="E929" s="2">
        <v>45768</v>
      </c>
      <c r="F929" s="1">
        <v>45722</v>
      </c>
      <c r="G929" t="s">
        <v>2731</v>
      </c>
      <c r="H929" t="s">
        <v>24</v>
      </c>
      <c r="I929" t="s">
        <v>2732</v>
      </c>
      <c r="J929" t="s">
        <v>30</v>
      </c>
    </row>
    <row r="930" spans="1:10" x14ac:dyDescent="0.2">
      <c r="A930">
        <v>1053</v>
      </c>
      <c r="B930" t="s">
        <v>2733</v>
      </c>
      <c r="C930">
        <v>86</v>
      </c>
      <c r="D930">
        <v>0</v>
      </c>
      <c r="E930" s="2">
        <v>45943</v>
      </c>
      <c r="F930" s="1">
        <v>45516</v>
      </c>
      <c r="G930" t="s">
        <v>2734</v>
      </c>
      <c r="H930" t="s">
        <v>28</v>
      </c>
      <c r="I930" t="s">
        <v>2735</v>
      </c>
      <c r="J930">
        <v>1</v>
      </c>
    </row>
    <row r="931" spans="1:10" x14ac:dyDescent="0.2">
      <c r="A931">
        <v>1031</v>
      </c>
      <c r="B931" t="s">
        <v>2736</v>
      </c>
      <c r="C931">
        <v>31</v>
      </c>
      <c r="D931">
        <v>0</v>
      </c>
      <c r="E931" s="2">
        <v>46098</v>
      </c>
      <c r="F931" s="2">
        <v>45871</v>
      </c>
      <c r="G931" t="s">
        <v>1784</v>
      </c>
      <c r="H931" t="s">
        <v>13</v>
      </c>
      <c r="I931" t="s">
        <v>2737</v>
      </c>
      <c r="J931" t="s">
        <v>36</v>
      </c>
    </row>
    <row r="932" spans="1:10" x14ac:dyDescent="0.2">
      <c r="A932">
        <v>1041</v>
      </c>
      <c r="B932" t="s">
        <v>2738</v>
      </c>
      <c r="C932">
        <v>81</v>
      </c>
      <c r="D932" t="s">
        <v>71</v>
      </c>
      <c r="E932" s="1">
        <v>45926</v>
      </c>
      <c r="F932" s="2">
        <v>45689</v>
      </c>
      <c r="G932" t="s">
        <v>2739</v>
      </c>
      <c r="H932" t="s">
        <v>18</v>
      </c>
      <c r="J932">
        <v>0</v>
      </c>
    </row>
    <row r="933" spans="1:10" x14ac:dyDescent="0.2">
      <c r="A933">
        <v>1047</v>
      </c>
      <c r="B933" t="s">
        <v>2740</v>
      </c>
      <c r="C933">
        <v>76</v>
      </c>
      <c r="D933" t="s">
        <v>71</v>
      </c>
      <c r="E933" s="1">
        <v>45887</v>
      </c>
      <c r="F933" s="2">
        <v>45822</v>
      </c>
      <c r="G933" t="s">
        <v>2741</v>
      </c>
      <c r="H933" t="s">
        <v>18</v>
      </c>
      <c r="I933" t="s">
        <v>2742</v>
      </c>
      <c r="J933" t="s">
        <v>60</v>
      </c>
    </row>
    <row r="934" spans="1:10" x14ac:dyDescent="0.2">
      <c r="A934">
        <v>1012</v>
      </c>
      <c r="B934" t="s">
        <v>2743</v>
      </c>
      <c r="C934">
        <v>76</v>
      </c>
      <c r="D934" t="s">
        <v>22</v>
      </c>
      <c r="E934" s="1">
        <v>46060</v>
      </c>
      <c r="F934" s="2">
        <v>46037</v>
      </c>
      <c r="G934" t="s">
        <v>2744</v>
      </c>
      <c r="H934" t="s">
        <v>18</v>
      </c>
      <c r="I934" t="s">
        <v>2745</v>
      </c>
      <c r="J934" t="s">
        <v>30</v>
      </c>
    </row>
    <row r="935" spans="1:10" x14ac:dyDescent="0.2">
      <c r="A935">
        <v>1034</v>
      </c>
      <c r="B935" t="s">
        <v>2746</v>
      </c>
      <c r="C935">
        <v>90</v>
      </c>
      <c r="D935">
        <v>1</v>
      </c>
      <c r="E935" s="1">
        <v>46088</v>
      </c>
      <c r="F935" s="1">
        <v>45468</v>
      </c>
      <c r="G935" t="s">
        <v>2747</v>
      </c>
      <c r="H935" t="s">
        <v>28</v>
      </c>
      <c r="J935">
        <v>0</v>
      </c>
    </row>
    <row r="936" spans="1:10" x14ac:dyDescent="0.2">
      <c r="A936">
        <v>1091</v>
      </c>
      <c r="B936" t="s">
        <v>2748</v>
      </c>
      <c r="C936">
        <v>62</v>
      </c>
      <c r="D936" t="s">
        <v>71</v>
      </c>
      <c r="E936" s="1">
        <v>46103</v>
      </c>
      <c r="F936" s="1">
        <v>45989</v>
      </c>
      <c r="G936" t="s">
        <v>2749</v>
      </c>
      <c r="H936" t="s">
        <v>24</v>
      </c>
      <c r="I936" t="s">
        <v>2750</v>
      </c>
      <c r="J936" t="s">
        <v>20</v>
      </c>
    </row>
    <row r="937" spans="1:10" x14ac:dyDescent="0.2">
      <c r="A937">
        <v>1034</v>
      </c>
      <c r="B937" t="s">
        <v>2751</v>
      </c>
      <c r="C937">
        <v>71</v>
      </c>
      <c r="D937" t="s">
        <v>71</v>
      </c>
      <c r="E937" s="2">
        <v>46017</v>
      </c>
      <c r="F937" s="1">
        <v>45409</v>
      </c>
      <c r="G937" t="s">
        <v>2752</v>
      </c>
      <c r="H937" t="s">
        <v>24</v>
      </c>
      <c r="I937" t="s">
        <v>2753</v>
      </c>
      <c r="J937">
        <v>0</v>
      </c>
    </row>
    <row r="938" spans="1:10" x14ac:dyDescent="0.2">
      <c r="A938">
        <v>1072</v>
      </c>
      <c r="B938" t="s">
        <v>2754</v>
      </c>
      <c r="C938">
        <v>59</v>
      </c>
      <c r="D938" t="s">
        <v>11</v>
      </c>
      <c r="E938" s="2">
        <v>45772</v>
      </c>
      <c r="F938" s="1">
        <v>45412</v>
      </c>
      <c r="G938" t="s">
        <v>2755</v>
      </c>
      <c r="H938" t="s">
        <v>13</v>
      </c>
      <c r="I938" t="s">
        <v>2756</v>
      </c>
      <c r="J938" t="s">
        <v>20</v>
      </c>
    </row>
    <row r="939" spans="1:10" x14ac:dyDescent="0.2">
      <c r="A939">
        <v>1048</v>
      </c>
      <c r="B939" t="s">
        <v>2757</v>
      </c>
      <c r="C939">
        <v>84</v>
      </c>
      <c r="D939" t="s">
        <v>16</v>
      </c>
      <c r="E939" s="1">
        <v>45806</v>
      </c>
      <c r="F939" s="2">
        <v>45686</v>
      </c>
      <c r="G939" t="s">
        <v>2758</v>
      </c>
      <c r="H939" t="s">
        <v>24</v>
      </c>
      <c r="J939" t="s">
        <v>60</v>
      </c>
    </row>
    <row r="940" spans="1:10" x14ac:dyDescent="0.2">
      <c r="A940">
        <v>1068</v>
      </c>
      <c r="B940" t="s">
        <v>2759</v>
      </c>
      <c r="C940">
        <v>40</v>
      </c>
      <c r="D940" t="s">
        <v>51</v>
      </c>
      <c r="E940" s="1">
        <v>46067</v>
      </c>
      <c r="F940" s="2">
        <v>45909</v>
      </c>
      <c r="G940" t="s">
        <v>2760</v>
      </c>
      <c r="H940" t="s">
        <v>24</v>
      </c>
      <c r="J940">
        <v>1</v>
      </c>
    </row>
    <row r="941" spans="1:10" x14ac:dyDescent="0.2">
      <c r="A941">
        <v>1063</v>
      </c>
      <c r="B941" t="s">
        <v>2761</v>
      </c>
      <c r="C941">
        <v>75</v>
      </c>
      <c r="D941" t="s">
        <v>11</v>
      </c>
      <c r="E941" s="1">
        <v>45811</v>
      </c>
      <c r="F941" s="1">
        <v>45605</v>
      </c>
      <c r="G941" t="s">
        <v>2762</v>
      </c>
      <c r="H941" t="s">
        <v>13</v>
      </c>
      <c r="I941" t="s">
        <v>2763</v>
      </c>
      <c r="J941" t="s">
        <v>36</v>
      </c>
    </row>
    <row r="942" spans="1:10" x14ac:dyDescent="0.2">
      <c r="A942">
        <v>1063</v>
      </c>
      <c r="B942" t="s">
        <v>2764</v>
      </c>
      <c r="C942">
        <v>58</v>
      </c>
      <c r="D942" t="s">
        <v>38</v>
      </c>
      <c r="E942" s="1">
        <v>46078</v>
      </c>
      <c r="F942" s="1">
        <v>45594</v>
      </c>
      <c r="G942" t="s">
        <v>2765</v>
      </c>
      <c r="H942" t="s">
        <v>24</v>
      </c>
      <c r="I942" t="s">
        <v>2766</v>
      </c>
      <c r="J942">
        <v>0</v>
      </c>
    </row>
    <row r="943" spans="1:10" x14ac:dyDescent="0.2">
      <c r="A943">
        <v>1045</v>
      </c>
      <c r="B943" t="s">
        <v>2767</v>
      </c>
      <c r="C943">
        <v>24</v>
      </c>
      <c r="D943" t="s">
        <v>11</v>
      </c>
      <c r="E943" s="2">
        <v>45993</v>
      </c>
      <c r="F943" s="1">
        <v>45760</v>
      </c>
      <c r="G943" t="s">
        <v>2768</v>
      </c>
      <c r="H943" t="s">
        <v>28</v>
      </c>
      <c r="I943" t="s">
        <v>2769</v>
      </c>
      <c r="J943">
        <v>0</v>
      </c>
    </row>
    <row r="944" spans="1:10" x14ac:dyDescent="0.2">
      <c r="A944">
        <v>1028</v>
      </c>
      <c r="B944" t="s">
        <v>2770</v>
      </c>
      <c r="C944">
        <v>88</v>
      </c>
      <c r="D944">
        <v>1</v>
      </c>
      <c r="E944" s="1">
        <v>45959</v>
      </c>
      <c r="F944" s="2">
        <v>45738</v>
      </c>
      <c r="G944" t="s">
        <v>31</v>
      </c>
      <c r="H944" t="s">
        <v>13</v>
      </c>
      <c r="I944" t="s">
        <v>2771</v>
      </c>
      <c r="J944" t="s">
        <v>36</v>
      </c>
    </row>
    <row r="945" spans="1:10" x14ac:dyDescent="0.2">
      <c r="A945">
        <v>1025</v>
      </c>
      <c r="B945" t="s">
        <v>2772</v>
      </c>
      <c r="C945">
        <v>84</v>
      </c>
      <c r="D945" t="s">
        <v>38</v>
      </c>
      <c r="E945" s="2">
        <v>45926</v>
      </c>
      <c r="F945" s="1">
        <v>45824</v>
      </c>
      <c r="G945" t="s">
        <v>2773</v>
      </c>
      <c r="H945" t="s">
        <v>24</v>
      </c>
      <c r="I945" t="s">
        <v>2774</v>
      </c>
      <c r="J945" t="s">
        <v>20</v>
      </c>
    </row>
    <row r="946" spans="1:10" x14ac:dyDescent="0.2">
      <c r="A946">
        <v>1046</v>
      </c>
      <c r="B946" t="s">
        <v>2775</v>
      </c>
      <c r="C946">
        <v>64</v>
      </c>
      <c r="D946">
        <v>1</v>
      </c>
      <c r="E946" s="1">
        <v>45808</v>
      </c>
      <c r="F946" s="2">
        <v>45525</v>
      </c>
      <c r="G946" t="s">
        <v>2776</v>
      </c>
      <c r="H946" t="s">
        <v>18</v>
      </c>
      <c r="I946" t="s">
        <v>2777</v>
      </c>
      <c r="J946" t="s">
        <v>60</v>
      </c>
    </row>
    <row r="947" spans="1:10" x14ac:dyDescent="0.2">
      <c r="A947">
        <v>1036</v>
      </c>
      <c r="B947" t="s">
        <v>2778</v>
      </c>
      <c r="C947">
        <v>76</v>
      </c>
      <c r="D947">
        <v>0</v>
      </c>
      <c r="E947" s="2">
        <v>46032</v>
      </c>
      <c r="F947" s="1">
        <v>45869</v>
      </c>
      <c r="G947" t="s">
        <v>2779</v>
      </c>
      <c r="H947" t="s">
        <v>28</v>
      </c>
      <c r="I947" t="s">
        <v>2780</v>
      </c>
      <c r="J947" t="s">
        <v>20</v>
      </c>
    </row>
    <row r="948" spans="1:10" x14ac:dyDescent="0.2">
      <c r="A948">
        <v>1026</v>
      </c>
      <c r="B948" t="s">
        <v>2781</v>
      </c>
      <c r="C948">
        <v>49</v>
      </c>
      <c r="D948" t="s">
        <v>71</v>
      </c>
      <c r="E948" s="2">
        <v>46067</v>
      </c>
      <c r="F948" s="1">
        <v>45727</v>
      </c>
      <c r="G948" t="s">
        <v>2782</v>
      </c>
      <c r="H948" t="s">
        <v>24</v>
      </c>
      <c r="I948" t="s">
        <v>2783</v>
      </c>
      <c r="J948" t="s">
        <v>30</v>
      </c>
    </row>
    <row r="949" spans="1:10" x14ac:dyDescent="0.2">
      <c r="A949">
        <v>1097</v>
      </c>
      <c r="B949" t="s">
        <v>2784</v>
      </c>
      <c r="C949">
        <v>27</v>
      </c>
      <c r="D949" t="s">
        <v>51</v>
      </c>
      <c r="E949" s="2">
        <v>45963</v>
      </c>
      <c r="F949" s="1">
        <v>45407</v>
      </c>
      <c r="G949" t="s">
        <v>2785</v>
      </c>
      <c r="H949" t="s">
        <v>28</v>
      </c>
      <c r="I949" t="s">
        <v>2786</v>
      </c>
      <c r="J949" t="s">
        <v>36</v>
      </c>
    </row>
    <row r="950" spans="1:10" x14ac:dyDescent="0.2">
      <c r="A950">
        <v>1014</v>
      </c>
      <c r="B950" t="s">
        <v>2787</v>
      </c>
      <c r="C950">
        <v>29</v>
      </c>
      <c r="D950">
        <v>1</v>
      </c>
      <c r="E950" s="1">
        <v>46021</v>
      </c>
      <c r="F950" s="1">
        <v>45877</v>
      </c>
      <c r="G950" t="s">
        <v>2788</v>
      </c>
      <c r="H950" t="s">
        <v>24</v>
      </c>
      <c r="I950" t="s">
        <v>2789</v>
      </c>
      <c r="J950" t="s">
        <v>60</v>
      </c>
    </row>
    <row r="951" spans="1:10" x14ac:dyDescent="0.2">
      <c r="A951">
        <v>1085</v>
      </c>
      <c r="B951" t="s">
        <v>2790</v>
      </c>
      <c r="C951">
        <v>63</v>
      </c>
      <c r="D951" t="s">
        <v>71</v>
      </c>
      <c r="E951" s="1">
        <v>45881</v>
      </c>
      <c r="F951" s="2">
        <v>45599</v>
      </c>
      <c r="G951" t="s">
        <v>2791</v>
      </c>
      <c r="H951" t="s">
        <v>18</v>
      </c>
      <c r="I951" t="s">
        <v>2792</v>
      </c>
      <c r="J951" t="s">
        <v>20</v>
      </c>
    </row>
    <row r="952" spans="1:10" x14ac:dyDescent="0.2">
      <c r="A952">
        <v>1005</v>
      </c>
      <c r="B952" t="s">
        <v>2793</v>
      </c>
      <c r="C952">
        <v>54</v>
      </c>
      <c r="D952" t="s">
        <v>71</v>
      </c>
      <c r="E952" s="2">
        <v>45784</v>
      </c>
      <c r="F952" s="1">
        <v>45465</v>
      </c>
      <c r="G952" t="s">
        <v>2794</v>
      </c>
      <c r="H952" t="s">
        <v>28</v>
      </c>
      <c r="I952" t="s">
        <v>2795</v>
      </c>
      <c r="J952" t="s">
        <v>30</v>
      </c>
    </row>
    <row r="953" spans="1:10" x14ac:dyDescent="0.2">
      <c r="A953">
        <v>1075</v>
      </c>
      <c r="B953" t="s">
        <v>2796</v>
      </c>
      <c r="C953">
        <v>59</v>
      </c>
      <c r="D953" t="s">
        <v>22</v>
      </c>
      <c r="E953" s="2">
        <v>46101</v>
      </c>
      <c r="F953" s="2">
        <v>46015</v>
      </c>
      <c r="G953" t="s">
        <v>2797</v>
      </c>
      <c r="H953" t="s">
        <v>13</v>
      </c>
      <c r="I953" t="s">
        <v>2798</v>
      </c>
      <c r="J953">
        <v>1</v>
      </c>
    </row>
    <row r="954" spans="1:10" x14ac:dyDescent="0.2">
      <c r="A954">
        <v>1082</v>
      </c>
      <c r="B954" t="s">
        <v>2799</v>
      </c>
      <c r="C954">
        <v>37</v>
      </c>
      <c r="D954" t="s">
        <v>71</v>
      </c>
      <c r="E954" s="2">
        <v>45766</v>
      </c>
      <c r="F954" s="1">
        <v>45411</v>
      </c>
      <c r="G954" t="s">
        <v>2800</v>
      </c>
      <c r="H954" t="s">
        <v>18</v>
      </c>
      <c r="I954" t="s">
        <v>2801</v>
      </c>
      <c r="J954">
        <v>0</v>
      </c>
    </row>
    <row r="955" spans="1:10" x14ac:dyDescent="0.2">
      <c r="A955">
        <v>1089</v>
      </c>
      <c r="B955" t="s">
        <v>2802</v>
      </c>
      <c r="C955">
        <v>69</v>
      </c>
      <c r="D955" t="s">
        <v>51</v>
      </c>
      <c r="E955" s="1">
        <v>45934</v>
      </c>
      <c r="F955" s="1">
        <v>45869</v>
      </c>
      <c r="G955" t="s">
        <v>2803</v>
      </c>
      <c r="H955" t="s">
        <v>28</v>
      </c>
      <c r="I955" t="s">
        <v>2804</v>
      </c>
      <c r="J955" t="s">
        <v>20</v>
      </c>
    </row>
    <row r="956" spans="1:10" x14ac:dyDescent="0.2">
      <c r="A956">
        <v>1092</v>
      </c>
      <c r="B956" t="s">
        <v>2805</v>
      </c>
      <c r="C956">
        <v>53</v>
      </c>
      <c r="D956" t="s">
        <v>38</v>
      </c>
      <c r="E956" s="1">
        <v>45955</v>
      </c>
      <c r="F956" s="1">
        <v>45435</v>
      </c>
      <c r="G956" t="s">
        <v>2806</v>
      </c>
      <c r="H956" t="s">
        <v>18</v>
      </c>
      <c r="I956" t="s">
        <v>2807</v>
      </c>
      <c r="J956" t="s">
        <v>20</v>
      </c>
    </row>
    <row r="957" spans="1:10" x14ac:dyDescent="0.2">
      <c r="A957">
        <v>1066</v>
      </c>
      <c r="B957" t="s">
        <v>2808</v>
      </c>
      <c r="C957">
        <v>46</v>
      </c>
      <c r="D957">
        <v>1</v>
      </c>
      <c r="E957" s="2">
        <v>46107</v>
      </c>
      <c r="F957" s="2">
        <v>45829</v>
      </c>
      <c r="G957" t="s">
        <v>2809</v>
      </c>
      <c r="H957" t="s">
        <v>13</v>
      </c>
      <c r="I957" t="s">
        <v>2810</v>
      </c>
      <c r="J957">
        <v>0</v>
      </c>
    </row>
    <row r="958" spans="1:10" x14ac:dyDescent="0.2">
      <c r="A958">
        <v>1016</v>
      </c>
      <c r="B958" t="s">
        <v>2811</v>
      </c>
      <c r="C958">
        <v>22</v>
      </c>
      <c r="D958" t="s">
        <v>22</v>
      </c>
      <c r="E958" s="2">
        <v>45777</v>
      </c>
      <c r="F958" s="2">
        <v>45483</v>
      </c>
      <c r="G958" t="s">
        <v>2812</v>
      </c>
      <c r="H958" t="s">
        <v>13</v>
      </c>
      <c r="J958" t="s">
        <v>60</v>
      </c>
    </row>
    <row r="959" spans="1:10" x14ac:dyDescent="0.2">
      <c r="A959">
        <v>1041</v>
      </c>
      <c r="B959" t="s">
        <v>2813</v>
      </c>
      <c r="C959">
        <v>43</v>
      </c>
      <c r="D959">
        <v>0</v>
      </c>
      <c r="E959" s="2">
        <v>45917</v>
      </c>
      <c r="F959" s="2">
        <v>45421</v>
      </c>
      <c r="G959" t="s">
        <v>2814</v>
      </c>
      <c r="H959" t="s">
        <v>18</v>
      </c>
      <c r="I959" t="s">
        <v>2815</v>
      </c>
      <c r="J959">
        <v>0</v>
      </c>
    </row>
    <row r="960" spans="1:10" x14ac:dyDescent="0.2">
      <c r="A960">
        <v>1052</v>
      </c>
      <c r="B960" t="s">
        <v>2816</v>
      </c>
      <c r="C960">
        <v>88</v>
      </c>
      <c r="D960">
        <v>0</v>
      </c>
      <c r="E960" s="2">
        <v>46006</v>
      </c>
      <c r="F960" s="2">
        <v>45975</v>
      </c>
      <c r="G960" t="s">
        <v>2817</v>
      </c>
      <c r="H960" t="s">
        <v>18</v>
      </c>
      <c r="I960" t="s">
        <v>2818</v>
      </c>
      <c r="J960">
        <v>1</v>
      </c>
    </row>
    <row r="961" spans="1:10" x14ac:dyDescent="0.2">
      <c r="A961">
        <v>1051</v>
      </c>
      <c r="B961" t="s">
        <v>2819</v>
      </c>
      <c r="C961">
        <v>64</v>
      </c>
      <c r="D961" t="s">
        <v>16</v>
      </c>
      <c r="E961" s="2">
        <v>45755</v>
      </c>
      <c r="F961" s="1">
        <v>45496</v>
      </c>
      <c r="G961" t="s">
        <v>2820</v>
      </c>
      <c r="H961" t="s">
        <v>13</v>
      </c>
      <c r="I961" t="s">
        <v>2821</v>
      </c>
      <c r="J961" t="s">
        <v>30</v>
      </c>
    </row>
    <row r="962" spans="1:10" x14ac:dyDescent="0.2">
      <c r="A962">
        <v>1035</v>
      </c>
      <c r="B962" t="s">
        <v>2822</v>
      </c>
      <c r="C962">
        <v>33</v>
      </c>
      <c r="D962" t="s">
        <v>51</v>
      </c>
      <c r="E962" s="1">
        <v>45781</v>
      </c>
      <c r="F962" s="1">
        <v>45447</v>
      </c>
      <c r="G962" t="s">
        <v>949</v>
      </c>
      <c r="H962" t="s">
        <v>28</v>
      </c>
      <c r="I962" t="s">
        <v>2823</v>
      </c>
      <c r="J962">
        <v>1</v>
      </c>
    </row>
    <row r="963" spans="1:10" x14ac:dyDescent="0.2">
      <c r="A963">
        <v>1074</v>
      </c>
      <c r="B963" t="s">
        <v>2824</v>
      </c>
      <c r="C963">
        <v>80</v>
      </c>
      <c r="D963" t="s">
        <v>22</v>
      </c>
      <c r="E963" s="1">
        <v>45972</v>
      </c>
      <c r="F963" s="2">
        <v>45797</v>
      </c>
      <c r="G963" t="s">
        <v>2825</v>
      </c>
      <c r="H963" t="s">
        <v>24</v>
      </c>
      <c r="I963" t="s">
        <v>2826</v>
      </c>
      <c r="J963" t="s">
        <v>30</v>
      </c>
    </row>
    <row r="964" spans="1:10" x14ac:dyDescent="0.2">
      <c r="A964">
        <v>1098</v>
      </c>
      <c r="B964" t="s">
        <v>2827</v>
      </c>
      <c r="C964">
        <v>87</v>
      </c>
      <c r="D964" t="s">
        <v>22</v>
      </c>
      <c r="E964" s="2">
        <v>45840</v>
      </c>
      <c r="F964" s="2">
        <v>45621</v>
      </c>
      <c r="G964" t="s">
        <v>2828</v>
      </c>
      <c r="H964" t="s">
        <v>18</v>
      </c>
      <c r="I964" t="s">
        <v>2829</v>
      </c>
      <c r="J964">
        <v>0</v>
      </c>
    </row>
    <row r="965" spans="1:10" x14ac:dyDescent="0.2">
      <c r="A965">
        <v>1100</v>
      </c>
      <c r="B965" t="s">
        <v>2830</v>
      </c>
      <c r="C965">
        <v>31</v>
      </c>
      <c r="D965" t="s">
        <v>22</v>
      </c>
      <c r="E965" s="1">
        <v>45931</v>
      </c>
      <c r="F965" s="2">
        <v>45590</v>
      </c>
      <c r="G965" t="s">
        <v>2831</v>
      </c>
      <c r="H965" t="s">
        <v>13</v>
      </c>
      <c r="I965" t="s">
        <v>2832</v>
      </c>
      <c r="J965" t="s">
        <v>30</v>
      </c>
    </row>
    <row r="966" spans="1:10" x14ac:dyDescent="0.2">
      <c r="A966">
        <v>1049</v>
      </c>
      <c r="B966" t="s">
        <v>2833</v>
      </c>
      <c r="C966">
        <v>20</v>
      </c>
      <c r="D966">
        <v>1</v>
      </c>
      <c r="E966" s="1">
        <v>46020</v>
      </c>
      <c r="F966" s="1">
        <v>45831</v>
      </c>
      <c r="G966" t="s">
        <v>2834</v>
      </c>
      <c r="H966" t="s">
        <v>28</v>
      </c>
      <c r="I966" t="s">
        <v>2835</v>
      </c>
      <c r="J966" t="s">
        <v>60</v>
      </c>
    </row>
    <row r="967" spans="1:10" x14ac:dyDescent="0.2">
      <c r="A967">
        <v>1021</v>
      </c>
      <c r="B967" t="s">
        <v>2836</v>
      </c>
      <c r="C967">
        <v>80</v>
      </c>
      <c r="D967">
        <v>1</v>
      </c>
      <c r="E967" s="2">
        <v>45823</v>
      </c>
      <c r="F967" s="2">
        <v>45521</v>
      </c>
      <c r="G967" t="s">
        <v>2837</v>
      </c>
      <c r="H967" t="s">
        <v>18</v>
      </c>
      <c r="I967" t="s">
        <v>2838</v>
      </c>
      <c r="J967">
        <v>1</v>
      </c>
    </row>
    <row r="968" spans="1:10" x14ac:dyDescent="0.2">
      <c r="A968">
        <v>1069</v>
      </c>
      <c r="B968" t="s">
        <v>2839</v>
      </c>
      <c r="C968">
        <v>18</v>
      </c>
      <c r="D968">
        <v>1</v>
      </c>
      <c r="E968" s="1">
        <v>45947</v>
      </c>
      <c r="F968" s="2">
        <v>45419</v>
      </c>
      <c r="G968" t="s">
        <v>2840</v>
      </c>
      <c r="H968" t="s">
        <v>13</v>
      </c>
      <c r="I968" t="s">
        <v>2841</v>
      </c>
      <c r="J968" t="s">
        <v>30</v>
      </c>
    </row>
    <row r="969" spans="1:10" x14ac:dyDescent="0.2">
      <c r="A969">
        <v>1056</v>
      </c>
      <c r="B969" t="s">
        <v>2842</v>
      </c>
      <c r="C969">
        <v>71</v>
      </c>
      <c r="D969">
        <v>0</v>
      </c>
      <c r="E969" s="1">
        <v>46031</v>
      </c>
      <c r="F969" s="2">
        <v>46006</v>
      </c>
      <c r="G969" t="s">
        <v>2843</v>
      </c>
      <c r="H969" t="s">
        <v>28</v>
      </c>
      <c r="I969" t="s">
        <v>2844</v>
      </c>
      <c r="J969">
        <v>0</v>
      </c>
    </row>
    <row r="970" spans="1:10" x14ac:dyDescent="0.2">
      <c r="A970">
        <v>1036</v>
      </c>
      <c r="B970" t="s">
        <v>2845</v>
      </c>
      <c r="C970">
        <v>44</v>
      </c>
      <c r="D970" t="s">
        <v>11</v>
      </c>
      <c r="E970" s="2">
        <v>45774</v>
      </c>
      <c r="F970" s="2">
        <v>45639</v>
      </c>
      <c r="G970" t="s">
        <v>2846</v>
      </c>
      <c r="H970" t="s">
        <v>18</v>
      </c>
      <c r="I970" t="s">
        <v>2847</v>
      </c>
      <c r="J970" t="s">
        <v>36</v>
      </c>
    </row>
    <row r="971" spans="1:10" x14ac:dyDescent="0.2">
      <c r="A971">
        <v>1063</v>
      </c>
      <c r="B971" t="s">
        <v>2848</v>
      </c>
      <c r="C971">
        <v>32</v>
      </c>
      <c r="D971" t="s">
        <v>71</v>
      </c>
      <c r="E971" s="2">
        <v>45843</v>
      </c>
      <c r="F971" s="2">
        <v>45661</v>
      </c>
      <c r="G971" t="s">
        <v>1079</v>
      </c>
      <c r="H971" t="s">
        <v>18</v>
      </c>
      <c r="I971" t="s">
        <v>2849</v>
      </c>
      <c r="J971">
        <v>1</v>
      </c>
    </row>
    <row r="972" spans="1:10" x14ac:dyDescent="0.2">
      <c r="A972">
        <v>1081</v>
      </c>
      <c r="B972" t="s">
        <v>2850</v>
      </c>
      <c r="C972">
        <v>32</v>
      </c>
      <c r="D972" t="s">
        <v>22</v>
      </c>
      <c r="E972" s="2">
        <v>46079</v>
      </c>
      <c r="F972" s="2">
        <v>45761</v>
      </c>
      <c r="G972" t="s">
        <v>1518</v>
      </c>
      <c r="H972" t="s">
        <v>24</v>
      </c>
      <c r="I972" t="s">
        <v>2851</v>
      </c>
      <c r="J972">
        <v>0</v>
      </c>
    </row>
    <row r="973" spans="1:10" x14ac:dyDescent="0.2">
      <c r="A973">
        <v>1042</v>
      </c>
      <c r="B973" t="s">
        <v>2852</v>
      </c>
      <c r="C973">
        <v>48</v>
      </c>
      <c r="D973">
        <v>0</v>
      </c>
      <c r="E973" s="2">
        <v>45822</v>
      </c>
      <c r="F973" s="1">
        <v>45737</v>
      </c>
      <c r="G973" t="s">
        <v>2853</v>
      </c>
      <c r="H973" t="s">
        <v>13</v>
      </c>
      <c r="I973" t="s">
        <v>2854</v>
      </c>
      <c r="J973" t="s">
        <v>20</v>
      </c>
    </row>
    <row r="974" spans="1:10" x14ac:dyDescent="0.2">
      <c r="A974">
        <v>1082</v>
      </c>
      <c r="B974" t="s">
        <v>2855</v>
      </c>
      <c r="C974">
        <v>69</v>
      </c>
      <c r="D974" t="s">
        <v>11</v>
      </c>
      <c r="E974" s="1">
        <v>45802</v>
      </c>
      <c r="F974" s="1">
        <v>45458</v>
      </c>
      <c r="G974" t="s">
        <v>2856</v>
      </c>
      <c r="H974" t="s">
        <v>13</v>
      </c>
      <c r="I974" t="s">
        <v>2857</v>
      </c>
      <c r="J974">
        <v>1</v>
      </c>
    </row>
    <row r="975" spans="1:10" x14ac:dyDescent="0.2">
      <c r="A975">
        <v>1002</v>
      </c>
      <c r="B975" t="s">
        <v>2858</v>
      </c>
      <c r="C975">
        <v>88</v>
      </c>
      <c r="D975" t="s">
        <v>16</v>
      </c>
      <c r="E975" s="2">
        <v>45947</v>
      </c>
      <c r="F975" s="1">
        <v>45801</v>
      </c>
      <c r="G975" t="s">
        <v>2859</v>
      </c>
      <c r="H975" t="s">
        <v>13</v>
      </c>
      <c r="I975" t="s">
        <v>2860</v>
      </c>
      <c r="J975" t="s">
        <v>30</v>
      </c>
    </row>
    <row r="976" spans="1:10" x14ac:dyDescent="0.2">
      <c r="A976">
        <v>1047</v>
      </c>
      <c r="B976" t="s">
        <v>2861</v>
      </c>
      <c r="C976">
        <v>36</v>
      </c>
      <c r="D976">
        <v>1</v>
      </c>
      <c r="E976" s="1">
        <v>46043</v>
      </c>
      <c r="F976" s="2">
        <v>45663</v>
      </c>
      <c r="G976" t="s">
        <v>2862</v>
      </c>
      <c r="H976" t="s">
        <v>18</v>
      </c>
      <c r="I976" t="s">
        <v>2863</v>
      </c>
      <c r="J976">
        <v>0</v>
      </c>
    </row>
    <row r="977" spans="1:10" x14ac:dyDescent="0.2">
      <c r="A977">
        <v>1043</v>
      </c>
      <c r="B977" t="s">
        <v>2864</v>
      </c>
      <c r="C977">
        <v>64</v>
      </c>
      <c r="D977" t="s">
        <v>51</v>
      </c>
      <c r="E977" s="1">
        <v>45956</v>
      </c>
      <c r="F977" s="1">
        <v>45427</v>
      </c>
      <c r="G977" t="s">
        <v>2865</v>
      </c>
      <c r="H977" t="s">
        <v>24</v>
      </c>
      <c r="I977" t="s">
        <v>2866</v>
      </c>
      <c r="J977" t="s">
        <v>20</v>
      </c>
    </row>
    <row r="978" spans="1:10" x14ac:dyDescent="0.2">
      <c r="A978">
        <v>1072</v>
      </c>
      <c r="B978" t="s">
        <v>2867</v>
      </c>
      <c r="C978">
        <v>38</v>
      </c>
      <c r="D978" t="s">
        <v>16</v>
      </c>
      <c r="E978" s="1">
        <v>45958</v>
      </c>
      <c r="F978" s="2">
        <v>45638</v>
      </c>
      <c r="G978" t="s">
        <v>2868</v>
      </c>
      <c r="H978" t="s">
        <v>28</v>
      </c>
      <c r="I978" t="s">
        <v>2869</v>
      </c>
      <c r="J978">
        <v>0</v>
      </c>
    </row>
    <row r="979" spans="1:10" x14ac:dyDescent="0.2">
      <c r="A979">
        <v>1085</v>
      </c>
      <c r="B979" t="s">
        <v>2870</v>
      </c>
      <c r="C979">
        <v>34</v>
      </c>
      <c r="D979" t="s">
        <v>51</v>
      </c>
      <c r="E979" s="1">
        <v>45989</v>
      </c>
      <c r="F979" s="1">
        <v>45823</v>
      </c>
      <c r="G979" t="s">
        <v>2871</v>
      </c>
      <c r="H979" t="s">
        <v>13</v>
      </c>
      <c r="I979" t="s">
        <v>2872</v>
      </c>
      <c r="J979">
        <v>0</v>
      </c>
    </row>
    <row r="980" spans="1:10" x14ac:dyDescent="0.2">
      <c r="A980">
        <v>1088</v>
      </c>
      <c r="B980" t="s">
        <v>2873</v>
      </c>
      <c r="C980">
        <v>19</v>
      </c>
      <c r="D980" t="s">
        <v>11</v>
      </c>
      <c r="E980" s="1">
        <v>45861</v>
      </c>
      <c r="F980" s="1">
        <v>45775</v>
      </c>
      <c r="G980" t="s">
        <v>1713</v>
      </c>
      <c r="H980" t="s">
        <v>28</v>
      </c>
      <c r="I980" t="s">
        <v>2874</v>
      </c>
      <c r="J980" t="s">
        <v>60</v>
      </c>
    </row>
    <row r="981" spans="1:10" x14ac:dyDescent="0.2">
      <c r="A981">
        <v>1059</v>
      </c>
      <c r="B981" t="s">
        <v>2875</v>
      </c>
      <c r="C981">
        <v>65</v>
      </c>
      <c r="D981" t="s">
        <v>16</v>
      </c>
      <c r="E981" s="1">
        <v>45862</v>
      </c>
      <c r="F981" s="1">
        <v>45808</v>
      </c>
      <c r="G981" t="s">
        <v>2876</v>
      </c>
      <c r="H981" t="s">
        <v>24</v>
      </c>
      <c r="I981" t="s">
        <v>2877</v>
      </c>
      <c r="J981">
        <v>0</v>
      </c>
    </row>
    <row r="982" spans="1:10" x14ac:dyDescent="0.2">
      <c r="A982">
        <v>1028</v>
      </c>
      <c r="B982" t="s">
        <v>2878</v>
      </c>
      <c r="C982">
        <v>43</v>
      </c>
      <c r="D982">
        <v>0</v>
      </c>
      <c r="E982" s="2">
        <v>45841</v>
      </c>
      <c r="F982" s="1">
        <v>45428</v>
      </c>
      <c r="G982" t="s">
        <v>2879</v>
      </c>
      <c r="H982" t="s">
        <v>24</v>
      </c>
      <c r="I982" t="s">
        <v>2880</v>
      </c>
      <c r="J982">
        <v>1</v>
      </c>
    </row>
    <row r="983" spans="1:10" x14ac:dyDescent="0.2">
      <c r="A983">
        <v>1019</v>
      </c>
      <c r="B983" t="s">
        <v>2881</v>
      </c>
      <c r="C983">
        <v>66</v>
      </c>
      <c r="D983" t="s">
        <v>16</v>
      </c>
      <c r="E983" s="1">
        <v>45865</v>
      </c>
      <c r="F983" s="2">
        <v>45855</v>
      </c>
      <c r="G983" t="s">
        <v>2882</v>
      </c>
      <c r="H983" t="s">
        <v>18</v>
      </c>
      <c r="I983" t="s">
        <v>2883</v>
      </c>
      <c r="J983" t="s">
        <v>30</v>
      </c>
    </row>
    <row r="984" spans="1:10" x14ac:dyDescent="0.2">
      <c r="A984">
        <v>1012</v>
      </c>
      <c r="B984" t="s">
        <v>2884</v>
      </c>
      <c r="C984">
        <v>78</v>
      </c>
      <c r="D984" t="s">
        <v>11</v>
      </c>
      <c r="E984" s="2">
        <v>45853</v>
      </c>
      <c r="F984" s="2">
        <v>45842</v>
      </c>
      <c r="G984" t="s">
        <v>2885</v>
      </c>
      <c r="H984" t="s">
        <v>28</v>
      </c>
      <c r="I984" t="s">
        <v>2886</v>
      </c>
      <c r="J984">
        <v>0</v>
      </c>
    </row>
    <row r="985" spans="1:10" x14ac:dyDescent="0.2">
      <c r="A985">
        <v>1049</v>
      </c>
      <c r="B985" t="s">
        <v>2887</v>
      </c>
      <c r="C985">
        <v>84</v>
      </c>
      <c r="D985" t="s">
        <v>71</v>
      </c>
      <c r="E985" s="1">
        <v>46017</v>
      </c>
      <c r="F985" s="2">
        <v>45876</v>
      </c>
      <c r="G985" t="s">
        <v>2888</v>
      </c>
      <c r="H985" t="s">
        <v>13</v>
      </c>
      <c r="I985" t="s">
        <v>2889</v>
      </c>
      <c r="J985" t="s">
        <v>20</v>
      </c>
    </row>
    <row r="986" spans="1:10" x14ac:dyDescent="0.2">
      <c r="A986">
        <v>1081</v>
      </c>
      <c r="B986" t="s">
        <v>2890</v>
      </c>
      <c r="C986">
        <v>43</v>
      </c>
      <c r="E986" s="2">
        <v>45864</v>
      </c>
      <c r="F986" s="2">
        <v>45436</v>
      </c>
      <c r="G986" t="s">
        <v>2891</v>
      </c>
      <c r="H986" t="s">
        <v>18</v>
      </c>
      <c r="I986" t="s">
        <v>2892</v>
      </c>
      <c r="J986">
        <v>1</v>
      </c>
    </row>
    <row r="987" spans="1:10" x14ac:dyDescent="0.2">
      <c r="A987">
        <v>1045</v>
      </c>
      <c r="B987" t="s">
        <v>2893</v>
      </c>
      <c r="C987">
        <v>29</v>
      </c>
      <c r="D987" t="s">
        <v>11</v>
      </c>
      <c r="E987" s="1">
        <v>45856</v>
      </c>
      <c r="F987" s="2">
        <v>45740</v>
      </c>
      <c r="G987" t="s">
        <v>2894</v>
      </c>
      <c r="H987" t="s">
        <v>24</v>
      </c>
      <c r="I987" t="s">
        <v>2895</v>
      </c>
      <c r="J987" t="s">
        <v>30</v>
      </c>
    </row>
    <row r="988" spans="1:10" x14ac:dyDescent="0.2">
      <c r="A988">
        <v>1076</v>
      </c>
      <c r="B988" t="s">
        <v>2896</v>
      </c>
      <c r="C988">
        <v>79</v>
      </c>
      <c r="D988" t="s">
        <v>22</v>
      </c>
      <c r="E988" s="1">
        <v>46074</v>
      </c>
      <c r="F988" s="2">
        <v>45512</v>
      </c>
      <c r="G988" t="s">
        <v>2897</v>
      </c>
      <c r="H988" t="s">
        <v>18</v>
      </c>
      <c r="I988" t="s">
        <v>2898</v>
      </c>
      <c r="J988" t="s">
        <v>20</v>
      </c>
    </row>
    <row r="989" spans="1:10" x14ac:dyDescent="0.2">
      <c r="A989">
        <v>1047</v>
      </c>
      <c r="B989" t="s">
        <v>2899</v>
      </c>
      <c r="C989">
        <v>54</v>
      </c>
      <c r="D989">
        <v>1</v>
      </c>
      <c r="E989" s="1">
        <v>45810</v>
      </c>
      <c r="F989" s="2">
        <v>45504</v>
      </c>
      <c r="G989" t="s">
        <v>2900</v>
      </c>
      <c r="H989" t="s">
        <v>13</v>
      </c>
      <c r="I989" t="s">
        <v>2901</v>
      </c>
      <c r="J989" t="s">
        <v>36</v>
      </c>
    </row>
    <row r="990" spans="1:10" x14ac:dyDescent="0.2">
      <c r="A990">
        <v>1068</v>
      </c>
      <c r="B990" t="s">
        <v>2902</v>
      </c>
      <c r="C990">
        <v>42</v>
      </c>
      <c r="D990" t="s">
        <v>71</v>
      </c>
      <c r="E990" s="2">
        <v>45951</v>
      </c>
      <c r="F990" s="1">
        <v>45747</v>
      </c>
      <c r="G990" t="s">
        <v>2903</v>
      </c>
      <c r="H990" t="s">
        <v>24</v>
      </c>
      <c r="I990" t="s">
        <v>2904</v>
      </c>
      <c r="J990" t="s">
        <v>36</v>
      </c>
    </row>
    <row r="991" spans="1:10" x14ac:dyDescent="0.2">
      <c r="A991">
        <v>1021</v>
      </c>
      <c r="B991" t="s">
        <v>2905</v>
      </c>
      <c r="C991">
        <v>41</v>
      </c>
      <c r="D991">
        <v>1</v>
      </c>
      <c r="E991" s="2">
        <v>45750</v>
      </c>
      <c r="F991" s="2">
        <v>45526</v>
      </c>
      <c r="G991" t="s">
        <v>2906</v>
      </c>
      <c r="H991" t="s">
        <v>18</v>
      </c>
      <c r="I991" t="s">
        <v>2907</v>
      </c>
      <c r="J991">
        <v>1</v>
      </c>
    </row>
    <row r="992" spans="1:10" x14ac:dyDescent="0.2">
      <c r="A992">
        <v>1052</v>
      </c>
      <c r="B992" t="s">
        <v>2908</v>
      </c>
      <c r="C992">
        <v>48</v>
      </c>
      <c r="D992" t="s">
        <v>16</v>
      </c>
      <c r="E992" s="2">
        <v>45878</v>
      </c>
      <c r="F992" s="1">
        <v>45773</v>
      </c>
      <c r="G992" t="s">
        <v>2909</v>
      </c>
      <c r="H992" t="s">
        <v>18</v>
      </c>
      <c r="I992" t="s">
        <v>2910</v>
      </c>
      <c r="J992">
        <v>0</v>
      </c>
    </row>
    <row r="993" spans="1:10" x14ac:dyDescent="0.2">
      <c r="A993">
        <v>1075</v>
      </c>
      <c r="B993" t="s">
        <v>2911</v>
      </c>
      <c r="C993">
        <v>43</v>
      </c>
      <c r="D993" t="s">
        <v>22</v>
      </c>
      <c r="E993" s="1">
        <v>46034</v>
      </c>
      <c r="F993" s="1">
        <v>45960</v>
      </c>
      <c r="G993" t="s">
        <v>2912</v>
      </c>
      <c r="H993" t="s">
        <v>28</v>
      </c>
      <c r="I993" t="s">
        <v>2913</v>
      </c>
      <c r="J993" t="s">
        <v>20</v>
      </c>
    </row>
    <row r="994" spans="1:10" x14ac:dyDescent="0.2">
      <c r="A994">
        <v>1047</v>
      </c>
      <c r="B994" t="s">
        <v>2914</v>
      </c>
      <c r="C994">
        <v>76</v>
      </c>
      <c r="D994">
        <v>0</v>
      </c>
      <c r="E994" s="2">
        <v>46081</v>
      </c>
      <c r="F994" s="1">
        <v>45615</v>
      </c>
      <c r="G994" t="s">
        <v>869</v>
      </c>
      <c r="H994" t="s">
        <v>13</v>
      </c>
      <c r="I994" t="s">
        <v>2915</v>
      </c>
      <c r="J994">
        <v>0</v>
      </c>
    </row>
    <row r="995" spans="1:10" x14ac:dyDescent="0.2">
      <c r="A995">
        <v>1017</v>
      </c>
      <c r="B995" t="s">
        <v>2916</v>
      </c>
      <c r="C995">
        <v>50</v>
      </c>
      <c r="D995" t="s">
        <v>22</v>
      </c>
      <c r="E995" s="1">
        <v>45821</v>
      </c>
      <c r="F995" s="2">
        <v>45672</v>
      </c>
      <c r="G995" t="s">
        <v>2917</v>
      </c>
      <c r="H995" t="s">
        <v>13</v>
      </c>
      <c r="I995" t="s">
        <v>2918</v>
      </c>
      <c r="J995" t="s">
        <v>20</v>
      </c>
    </row>
    <row r="996" spans="1:10" x14ac:dyDescent="0.2">
      <c r="A996">
        <v>1068</v>
      </c>
      <c r="B996" t="s">
        <v>2919</v>
      </c>
      <c r="C996">
        <v>19</v>
      </c>
      <c r="D996" t="s">
        <v>71</v>
      </c>
      <c r="E996" s="1">
        <v>46048</v>
      </c>
      <c r="F996" s="2">
        <v>45624</v>
      </c>
      <c r="G996" t="s">
        <v>2920</v>
      </c>
      <c r="H996" t="s">
        <v>28</v>
      </c>
      <c r="I996" t="s">
        <v>2921</v>
      </c>
      <c r="J996" t="s">
        <v>20</v>
      </c>
    </row>
    <row r="997" spans="1:10" x14ac:dyDescent="0.2">
      <c r="A997">
        <v>1082</v>
      </c>
      <c r="B997" t="s">
        <v>2922</v>
      </c>
      <c r="C997">
        <v>64</v>
      </c>
      <c r="D997" t="s">
        <v>38</v>
      </c>
      <c r="E997" s="2">
        <v>45914</v>
      </c>
      <c r="F997" s="1">
        <v>45488</v>
      </c>
      <c r="G997" t="s">
        <v>2923</v>
      </c>
      <c r="H997" t="s">
        <v>28</v>
      </c>
      <c r="I997" t="s">
        <v>2924</v>
      </c>
      <c r="J997" t="s">
        <v>36</v>
      </c>
    </row>
    <row r="998" spans="1:10" x14ac:dyDescent="0.2">
      <c r="A998">
        <v>1008</v>
      </c>
      <c r="B998" t="s">
        <v>2925</v>
      </c>
      <c r="C998">
        <v>67</v>
      </c>
      <c r="D998" t="s">
        <v>16</v>
      </c>
      <c r="E998" s="2">
        <v>45756</v>
      </c>
      <c r="F998" s="2">
        <v>45463</v>
      </c>
      <c r="G998" t="s">
        <v>1136</v>
      </c>
      <c r="H998" t="s">
        <v>28</v>
      </c>
      <c r="I998" t="s">
        <v>2926</v>
      </c>
      <c r="J998" t="s">
        <v>30</v>
      </c>
    </row>
    <row r="999" spans="1:10" x14ac:dyDescent="0.2">
      <c r="A999">
        <v>1022</v>
      </c>
      <c r="B999" t="s">
        <v>1565</v>
      </c>
      <c r="C999">
        <v>28</v>
      </c>
      <c r="D999">
        <v>1</v>
      </c>
      <c r="E999" s="2">
        <v>46066</v>
      </c>
      <c r="F999" s="1">
        <v>45456</v>
      </c>
      <c r="G999" t="s">
        <v>2927</v>
      </c>
      <c r="H999" t="s">
        <v>24</v>
      </c>
      <c r="I999" t="s">
        <v>2928</v>
      </c>
      <c r="J999" t="s">
        <v>60</v>
      </c>
    </row>
    <row r="1000" spans="1:10" x14ac:dyDescent="0.2">
      <c r="A1000">
        <v>1088</v>
      </c>
      <c r="B1000" t="s">
        <v>1294</v>
      </c>
      <c r="C1000">
        <v>65</v>
      </c>
      <c r="D1000" t="s">
        <v>16</v>
      </c>
      <c r="E1000" s="1">
        <v>45842</v>
      </c>
      <c r="F1000" s="1">
        <v>45397</v>
      </c>
      <c r="G1000" t="s">
        <v>2929</v>
      </c>
      <c r="H1000" t="s">
        <v>24</v>
      </c>
      <c r="I1000" t="s">
        <v>2930</v>
      </c>
      <c r="J1000">
        <v>0</v>
      </c>
    </row>
    <row r="1001" spans="1:10" x14ac:dyDescent="0.2">
      <c r="A1001">
        <v>1003</v>
      </c>
      <c r="B1001" t="s">
        <v>2931</v>
      </c>
      <c r="C1001">
        <v>79</v>
      </c>
      <c r="D1001" t="s">
        <v>71</v>
      </c>
      <c r="E1001" s="2">
        <v>45966</v>
      </c>
      <c r="F1001" s="1">
        <v>45495</v>
      </c>
      <c r="G1001" t="s">
        <v>2932</v>
      </c>
      <c r="H1001" t="s">
        <v>13</v>
      </c>
      <c r="I1001" t="s">
        <v>2933</v>
      </c>
      <c r="J1001" t="s">
        <v>20</v>
      </c>
    </row>
  </sheetData>
  <autoFilter ref="A1:J1001" xr:uid="{E0D99E20-60A9-BA42-93FF-1B2232BF2E0D}"/>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E1068-D250-104C-8A55-DC562609C09B}">
  <dimension ref="A1:U1001"/>
  <sheetViews>
    <sheetView workbookViewId="0">
      <selection sqref="A1:U1001"/>
    </sheetView>
  </sheetViews>
  <sheetFormatPr baseColWidth="10" defaultRowHeight="16" x14ac:dyDescent="0.2"/>
  <cols>
    <col min="7" max="8" width="10.83203125" style="1"/>
    <col min="13" max="13" width="15.5" bestFit="1" customWidth="1"/>
    <col min="14" max="14" width="17.1640625" bestFit="1" customWidth="1"/>
    <col min="15" max="15" width="16" bestFit="1" customWidth="1"/>
    <col min="16" max="16" width="15.5" style="3" bestFit="1" customWidth="1"/>
  </cols>
  <sheetData>
    <row r="1" spans="1:21" x14ac:dyDescent="0.2">
      <c r="A1" t="s">
        <v>0</v>
      </c>
      <c r="B1" t="s">
        <v>2936</v>
      </c>
      <c r="C1" t="s">
        <v>1</v>
      </c>
      <c r="D1" t="s">
        <v>2</v>
      </c>
      <c r="E1" t="s">
        <v>3</v>
      </c>
      <c r="F1" t="s">
        <v>2938</v>
      </c>
      <c r="G1" s="1" t="s">
        <v>4</v>
      </c>
      <c r="H1" s="1" t="s">
        <v>5</v>
      </c>
      <c r="I1" t="s">
        <v>6</v>
      </c>
      <c r="J1" t="s">
        <v>2943</v>
      </c>
      <c r="K1" t="s">
        <v>7</v>
      </c>
      <c r="L1" t="s">
        <v>2944</v>
      </c>
      <c r="M1" t="s">
        <v>8</v>
      </c>
      <c r="N1" t="s">
        <v>2940</v>
      </c>
      <c r="O1" t="s">
        <v>2941</v>
      </c>
      <c r="P1" s="3" t="s">
        <v>2942</v>
      </c>
      <c r="Q1" t="s">
        <v>9</v>
      </c>
      <c r="R1" t="s">
        <v>2939</v>
      </c>
      <c r="S1" t="s">
        <v>2934</v>
      </c>
      <c r="T1" t="s">
        <v>2935</v>
      </c>
      <c r="U1" t="s">
        <v>2945</v>
      </c>
    </row>
    <row r="2" spans="1:21" x14ac:dyDescent="0.2">
      <c r="A2">
        <v>1080</v>
      </c>
      <c r="B2">
        <f>ROW()-1</f>
        <v>1</v>
      </c>
      <c r="C2" t="s">
        <v>10</v>
      </c>
      <c r="D2">
        <v>76</v>
      </c>
      <c r="E2" t="s">
        <v>38</v>
      </c>
      <c r="F2" t="str">
        <f>IF(E2="male","Male",IF(E2="female","Female",IF(E2="F","Female",IF(E2="M","Male",IF(E2="N/A","N/A")))))</f>
        <v>Female</v>
      </c>
      <c r="G2" s="1">
        <v>46079</v>
      </c>
      <c r="H2" s="1">
        <v>45629</v>
      </c>
      <c r="I2" t="s">
        <v>12</v>
      </c>
      <c r="J2" t="str">
        <f>PROPER(I2)</f>
        <v>Christopher Graham</v>
      </c>
      <c r="K2" t="s">
        <v>13</v>
      </c>
      <c r="L2" t="str">
        <f>PROPER(K2)</f>
        <v>Cardiology</v>
      </c>
      <c r="M2" t="s">
        <v>14</v>
      </c>
      <c r="N2" t="str">
        <f>IF(LEFT(M2,1)="$","USD",IF(LEFT(M2,2)="Rs","INR",IF(LEFT(M2,2)="¬£","GBP",IF(LEFT(M2,3)="‚Ç¨","EUR","N/A"))))</f>
        <v>GBP</v>
      </c>
      <c r="O2">
        <f>IFERROR(VALUE(SUBSTITUTE(SUBSTITUTE(SUBSTITUTE(SUBSTITUTE(M2,"$",""), "Rs",""),"¬£",""),"‚Ç¨","")), "")</f>
        <v>425.8</v>
      </c>
      <c r="P2" cm="1">
        <f t="array" ref="P2">_xlfn.IFS(N2="USD",O2*1,N2="GBP",O2*1.27,N2="EUR",O2*1.09,N2="INR",O2*0.012,N2="N/A","N/A")</f>
        <v>540.76600000000008</v>
      </c>
      <c r="Q2">
        <v>1</v>
      </c>
      <c r="R2" t="str" cm="1">
        <f t="array" ref="R2">_xlfn.IFS(Q2="Y","Yes", Q2="Yes","Yes", Q2="N","No", Q2="No","No", Q2=1,"N/A", Q2=0,"N/A", TRUE,"")</f>
        <v>N/A</v>
      </c>
      <c r="S2">
        <f>COUNTIF($A$2:$A$1001, A2)</f>
        <v>11</v>
      </c>
      <c r="T2">
        <f>COUNTIFS($A$2:$A$1001, A2, $C$2:$C$1001, C2)</f>
        <v>1</v>
      </c>
      <c r="U2" t="str" cm="1">
        <f t="array" ref="U2">_xlfn.IFS(D2&lt;40,"Young Adult",AND(D2&gt;=40,D2&lt;65),"Middle Aged", D2&gt;=65,"Elderly")</f>
        <v>Elderly</v>
      </c>
    </row>
    <row r="3" spans="1:21" x14ac:dyDescent="0.2">
      <c r="A3">
        <v>1074</v>
      </c>
      <c r="B3">
        <f>ROW()-1</f>
        <v>2</v>
      </c>
      <c r="C3" t="s">
        <v>15</v>
      </c>
      <c r="D3">
        <v>69</v>
      </c>
      <c r="E3" t="s">
        <v>16</v>
      </c>
      <c r="F3" t="str">
        <f t="shared" ref="F3:F66" si="0">IF(E3="male","Male",IF(E3="female","Female",IF(E3="F","Female",IF(E3="M","Male",IF(E3="N/A","N/A")))))</f>
        <v>Female</v>
      </c>
      <c r="G3" s="1">
        <v>45800</v>
      </c>
      <c r="H3" s="1">
        <v>45455</v>
      </c>
      <c r="I3" t="s">
        <v>17</v>
      </c>
      <c r="J3" t="str">
        <f t="shared" ref="J3:J66" si="1">PROPER(I3)</f>
        <v>Brandon Lewis</v>
      </c>
      <c r="K3" t="s">
        <v>18</v>
      </c>
      <c r="L3" t="str">
        <f t="shared" ref="L3:L66" si="2">PROPER(K3)</f>
        <v>Orthopedics</v>
      </c>
      <c r="M3" t="s">
        <v>19</v>
      </c>
      <c r="N3" t="str">
        <f t="shared" ref="N3:N66" si="3">IF(LEFT(M3,1)="$","USD",IF(LEFT(M3,2)="Rs","INR",IF(LEFT(M3,2)="¬£","GBP",IF(LEFT(M3,3)="‚Ç¨","EUR","N/A"))))</f>
        <v>EUR</v>
      </c>
      <c r="O3">
        <f t="shared" ref="O3:O66" si="4">IFERROR(VALUE(SUBSTITUTE(SUBSTITUTE(SUBSTITUTE(SUBSTITUTE(M3,"$",""), "Rs",""),"¬£",""),"‚Ç¨","")), "")</f>
        <v>344.26</v>
      </c>
      <c r="P3" cm="1">
        <f t="array" ref="P3">_xlfn.IFS(N3="USD",O3*1,N3="GBP",O3*1.27,N3="EUR",O3*1.09,N3="INR",O3*0.012,N3="N/A","N/A")</f>
        <v>375.24340000000001</v>
      </c>
      <c r="Q3" t="s">
        <v>20</v>
      </c>
      <c r="R3" t="str" cm="1">
        <f t="array" ref="R3">_xlfn.IFS(Q3="Y","Yes", Q3="Yes","Yes", Q3="N","No", Q3="No","No", Q3=1,"N/A", Q3=0,"N/A", TRUE,"")</f>
        <v>Yes</v>
      </c>
      <c r="S3">
        <f t="shared" ref="S3:S66" si="5">COUNTIF($A$2:$A$1001, A3)</f>
        <v>17</v>
      </c>
      <c r="T3">
        <f t="shared" ref="T3:T66" si="6">COUNTIFS($A$2:$A$1001, A3, $C$2:$C$1001, C3)</f>
        <v>1</v>
      </c>
      <c r="U3" t="str" cm="1">
        <f t="array" ref="U3">_xlfn.IFS(D3&lt;40,"Young Adult",AND(D3&gt;=40,D3&lt;65),"Middle Aged", D3&gt;=65,"Elderly")</f>
        <v>Elderly</v>
      </c>
    </row>
    <row r="4" spans="1:21" x14ac:dyDescent="0.2">
      <c r="A4">
        <v>1067</v>
      </c>
      <c r="B4">
        <f t="shared" ref="B4:B66" si="7">ROW()-1</f>
        <v>3</v>
      </c>
      <c r="C4" t="s">
        <v>21</v>
      </c>
      <c r="D4">
        <v>79</v>
      </c>
      <c r="E4" t="s">
        <v>22</v>
      </c>
      <c r="F4" t="str">
        <f t="shared" si="0"/>
        <v>Male</v>
      </c>
      <c r="G4" s="1">
        <v>45991</v>
      </c>
      <c r="H4" s="1">
        <v>45509</v>
      </c>
      <c r="I4" t="s">
        <v>23</v>
      </c>
      <c r="J4" t="str">
        <f t="shared" si="1"/>
        <v>Deanna Edwards</v>
      </c>
      <c r="K4" t="s">
        <v>24</v>
      </c>
      <c r="L4" t="str">
        <f t="shared" si="2"/>
        <v>Neurology</v>
      </c>
      <c r="M4" t="s">
        <v>25</v>
      </c>
      <c r="N4" t="str">
        <f t="shared" si="3"/>
        <v>EUR</v>
      </c>
      <c r="O4">
        <f t="shared" si="4"/>
        <v>203.34</v>
      </c>
      <c r="P4" cm="1">
        <f t="array" ref="P4">_xlfn.IFS(N4="USD",O4*1,N4="GBP",O4*1.27,N4="EUR",O4*1.09,N4="INR",O4*0.012,N4="N/A","N/A")</f>
        <v>221.64060000000001</v>
      </c>
      <c r="Q4" t="s">
        <v>20</v>
      </c>
      <c r="R4" t="str" cm="1">
        <f t="array" ref="R4">_xlfn.IFS(Q4="Y","Yes", Q4="Yes","Yes", Q4="N","No", Q4="No","No", Q4=1,"N/A", Q4=0,"N/A", TRUE,"")</f>
        <v>Yes</v>
      </c>
      <c r="S4">
        <f t="shared" si="5"/>
        <v>9</v>
      </c>
      <c r="T4">
        <f t="shared" si="6"/>
        <v>1</v>
      </c>
      <c r="U4" t="str" cm="1">
        <f t="array" ref="U4">_xlfn.IFS(D4&lt;40,"Young Adult",AND(D4&gt;=40,D4&lt;65),"Middle Aged", D4&gt;=65,"Elderly")</f>
        <v>Elderly</v>
      </c>
    </row>
    <row r="5" spans="1:21" x14ac:dyDescent="0.2">
      <c r="A5">
        <v>1072</v>
      </c>
      <c r="B5">
        <f t="shared" si="7"/>
        <v>4</v>
      </c>
      <c r="C5" t="s">
        <v>26</v>
      </c>
      <c r="D5">
        <v>47</v>
      </c>
      <c r="E5" t="s">
        <v>16</v>
      </c>
      <c r="F5" t="str">
        <f t="shared" si="0"/>
        <v>Female</v>
      </c>
      <c r="G5" s="1">
        <v>45795</v>
      </c>
      <c r="H5" s="1">
        <v>45544</v>
      </c>
      <c r="I5" t="s">
        <v>27</v>
      </c>
      <c r="J5" t="str">
        <f t="shared" si="1"/>
        <v>Karen Parsons</v>
      </c>
      <c r="K5" t="s">
        <v>28</v>
      </c>
      <c r="L5" t="str">
        <f t="shared" si="2"/>
        <v>General</v>
      </c>
      <c r="M5" t="s">
        <v>29</v>
      </c>
      <c r="N5" t="str">
        <f t="shared" si="3"/>
        <v>INR</v>
      </c>
      <c r="O5">
        <f t="shared" si="4"/>
        <v>85.76</v>
      </c>
      <c r="P5" cm="1">
        <f t="array" ref="P5">_xlfn.IFS(N5="USD",O5*1,N5="GBP",O5*1.27,N5="EUR",O5*1.09,N5="INR",O5*0.012,N5="N/A","N/A")</f>
        <v>1.02912</v>
      </c>
      <c r="Q5" t="s">
        <v>30</v>
      </c>
      <c r="R5" t="str" cm="1">
        <f t="array" ref="R5">_xlfn.IFS(Q5="Y","Yes", Q5="Yes","Yes", Q5="N","No", Q5="No","No", Q5=1,"N/A", Q5=0,"N/A", TRUE,"")</f>
        <v>No</v>
      </c>
      <c r="S5">
        <f t="shared" si="5"/>
        <v>9</v>
      </c>
      <c r="T5">
        <f t="shared" si="6"/>
        <v>1</v>
      </c>
      <c r="U5" t="str" cm="1">
        <f t="array" ref="U5">_xlfn.IFS(D5&lt;40,"Young Adult",AND(D5&gt;=40,D5&lt;65),"Middle Aged", D5&gt;=65,"Elderly")</f>
        <v>Middle Aged</v>
      </c>
    </row>
    <row r="6" spans="1:21" x14ac:dyDescent="0.2">
      <c r="A6">
        <v>1092</v>
      </c>
      <c r="B6">
        <f t="shared" si="7"/>
        <v>5</v>
      </c>
      <c r="C6" t="s">
        <v>31</v>
      </c>
      <c r="D6">
        <v>45</v>
      </c>
      <c r="E6" t="s">
        <v>2937</v>
      </c>
      <c r="F6" t="str">
        <f t="shared" si="0"/>
        <v>N/A</v>
      </c>
      <c r="G6" s="1">
        <v>46088</v>
      </c>
      <c r="H6" s="1">
        <v>45521</v>
      </c>
      <c r="I6" t="s">
        <v>32</v>
      </c>
      <c r="J6" t="str">
        <f t="shared" si="1"/>
        <v>Andrea Hernandez</v>
      </c>
      <c r="K6" t="s">
        <v>28</v>
      </c>
      <c r="L6" t="str">
        <f t="shared" si="2"/>
        <v>General</v>
      </c>
      <c r="M6" t="s">
        <v>33</v>
      </c>
      <c r="N6" t="str">
        <f t="shared" si="3"/>
        <v>USD</v>
      </c>
      <c r="O6">
        <f t="shared" si="4"/>
        <v>84.44</v>
      </c>
      <c r="P6" cm="1">
        <f t="array" ref="P6">_xlfn.IFS(N6="USD",O6*1,N6="GBP",O6*1.27,N6="EUR",O6*1.09,N6="INR",O6*0.012,N6="N/A","N/A")</f>
        <v>84.44</v>
      </c>
      <c r="Q6">
        <v>1</v>
      </c>
      <c r="R6" t="str" cm="1">
        <f t="array" ref="R6">_xlfn.IFS(Q6="Y","Yes", Q6="Yes","Yes", Q6="N","No", Q6="No","No", Q6=1,"N/A", Q6=0,"N/A", TRUE,"")</f>
        <v>N/A</v>
      </c>
      <c r="S6">
        <f t="shared" si="5"/>
        <v>11</v>
      </c>
      <c r="T6">
        <f t="shared" si="6"/>
        <v>1</v>
      </c>
      <c r="U6" t="str" cm="1">
        <f t="array" ref="U6">_xlfn.IFS(D6&lt;40,"Young Adult",AND(D6&gt;=40,D6&lt;65),"Middle Aged", D6&gt;=65,"Elderly")</f>
        <v>Middle Aged</v>
      </c>
    </row>
    <row r="7" spans="1:21" x14ac:dyDescent="0.2">
      <c r="A7">
        <v>1057</v>
      </c>
      <c r="B7">
        <f t="shared" si="7"/>
        <v>6</v>
      </c>
      <c r="C7" t="s">
        <v>34</v>
      </c>
      <c r="D7">
        <v>78</v>
      </c>
      <c r="E7" t="s">
        <v>2937</v>
      </c>
      <c r="F7" t="str">
        <f t="shared" si="0"/>
        <v>N/A</v>
      </c>
      <c r="G7" s="1">
        <v>45926</v>
      </c>
      <c r="H7" s="1">
        <v>45900</v>
      </c>
      <c r="I7" t="s">
        <v>35</v>
      </c>
      <c r="J7" t="str">
        <f t="shared" si="1"/>
        <v>Kimberly Fields</v>
      </c>
      <c r="K7" t="s">
        <v>28</v>
      </c>
      <c r="L7" t="str">
        <f t="shared" si="2"/>
        <v>General</v>
      </c>
      <c r="N7" t="str">
        <f t="shared" si="3"/>
        <v>N/A</v>
      </c>
      <c r="O7" t="str">
        <f>IFERROR(VALUE(SUBSTITUTE(SUBSTITUTE(SUBSTITUTE(SUBSTITUTE(M7,"$",""), "Rs",""),"¬£",""),"‚Ç¨","")), "")</f>
        <v/>
      </c>
      <c r="P7" t="str" cm="1">
        <f t="array" ref="P7">_xlfn.IFS(N7="USD",O7*1,N7="GBP",O7*1.27,N7="EUR",O7*1.09,N7="INR",O7*0.012,N7="N/A","N/A")</f>
        <v>N/A</v>
      </c>
      <c r="Q7" t="s">
        <v>36</v>
      </c>
      <c r="R7" t="str" cm="1">
        <f t="array" ref="R7">_xlfn.IFS(Q7="Y","Yes", Q7="Yes","Yes", Q7="N","No", Q7="No","No", Q7=1,"N/A", Q7=0,"N/A", TRUE,"")</f>
        <v>Yes</v>
      </c>
      <c r="S7">
        <f t="shared" si="5"/>
        <v>7</v>
      </c>
      <c r="T7">
        <f t="shared" si="6"/>
        <v>1</v>
      </c>
      <c r="U7" t="str" cm="1">
        <f t="array" ref="U7">_xlfn.IFS(D7&lt;40,"Young Adult",AND(D7&gt;=40,D7&lt;65),"Middle Aged", D7&gt;=65,"Elderly")</f>
        <v>Elderly</v>
      </c>
    </row>
    <row r="8" spans="1:21" x14ac:dyDescent="0.2">
      <c r="A8">
        <v>1018</v>
      </c>
      <c r="B8">
        <f t="shared" si="7"/>
        <v>7</v>
      </c>
      <c r="C8" t="s">
        <v>37</v>
      </c>
      <c r="D8">
        <v>22</v>
      </c>
      <c r="E8" t="s">
        <v>38</v>
      </c>
      <c r="F8" t="str">
        <f t="shared" si="0"/>
        <v>Female</v>
      </c>
      <c r="G8" s="1">
        <v>45960</v>
      </c>
      <c r="H8" s="1">
        <v>45655</v>
      </c>
      <c r="I8" t="s">
        <v>39</v>
      </c>
      <c r="J8" t="str">
        <f t="shared" si="1"/>
        <v>Jim Jones</v>
      </c>
      <c r="K8" t="s">
        <v>13</v>
      </c>
      <c r="L8" t="str">
        <f t="shared" si="2"/>
        <v>Cardiology</v>
      </c>
      <c r="M8" t="s">
        <v>40</v>
      </c>
      <c r="N8" t="str">
        <f t="shared" si="3"/>
        <v>EUR</v>
      </c>
      <c r="O8">
        <f t="shared" si="4"/>
        <v>99</v>
      </c>
      <c r="P8" cm="1">
        <f t="array" ref="P8">_xlfn.IFS(N8="USD",O8*1,N8="GBP",O8*1.27,N8="EUR",O8*1.09,N8="INR",O8*0.012,N8="N/A","N/A")</f>
        <v>107.91000000000001</v>
      </c>
      <c r="Q8" t="s">
        <v>30</v>
      </c>
      <c r="R8" t="str" cm="1">
        <f t="array" ref="R8">_xlfn.IFS(Q8="Y","Yes", Q8="Yes","Yes", Q8="N","No", Q8="No","No", Q8=1,"N/A", Q8=0,"N/A", TRUE,"")</f>
        <v>No</v>
      </c>
      <c r="S8">
        <f t="shared" si="5"/>
        <v>14</v>
      </c>
      <c r="T8">
        <f t="shared" si="6"/>
        <v>1</v>
      </c>
      <c r="U8" t="str" cm="1">
        <f t="array" ref="U8">_xlfn.IFS(D8&lt;40,"Young Adult",AND(D8&gt;=40,D8&lt;65),"Middle Aged", D8&gt;=65,"Elderly")</f>
        <v>Young Adult</v>
      </c>
    </row>
    <row r="9" spans="1:21" x14ac:dyDescent="0.2">
      <c r="A9">
        <v>1074</v>
      </c>
      <c r="B9">
        <f t="shared" si="7"/>
        <v>8</v>
      </c>
      <c r="C9" t="s">
        <v>41</v>
      </c>
      <c r="D9">
        <v>57</v>
      </c>
      <c r="E9" t="s">
        <v>22</v>
      </c>
      <c r="F9" t="str">
        <f t="shared" si="0"/>
        <v>Male</v>
      </c>
      <c r="G9" s="1">
        <v>45770</v>
      </c>
      <c r="H9" s="1">
        <v>45744</v>
      </c>
      <c r="I9" t="s">
        <v>42</v>
      </c>
      <c r="J9" t="str">
        <f t="shared" si="1"/>
        <v>James Brooks</v>
      </c>
      <c r="K9" t="s">
        <v>24</v>
      </c>
      <c r="L9" t="str">
        <f t="shared" si="2"/>
        <v>Neurology</v>
      </c>
      <c r="M9" t="s">
        <v>43</v>
      </c>
      <c r="N9" t="str">
        <f t="shared" si="3"/>
        <v>INR</v>
      </c>
      <c r="O9">
        <f t="shared" si="4"/>
        <v>374.63</v>
      </c>
      <c r="P9" cm="1">
        <f t="array" ref="P9">_xlfn.IFS(N9="USD",O9*1,N9="GBP",O9*1.27,N9="EUR",O9*1.09,N9="INR",O9*0.012,N9="N/A","N/A")</f>
        <v>4.4955600000000002</v>
      </c>
      <c r="Q9" t="s">
        <v>30</v>
      </c>
      <c r="R9" t="str" cm="1">
        <f t="array" ref="R9">_xlfn.IFS(Q9="Y","Yes", Q9="Yes","Yes", Q9="N","No", Q9="No","No", Q9=1,"N/A", Q9=0,"N/A", TRUE,"")</f>
        <v>No</v>
      </c>
      <c r="S9">
        <f t="shared" si="5"/>
        <v>17</v>
      </c>
      <c r="T9">
        <f t="shared" si="6"/>
        <v>1</v>
      </c>
      <c r="U9" t="str" cm="1">
        <f t="array" ref="U9">_xlfn.IFS(D9&lt;40,"Young Adult",AND(D9&gt;=40,D9&lt;65),"Middle Aged", D9&gt;=65,"Elderly")</f>
        <v>Middle Aged</v>
      </c>
    </row>
    <row r="10" spans="1:21" x14ac:dyDescent="0.2">
      <c r="A10">
        <v>1041</v>
      </c>
      <c r="B10">
        <f t="shared" si="7"/>
        <v>9</v>
      </c>
      <c r="C10" t="s">
        <v>44</v>
      </c>
      <c r="D10">
        <v>54</v>
      </c>
      <c r="E10" t="s">
        <v>38</v>
      </c>
      <c r="F10" t="str">
        <f t="shared" si="0"/>
        <v>Female</v>
      </c>
      <c r="G10" s="1">
        <v>45891</v>
      </c>
      <c r="H10" s="1">
        <v>45603</v>
      </c>
      <c r="I10" t="s">
        <v>45</v>
      </c>
      <c r="J10" t="str">
        <f t="shared" si="1"/>
        <v>Jamie Hill</v>
      </c>
      <c r="K10" t="s">
        <v>28</v>
      </c>
      <c r="L10" t="str">
        <f t="shared" si="2"/>
        <v>General</v>
      </c>
      <c r="M10" t="s">
        <v>46</v>
      </c>
      <c r="N10" t="str">
        <f t="shared" si="3"/>
        <v>USD</v>
      </c>
      <c r="O10">
        <f t="shared" si="4"/>
        <v>452.37</v>
      </c>
      <c r="P10" cm="1">
        <f t="array" ref="P10">_xlfn.IFS(N10="USD",O10*1,N10="GBP",O10*1.27,N10="EUR",O10*1.09,N10="INR",O10*0.012,N10="N/A","N/A")</f>
        <v>452.37</v>
      </c>
      <c r="Q10" t="s">
        <v>36</v>
      </c>
      <c r="R10" t="str" cm="1">
        <f t="array" ref="R10">_xlfn.IFS(Q10="Y","Yes", Q10="Yes","Yes", Q10="N","No", Q10="No","No", Q10=1,"N/A", Q10=0,"N/A", TRUE,"")</f>
        <v>Yes</v>
      </c>
      <c r="S10">
        <f t="shared" si="5"/>
        <v>8</v>
      </c>
      <c r="T10">
        <f t="shared" si="6"/>
        <v>1</v>
      </c>
      <c r="U10" t="str" cm="1">
        <f t="array" ref="U10">_xlfn.IFS(D10&lt;40,"Young Adult",AND(D10&gt;=40,D10&lt;65),"Middle Aged", D10&gt;=65,"Elderly")</f>
        <v>Middle Aged</v>
      </c>
    </row>
    <row r="11" spans="1:21" x14ac:dyDescent="0.2">
      <c r="A11">
        <v>1011</v>
      </c>
      <c r="B11">
        <f t="shared" si="7"/>
        <v>10</v>
      </c>
      <c r="C11" t="s">
        <v>47</v>
      </c>
      <c r="D11">
        <v>45</v>
      </c>
      <c r="E11" t="s">
        <v>22</v>
      </c>
      <c r="F11" t="str">
        <f t="shared" si="0"/>
        <v>Male</v>
      </c>
      <c r="G11" s="1">
        <v>46097</v>
      </c>
      <c r="H11" s="1">
        <v>46003</v>
      </c>
      <c r="I11" t="s">
        <v>48</v>
      </c>
      <c r="J11" t="str">
        <f t="shared" si="1"/>
        <v>Tiffany Gates Md</v>
      </c>
      <c r="K11" t="s">
        <v>24</v>
      </c>
      <c r="L11" t="str">
        <f t="shared" si="2"/>
        <v>Neurology</v>
      </c>
      <c r="M11" t="s">
        <v>49</v>
      </c>
      <c r="N11" t="str">
        <f t="shared" si="3"/>
        <v>EUR</v>
      </c>
      <c r="O11">
        <f t="shared" si="4"/>
        <v>494.97</v>
      </c>
      <c r="P11" cm="1">
        <f t="array" ref="P11">_xlfn.IFS(N11="USD",O11*1,N11="GBP",O11*1.27,N11="EUR",O11*1.09,N11="INR",O11*0.012,N11="N/A","N/A")</f>
        <v>539.51730000000009</v>
      </c>
      <c r="Q11" t="s">
        <v>36</v>
      </c>
      <c r="R11" t="str" cm="1">
        <f t="array" ref="R11">_xlfn.IFS(Q11="Y","Yes", Q11="Yes","Yes", Q11="N","No", Q11="No","No", Q11=1,"N/A", Q11=0,"N/A", TRUE,"")</f>
        <v>Yes</v>
      </c>
      <c r="S11">
        <f t="shared" si="5"/>
        <v>7</v>
      </c>
      <c r="T11">
        <f t="shared" si="6"/>
        <v>1</v>
      </c>
      <c r="U11" t="str" cm="1">
        <f t="array" ref="U11">_xlfn.IFS(D11&lt;40,"Young Adult",AND(D11&gt;=40,D11&lt;65),"Middle Aged", D11&gt;=65,"Elderly")</f>
        <v>Middle Aged</v>
      </c>
    </row>
    <row r="12" spans="1:21" x14ac:dyDescent="0.2">
      <c r="A12">
        <v>1086</v>
      </c>
      <c r="B12">
        <f t="shared" si="7"/>
        <v>11</v>
      </c>
      <c r="C12" t="s">
        <v>50</v>
      </c>
      <c r="D12">
        <v>54</v>
      </c>
      <c r="E12" t="s">
        <v>51</v>
      </c>
      <c r="F12" t="str">
        <f t="shared" si="0"/>
        <v>Male</v>
      </c>
      <c r="G12" s="1">
        <v>45771</v>
      </c>
      <c r="H12" s="1">
        <v>45572</v>
      </c>
      <c r="I12" t="s">
        <v>52</v>
      </c>
      <c r="J12" t="str">
        <f t="shared" si="1"/>
        <v>Shane Brown</v>
      </c>
      <c r="K12" t="s">
        <v>13</v>
      </c>
      <c r="L12" t="str">
        <f t="shared" si="2"/>
        <v>Cardiology</v>
      </c>
      <c r="M12" t="s">
        <v>53</v>
      </c>
      <c r="N12" t="str">
        <f t="shared" si="3"/>
        <v>GBP</v>
      </c>
      <c r="O12">
        <f t="shared" si="4"/>
        <v>91.91</v>
      </c>
      <c r="P12" cm="1">
        <f t="array" ref="P12">_xlfn.IFS(N12="USD",O12*1,N12="GBP",O12*1.27,N12="EUR",O12*1.09,N12="INR",O12*0.012,N12="N/A","N/A")</f>
        <v>116.7257</v>
      </c>
      <c r="Q12" t="s">
        <v>20</v>
      </c>
      <c r="R12" t="str" cm="1">
        <f t="array" ref="R12">_xlfn.IFS(Q12="Y","Yes", Q12="Yes","Yes", Q12="N","No", Q12="No","No", Q12=1,"N/A", Q12=0,"N/A", TRUE,"")</f>
        <v>Yes</v>
      </c>
      <c r="S12">
        <f t="shared" si="5"/>
        <v>9</v>
      </c>
      <c r="T12">
        <f t="shared" si="6"/>
        <v>1</v>
      </c>
      <c r="U12" t="str" cm="1">
        <f t="array" ref="U12">_xlfn.IFS(D12&lt;40,"Young Adult",AND(D12&gt;=40,D12&lt;65),"Middle Aged", D12&gt;=65,"Elderly")</f>
        <v>Middle Aged</v>
      </c>
    </row>
    <row r="13" spans="1:21" x14ac:dyDescent="0.2">
      <c r="A13">
        <v>1041</v>
      </c>
      <c r="B13">
        <f t="shared" si="7"/>
        <v>12</v>
      </c>
      <c r="C13" t="s">
        <v>54</v>
      </c>
      <c r="D13">
        <v>68</v>
      </c>
      <c r="E13" t="s">
        <v>16</v>
      </c>
      <c r="F13" t="str">
        <f t="shared" si="0"/>
        <v>Female</v>
      </c>
      <c r="G13" s="1">
        <v>46088</v>
      </c>
      <c r="H13" s="1">
        <v>45406</v>
      </c>
      <c r="I13" t="s">
        <v>55</v>
      </c>
      <c r="J13" t="str">
        <f t="shared" si="1"/>
        <v>Natalie White</v>
      </c>
      <c r="K13" t="s">
        <v>28</v>
      </c>
      <c r="L13" t="str">
        <f t="shared" si="2"/>
        <v>General</v>
      </c>
      <c r="M13" t="s">
        <v>56</v>
      </c>
      <c r="N13" t="str">
        <f t="shared" si="3"/>
        <v>USD</v>
      </c>
      <c r="O13">
        <f t="shared" si="4"/>
        <v>82.88</v>
      </c>
      <c r="P13" cm="1">
        <f t="array" ref="P13">_xlfn.IFS(N13="USD",O13*1,N13="GBP",O13*1.27,N13="EUR",O13*1.09,N13="INR",O13*0.012,N13="N/A","N/A")</f>
        <v>82.88</v>
      </c>
      <c r="Q13" t="s">
        <v>36</v>
      </c>
      <c r="R13" t="str" cm="1">
        <f t="array" ref="R13">_xlfn.IFS(Q13="Y","Yes", Q13="Yes","Yes", Q13="N","No", Q13="No","No", Q13=1,"N/A", Q13=0,"N/A", TRUE,"")</f>
        <v>Yes</v>
      </c>
      <c r="S13">
        <f t="shared" si="5"/>
        <v>8</v>
      </c>
      <c r="T13">
        <f t="shared" si="6"/>
        <v>1</v>
      </c>
      <c r="U13" t="str" cm="1">
        <f t="array" ref="U13">_xlfn.IFS(D13&lt;40,"Young Adult",AND(D13&gt;=40,D13&lt;65),"Middle Aged", D13&gt;=65,"Elderly")</f>
        <v>Elderly</v>
      </c>
    </row>
    <row r="14" spans="1:21" x14ac:dyDescent="0.2">
      <c r="A14">
        <v>1057</v>
      </c>
      <c r="B14">
        <f t="shared" si="7"/>
        <v>13</v>
      </c>
      <c r="C14" t="s">
        <v>57</v>
      </c>
      <c r="D14">
        <v>61</v>
      </c>
      <c r="E14" t="s">
        <v>2937</v>
      </c>
      <c r="F14" t="str">
        <f t="shared" si="0"/>
        <v>N/A</v>
      </c>
      <c r="G14" s="1">
        <v>45869</v>
      </c>
      <c r="H14" s="1">
        <v>45417</v>
      </c>
      <c r="I14" t="s">
        <v>58</v>
      </c>
      <c r="J14" t="str">
        <f t="shared" si="1"/>
        <v>Amy Olson</v>
      </c>
      <c r="K14" t="s">
        <v>24</v>
      </c>
      <c r="L14" t="str">
        <f t="shared" si="2"/>
        <v>Neurology</v>
      </c>
      <c r="M14" t="s">
        <v>59</v>
      </c>
      <c r="N14" t="str">
        <f t="shared" si="3"/>
        <v>INR</v>
      </c>
      <c r="O14">
        <f t="shared" si="4"/>
        <v>277.14</v>
      </c>
      <c r="P14" cm="1">
        <f t="array" ref="P14">_xlfn.IFS(N14="USD",O14*1,N14="GBP",O14*1.27,N14="EUR",O14*1.09,N14="INR",O14*0.012,N14="N/A","N/A")</f>
        <v>3.3256799999999997</v>
      </c>
      <c r="Q14" t="s">
        <v>60</v>
      </c>
      <c r="R14" t="str" cm="1">
        <f t="array" ref="R14">_xlfn.IFS(Q14="Y","Yes", Q14="Yes","Yes", Q14="N","No", Q14="No","No", Q14=1,"N/A", Q14=0,"N/A", TRUE,"")</f>
        <v>No</v>
      </c>
      <c r="S14">
        <f t="shared" si="5"/>
        <v>7</v>
      </c>
      <c r="T14">
        <f t="shared" si="6"/>
        <v>1</v>
      </c>
      <c r="U14" t="str" cm="1">
        <f t="array" ref="U14">_xlfn.IFS(D14&lt;40,"Young Adult",AND(D14&gt;=40,D14&lt;65),"Middle Aged", D14&gt;=65,"Elderly")</f>
        <v>Middle Aged</v>
      </c>
    </row>
    <row r="15" spans="1:21" x14ac:dyDescent="0.2">
      <c r="A15">
        <v>1022</v>
      </c>
      <c r="B15">
        <f t="shared" si="7"/>
        <v>14</v>
      </c>
      <c r="C15" t="s">
        <v>61</v>
      </c>
      <c r="D15">
        <v>70</v>
      </c>
      <c r="E15" t="s">
        <v>22</v>
      </c>
      <c r="F15" t="str">
        <f t="shared" si="0"/>
        <v>Male</v>
      </c>
      <c r="G15" s="1">
        <v>45921</v>
      </c>
      <c r="H15" s="1">
        <v>45602</v>
      </c>
      <c r="I15" t="s">
        <v>62</v>
      </c>
      <c r="J15" t="str">
        <f t="shared" si="1"/>
        <v>John Larsen Ii</v>
      </c>
      <c r="K15" t="s">
        <v>18</v>
      </c>
      <c r="L15" t="str">
        <f t="shared" si="2"/>
        <v>Orthopedics</v>
      </c>
      <c r="M15" t="s">
        <v>63</v>
      </c>
      <c r="N15" t="str">
        <f t="shared" si="3"/>
        <v>EUR</v>
      </c>
      <c r="O15">
        <f t="shared" si="4"/>
        <v>411.01</v>
      </c>
      <c r="P15" cm="1">
        <f t="array" ref="P15">_xlfn.IFS(N15="USD",O15*1,N15="GBP",O15*1.27,N15="EUR",O15*1.09,N15="INR",O15*0.012,N15="N/A","N/A")</f>
        <v>448.0009</v>
      </c>
      <c r="Q15" t="s">
        <v>20</v>
      </c>
      <c r="R15" t="str" cm="1">
        <f t="array" ref="R15">_xlfn.IFS(Q15="Y","Yes", Q15="Yes","Yes", Q15="N","No", Q15="No","No", Q15=1,"N/A", Q15=0,"N/A", TRUE,"")</f>
        <v>Yes</v>
      </c>
      <c r="S15">
        <f t="shared" si="5"/>
        <v>9</v>
      </c>
      <c r="T15">
        <f t="shared" si="6"/>
        <v>1</v>
      </c>
      <c r="U15" t="str" cm="1">
        <f t="array" ref="U15">_xlfn.IFS(D15&lt;40,"Young Adult",AND(D15&gt;=40,D15&lt;65),"Middle Aged", D15&gt;=65,"Elderly")</f>
        <v>Elderly</v>
      </c>
    </row>
    <row r="16" spans="1:21" x14ac:dyDescent="0.2">
      <c r="A16">
        <v>1046</v>
      </c>
      <c r="B16">
        <f t="shared" si="7"/>
        <v>15</v>
      </c>
      <c r="C16" t="s">
        <v>64</v>
      </c>
      <c r="D16">
        <v>36</v>
      </c>
      <c r="E16" t="s">
        <v>16</v>
      </c>
      <c r="F16" t="str">
        <f t="shared" si="0"/>
        <v>Female</v>
      </c>
      <c r="G16" s="1">
        <v>46093</v>
      </c>
      <c r="H16" s="1">
        <v>45969</v>
      </c>
      <c r="I16" t="s">
        <v>65</v>
      </c>
      <c r="J16" t="str">
        <f t="shared" si="1"/>
        <v>Andrea Gates</v>
      </c>
      <c r="K16" t="s">
        <v>13</v>
      </c>
      <c r="L16" t="str">
        <f t="shared" si="2"/>
        <v>Cardiology</v>
      </c>
      <c r="M16" t="s">
        <v>66</v>
      </c>
      <c r="N16" t="str">
        <f t="shared" si="3"/>
        <v>GBP</v>
      </c>
      <c r="O16">
        <f t="shared" si="4"/>
        <v>67.510000000000005</v>
      </c>
      <c r="P16" cm="1">
        <f t="array" ref="P16">_xlfn.IFS(N16="USD",O16*1,N16="GBP",O16*1.27,N16="EUR",O16*1.09,N16="INR",O16*0.012,N16="N/A","N/A")</f>
        <v>85.737700000000004</v>
      </c>
      <c r="Q16" t="s">
        <v>60</v>
      </c>
      <c r="R16" t="str" cm="1">
        <f t="array" ref="R16">_xlfn.IFS(Q16="Y","Yes", Q16="Yes","Yes", Q16="N","No", Q16="No","No", Q16=1,"N/A", Q16=0,"N/A", TRUE,"")</f>
        <v>No</v>
      </c>
      <c r="S16">
        <f t="shared" si="5"/>
        <v>8</v>
      </c>
      <c r="T16">
        <f t="shared" si="6"/>
        <v>1</v>
      </c>
      <c r="U16" t="str" cm="1">
        <f t="array" ref="U16">_xlfn.IFS(D16&lt;40,"Young Adult",AND(D16&gt;=40,D16&lt;65),"Middle Aged", D16&gt;=65,"Elderly")</f>
        <v>Young Adult</v>
      </c>
    </row>
    <row r="17" spans="1:21" x14ac:dyDescent="0.2">
      <c r="A17">
        <v>1025</v>
      </c>
      <c r="B17">
        <f t="shared" si="7"/>
        <v>16</v>
      </c>
      <c r="C17" t="s">
        <v>67</v>
      </c>
      <c r="D17">
        <v>23</v>
      </c>
      <c r="E17" t="s">
        <v>38</v>
      </c>
      <c r="F17" t="str">
        <f t="shared" si="0"/>
        <v>Female</v>
      </c>
      <c r="G17" s="1">
        <v>46059</v>
      </c>
      <c r="H17" s="1">
        <v>45725</v>
      </c>
      <c r="I17" t="s">
        <v>68</v>
      </c>
      <c r="J17" t="str">
        <f t="shared" si="1"/>
        <v>Robert Navarro</v>
      </c>
      <c r="K17" t="s">
        <v>18</v>
      </c>
      <c r="L17" t="str">
        <f t="shared" si="2"/>
        <v>Orthopedics</v>
      </c>
      <c r="M17" t="s">
        <v>69</v>
      </c>
      <c r="N17" t="str">
        <f t="shared" si="3"/>
        <v>EUR</v>
      </c>
      <c r="O17">
        <f t="shared" si="4"/>
        <v>163.99</v>
      </c>
      <c r="P17" cm="1">
        <f t="array" ref="P17">_xlfn.IFS(N17="USD",O17*1,N17="GBP",O17*1.27,N17="EUR",O17*1.09,N17="INR",O17*0.012,N17="N/A","N/A")</f>
        <v>178.74910000000003</v>
      </c>
      <c r="Q17" t="s">
        <v>20</v>
      </c>
      <c r="R17" t="str" cm="1">
        <f t="array" ref="R17">_xlfn.IFS(Q17="Y","Yes", Q17="Yes","Yes", Q17="N","No", Q17="No","No", Q17=1,"N/A", Q17=0,"N/A", TRUE,"")</f>
        <v>Yes</v>
      </c>
      <c r="S17">
        <f t="shared" si="5"/>
        <v>9</v>
      </c>
      <c r="T17">
        <f t="shared" si="6"/>
        <v>1</v>
      </c>
      <c r="U17" t="str" cm="1">
        <f t="array" ref="U17">_xlfn.IFS(D17&lt;40,"Young Adult",AND(D17&gt;=40,D17&lt;65),"Middle Aged", D17&gt;=65,"Elderly")</f>
        <v>Young Adult</v>
      </c>
    </row>
    <row r="18" spans="1:21" x14ac:dyDescent="0.2">
      <c r="A18">
        <v>1027</v>
      </c>
      <c r="B18">
        <f t="shared" si="7"/>
        <v>17</v>
      </c>
      <c r="C18" t="s">
        <v>70</v>
      </c>
      <c r="D18">
        <v>72</v>
      </c>
      <c r="E18" t="s">
        <v>71</v>
      </c>
      <c r="F18" t="str">
        <f t="shared" si="0"/>
        <v>Male</v>
      </c>
      <c r="G18" s="1">
        <v>45896</v>
      </c>
      <c r="H18" s="1">
        <v>45701</v>
      </c>
      <c r="I18" t="s">
        <v>72</v>
      </c>
      <c r="J18" t="str">
        <f t="shared" si="1"/>
        <v>Christopher Bryant</v>
      </c>
      <c r="K18" t="s">
        <v>13</v>
      </c>
      <c r="L18" t="str">
        <f t="shared" si="2"/>
        <v>Cardiology</v>
      </c>
      <c r="M18" t="s">
        <v>73</v>
      </c>
      <c r="N18" t="str">
        <f t="shared" si="3"/>
        <v>GBP</v>
      </c>
      <c r="O18">
        <f t="shared" si="4"/>
        <v>252.38</v>
      </c>
      <c r="P18" cm="1">
        <f t="array" ref="P18">_xlfn.IFS(N18="USD",O18*1,N18="GBP",O18*1.27,N18="EUR",O18*1.09,N18="INR",O18*0.012,N18="N/A","N/A")</f>
        <v>320.52260000000001</v>
      </c>
      <c r="Q18" t="s">
        <v>36</v>
      </c>
      <c r="R18" t="str" cm="1">
        <f t="array" ref="R18">_xlfn.IFS(Q18="Y","Yes", Q18="Yes","Yes", Q18="N","No", Q18="No","No", Q18=1,"N/A", Q18=0,"N/A", TRUE,"")</f>
        <v>Yes</v>
      </c>
      <c r="S18">
        <f t="shared" si="5"/>
        <v>12</v>
      </c>
      <c r="T18">
        <f t="shared" si="6"/>
        <v>1</v>
      </c>
      <c r="U18" t="str" cm="1">
        <f t="array" ref="U18">_xlfn.IFS(D18&lt;40,"Young Adult",AND(D18&gt;=40,D18&lt;65),"Middle Aged", D18&gt;=65,"Elderly")</f>
        <v>Elderly</v>
      </c>
    </row>
    <row r="19" spans="1:21" x14ac:dyDescent="0.2">
      <c r="A19">
        <v>1059</v>
      </c>
      <c r="B19">
        <f t="shared" si="7"/>
        <v>18</v>
      </c>
      <c r="C19" t="s">
        <v>74</v>
      </c>
      <c r="D19">
        <v>66</v>
      </c>
      <c r="E19" t="s">
        <v>38</v>
      </c>
      <c r="F19" t="str">
        <f t="shared" si="0"/>
        <v>Female</v>
      </c>
      <c r="G19" s="1">
        <v>45972</v>
      </c>
      <c r="H19" s="1">
        <v>45627</v>
      </c>
      <c r="I19" t="s">
        <v>75</v>
      </c>
      <c r="J19" t="str">
        <f t="shared" si="1"/>
        <v>Christina Hill</v>
      </c>
      <c r="K19" t="s">
        <v>13</v>
      </c>
      <c r="L19" t="str">
        <f t="shared" si="2"/>
        <v>Cardiology</v>
      </c>
      <c r="M19" t="s">
        <v>76</v>
      </c>
      <c r="N19" t="str">
        <f t="shared" si="3"/>
        <v>USD</v>
      </c>
      <c r="O19">
        <f t="shared" si="4"/>
        <v>153.07</v>
      </c>
      <c r="P19" cm="1">
        <f t="array" ref="P19">_xlfn.IFS(N19="USD",O19*1,N19="GBP",O19*1.27,N19="EUR",O19*1.09,N19="INR",O19*0.012,N19="N/A","N/A")</f>
        <v>153.07</v>
      </c>
      <c r="Q19" t="s">
        <v>20</v>
      </c>
      <c r="R19" t="str" cm="1">
        <f t="array" ref="R19">_xlfn.IFS(Q19="Y","Yes", Q19="Yes","Yes", Q19="N","No", Q19="No","No", Q19=1,"N/A", Q19=0,"N/A", TRUE,"")</f>
        <v>Yes</v>
      </c>
      <c r="S19">
        <f t="shared" si="5"/>
        <v>13</v>
      </c>
      <c r="T19">
        <f t="shared" si="6"/>
        <v>1</v>
      </c>
      <c r="U19" t="str" cm="1">
        <f t="array" ref="U19">_xlfn.IFS(D19&lt;40,"Young Adult",AND(D19&gt;=40,D19&lt;65),"Middle Aged", D19&gt;=65,"Elderly")</f>
        <v>Elderly</v>
      </c>
    </row>
    <row r="20" spans="1:21" x14ac:dyDescent="0.2">
      <c r="A20">
        <v>1086</v>
      </c>
      <c r="B20">
        <f t="shared" si="7"/>
        <v>19</v>
      </c>
      <c r="C20" t="s">
        <v>77</v>
      </c>
      <c r="D20">
        <v>81</v>
      </c>
      <c r="E20" t="s">
        <v>22</v>
      </c>
      <c r="F20" t="str">
        <f t="shared" si="0"/>
        <v>Male</v>
      </c>
      <c r="G20" s="1">
        <v>45757</v>
      </c>
      <c r="H20" s="1">
        <v>45642</v>
      </c>
      <c r="I20" t="s">
        <v>78</v>
      </c>
      <c r="J20" t="str">
        <f t="shared" si="1"/>
        <v>Daniel Jacobson</v>
      </c>
      <c r="K20" t="s">
        <v>28</v>
      </c>
      <c r="L20" t="str">
        <f t="shared" si="2"/>
        <v>General</v>
      </c>
      <c r="M20" t="s">
        <v>79</v>
      </c>
      <c r="N20" t="str">
        <f t="shared" si="3"/>
        <v>INR</v>
      </c>
      <c r="O20">
        <f t="shared" si="4"/>
        <v>329.3</v>
      </c>
      <c r="P20" cm="1">
        <f t="array" ref="P20">_xlfn.IFS(N20="USD",O20*1,N20="GBP",O20*1.27,N20="EUR",O20*1.09,N20="INR",O20*0.012,N20="N/A","N/A")</f>
        <v>3.9516</v>
      </c>
      <c r="Q20">
        <v>1</v>
      </c>
      <c r="R20" t="str" cm="1">
        <f t="array" ref="R20">_xlfn.IFS(Q20="Y","Yes", Q20="Yes","Yes", Q20="N","No", Q20="No","No", Q20=1,"N/A", Q20=0,"N/A", TRUE,"")</f>
        <v>N/A</v>
      </c>
      <c r="S20">
        <f t="shared" si="5"/>
        <v>9</v>
      </c>
      <c r="T20">
        <f t="shared" si="6"/>
        <v>1</v>
      </c>
      <c r="U20" t="str" cm="1">
        <f t="array" ref="U20">_xlfn.IFS(D20&lt;40,"Young Adult",AND(D20&gt;=40,D20&lt;65),"Middle Aged", D20&gt;=65,"Elderly")</f>
        <v>Elderly</v>
      </c>
    </row>
    <row r="21" spans="1:21" x14ac:dyDescent="0.2">
      <c r="A21">
        <v>1033</v>
      </c>
      <c r="B21">
        <f t="shared" si="7"/>
        <v>20</v>
      </c>
      <c r="C21" t="s">
        <v>80</v>
      </c>
      <c r="D21">
        <v>76</v>
      </c>
      <c r="E21" t="s">
        <v>38</v>
      </c>
      <c r="F21" t="str">
        <f t="shared" si="0"/>
        <v>Female</v>
      </c>
      <c r="G21" s="1">
        <v>45966</v>
      </c>
      <c r="H21" s="1">
        <v>45800</v>
      </c>
      <c r="I21" t="s">
        <v>81</v>
      </c>
      <c r="J21" t="str">
        <f t="shared" si="1"/>
        <v>Kayla Savage</v>
      </c>
      <c r="K21" t="s">
        <v>24</v>
      </c>
      <c r="L21" t="str">
        <f t="shared" si="2"/>
        <v>Neurology</v>
      </c>
      <c r="M21" t="s">
        <v>82</v>
      </c>
      <c r="N21" t="str">
        <f t="shared" si="3"/>
        <v>EUR</v>
      </c>
      <c r="O21">
        <f t="shared" si="4"/>
        <v>135.44999999999999</v>
      </c>
      <c r="P21" cm="1">
        <f t="array" ref="P21">_xlfn.IFS(N21="USD",O21*1,N21="GBP",O21*1.27,N21="EUR",O21*1.09,N21="INR",O21*0.012,N21="N/A","N/A")</f>
        <v>147.6405</v>
      </c>
      <c r="Q21" t="s">
        <v>36</v>
      </c>
      <c r="R21" t="str" cm="1">
        <f t="array" ref="R21">_xlfn.IFS(Q21="Y","Yes", Q21="Yes","Yes", Q21="N","No", Q21="No","No", Q21=1,"N/A", Q21=0,"N/A", TRUE,"")</f>
        <v>Yes</v>
      </c>
      <c r="S21">
        <f t="shared" si="5"/>
        <v>11</v>
      </c>
      <c r="T21">
        <f t="shared" si="6"/>
        <v>1</v>
      </c>
      <c r="U21" t="str" cm="1">
        <f t="array" ref="U21">_xlfn.IFS(D21&lt;40,"Young Adult",AND(D21&gt;=40,D21&lt;65),"Middle Aged", D21&gt;=65,"Elderly")</f>
        <v>Elderly</v>
      </c>
    </row>
    <row r="22" spans="1:21" x14ac:dyDescent="0.2">
      <c r="A22">
        <v>1069</v>
      </c>
      <c r="B22">
        <f t="shared" si="7"/>
        <v>21</v>
      </c>
      <c r="C22" t="s">
        <v>83</v>
      </c>
      <c r="D22">
        <v>90</v>
      </c>
      <c r="E22" t="s">
        <v>51</v>
      </c>
      <c r="F22" t="str">
        <f t="shared" si="0"/>
        <v>Male</v>
      </c>
      <c r="G22" s="1">
        <v>45944</v>
      </c>
      <c r="H22" s="1">
        <v>45440</v>
      </c>
      <c r="I22" t="s">
        <v>84</v>
      </c>
      <c r="J22" t="str">
        <f t="shared" si="1"/>
        <v>Richard Huang</v>
      </c>
      <c r="K22" t="s">
        <v>24</v>
      </c>
      <c r="L22" t="str">
        <f t="shared" si="2"/>
        <v>Neurology</v>
      </c>
      <c r="M22" t="s">
        <v>85</v>
      </c>
      <c r="N22" t="str">
        <f t="shared" si="3"/>
        <v>INR</v>
      </c>
      <c r="O22">
        <f t="shared" si="4"/>
        <v>72.73</v>
      </c>
      <c r="P22" cm="1">
        <f t="array" ref="P22">_xlfn.IFS(N22="USD",O22*1,N22="GBP",O22*1.27,N22="EUR",O22*1.09,N22="INR",O22*0.012,N22="N/A","N/A")</f>
        <v>0.87276000000000009</v>
      </c>
      <c r="Q22" t="s">
        <v>60</v>
      </c>
      <c r="R22" t="str" cm="1">
        <f t="array" ref="R22">_xlfn.IFS(Q22="Y","Yes", Q22="Yes","Yes", Q22="N","No", Q22="No","No", Q22=1,"N/A", Q22=0,"N/A", TRUE,"")</f>
        <v>No</v>
      </c>
      <c r="S22">
        <f t="shared" si="5"/>
        <v>10</v>
      </c>
      <c r="T22">
        <f t="shared" si="6"/>
        <v>1</v>
      </c>
      <c r="U22" t="str" cm="1">
        <f t="array" ref="U22">_xlfn.IFS(D22&lt;40,"Young Adult",AND(D22&gt;=40,D22&lt;65),"Middle Aged", D22&gt;=65,"Elderly")</f>
        <v>Elderly</v>
      </c>
    </row>
    <row r="23" spans="1:21" x14ac:dyDescent="0.2">
      <c r="A23">
        <v>1097</v>
      </c>
      <c r="B23">
        <f t="shared" si="7"/>
        <v>22</v>
      </c>
      <c r="C23" t="s">
        <v>86</v>
      </c>
      <c r="D23">
        <v>56</v>
      </c>
      <c r="E23" t="s">
        <v>51</v>
      </c>
      <c r="F23" t="str">
        <f t="shared" si="0"/>
        <v>Male</v>
      </c>
      <c r="G23" s="1">
        <v>45792</v>
      </c>
      <c r="H23" s="1">
        <v>45417</v>
      </c>
      <c r="I23" t="s">
        <v>87</v>
      </c>
      <c r="J23" t="str">
        <f t="shared" si="1"/>
        <v>Rebecca Harrington</v>
      </c>
      <c r="K23" t="s">
        <v>18</v>
      </c>
      <c r="L23" t="str">
        <f t="shared" si="2"/>
        <v>Orthopedics</v>
      </c>
      <c r="M23" t="s">
        <v>88</v>
      </c>
      <c r="N23" t="str">
        <f t="shared" si="3"/>
        <v>INR</v>
      </c>
      <c r="O23">
        <f t="shared" si="4"/>
        <v>258.64</v>
      </c>
      <c r="P23" cm="1">
        <f t="array" ref="P23">_xlfn.IFS(N23="USD",O23*1,N23="GBP",O23*1.27,N23="EUR",O23*1.09,N23="INR",O23*0.012,N23="N/A","N/A")</f>
        <v>3.1036799999999998</v>
      </c>
      <c r="Q23" t="s">
        <v>20</v>
      </c>
      <c r="R23" t="str" cm="1">
        <f t="array" ref="R23">_xlfn.IFS(Q23="Y","Yes", Q23="Yes","Yes", Q23="N","No", Q23="No","No", Q23=1,"N/A", Q23=0,"N/A", TRUE,"")</f>
        <v>Yes</v>
      </c>
      <c r="S23">
        <f t="shared" si="5"/>
        <v>10</v>
      </c>
      <c r="T23">
        <f t="shared" si="6"/>
        <v>1</v>
      </c>
      <c r="U23" t="str" cm="1">
        <f t="array" ref="U23">_xlfn.IFS(D23&lt;40,"Young Adult",AND(D23&gt;=40,D23&lt;65),"Middle Aged", D23&gt;=65,"Elderly")</f>
        <v>Middle Aged</v>
      </c>
    </row>
    <row r="24" spans="1:21" x14ac:dyDescent="0.2">
      <c r="A24">
        <v>1064</v>
      </c>
      <c r="B24">
        <f t="shared" si="7"/>
        <v>23</v>
      </c>
      <c r="C24" t="s">
        <v>89</v>
      </c>
      <c r="D24">
        <v>88</v>
      </c>
      <c r="E24" t="s">
        <v>38</v>
      </c>
      <c r="F24" t="str">
        <f t="shared" si="0"/>
        <v>Female</v>
      </c>
      <c r="G24" s="1">
        <v>46052</v>
      </c>
      <c r="H24" s="1">
        <v>45516</v>
      </c>
      <c r="I24" t="s">
        <v>90</v>
      </c>
      <c r="J24" t="str">
        <f t="shared" si="1"/>
        <v>Louis Turner</v>
      </c>
      <c r="K24" t="s">
        <v>28</v>
      </c>
      <c r="L24" t="str">
        <f t="shared" si="2"/>
        <v>General</v>
      </c>
      <c r="M24" t="s">
        <v>91</v>
      </c>
      <c r="N24" t="str">
        <f t="shared" si="3"/>
        <v>USD</v>
      </c>
      <c r="O24">
        <f t="shared" si="4"/>
        <v>203.61</v>
      </c>
      <c r="P24" cm="1">
        <f t="array" ref="P24">_xlfn.IFS(N24="USD",O24*1,N24="GBP",O24*1.27,N24="EUR",O24*1.09,N24="INR",O24*0.012,N24="N/A","N/A")</f>
        <v>203.61</v>
      </c>
      <c r="Q24" t="s">
        <v>30</v>
      </c>
      <c r="R24" t="str" cm="1">
        <f t="array" ref="R24">_xlfn.IFS(Q24="Y","Yes", Q24="Yes","Yes", Q24="N","No", Q24="No","No", Q24=1,"N/A", Q24=0,"N/A", TRUE,"")</f>
        <v>No</v>
      </c>
      <c r="S24">
        <f t="shared" si="5"/>
        <v>5</v>
      </c>
      <c r="T24">
        <f t="shared" si="6"/>
        <v>1</v>
      </c>
      <c r="U24" t="str" cm="1">
        <f t="array" ref="U24">_xlfn.IFS(D24&lt;40,"Young Adult",AND(D24&gt;=40,D24&lt;65),"Middle Aged", D24&gt;=65,"Elderly")</f>
        <v>Elderly</v>
      </c>
    </row>
    <row r="25" spans="1:21" x14ac:dyDescent="0.2">
      <c r="A25">
        <v>1089</v>
      </c>
      <c r="B25">
        <f t="shared" si="7"/>
        <v>24</v>
      </c>
      <c r="C25" t="s">
        <v>92</v>
      </c>
      <c r="D25">
        <v>32</v>
      </c>
      <c r="E25" t="s">
        <v>16</v>
      </c>
      <c r="F25" t="str">
        <f t="shared" si="0"/>
        <v>Female</v>
      </c>
      <c r="G25" s="1">
        <v>45788</v>
      </c>
      <c r="H25" s="1">
        <v>45479</v>
      </c>
      <c r="I25" t="s">
        <v>93</v>
      </c>
      <c r="J25" t="str">
        <f t="shared" si="1"/>
        <v>Brianna Garcia</v>
      </c>
      <c r="K25" t="s">
        <v>24</v>
      </c>
      <c r="L25" t="str">
        <f t="shared" si="2"/>
        <v>Neurology</v>
      </c>
      <c r="M25" t="s">
        <v>94</v>
      </c>
      <c r="N25" t="str">
        <f t="shared" si="3"/>
        <v>INR</v>
      </c>
      <c r="O25">
        <f t="shared" si="4"/>
        <v>236.22</v>
      </c>
      <c r="P25" cm="1">
        <f t="array" ref="P25">_xlfn.IFS(N25="USD",O25*1,N25="GBP",O25*1.27,N25="EUR",O25*1.09,N25="INR",O25*0.012,N25="N/A","N/A")</f>
        <v>2.8346399999999998</v>
      </c>
      <c r="Q25" t="s">
        <v>60</v>
      </c>
      <c r="R25" t="str" cm="1">
        <f t="array" ref="R25">_xlfn.IFS(Q25="Y","Yes", Q25="Yes","Yes", Q25="N","No", Q25="No","No", Q25=1,"N/A", Q25=0,"N/A", TRUE,"")</f>
        <v>No</v>
      </c>
      <c r="S25">
        <f t="shared" si="5"/>
        <v>16</v>
      </c>
      <c r="T25">
        <f t="shared" si="6"/>
        <v>1</v>
      </c>
      <c r="U25" t="str" cm="1">
        <f t="array" ref="U25">_xlfn.IFS(D25&lt;40,"Young Adult",AND(D25&gt;=40,D25&lt;65),"Middle Aged", D25&gt;=65,"Elderly")</f>
        <v>Young Adult</v>
      </c>
    </row>
    <row r="26" spans="1:21" x14ac:dyDescent="0.2">
      <c r="A26">
        <v>1086</v>
      </c>
      <c r="B26">
        <f t="shared" si="7"/>
        <v>25</v>
      </c>
      <c r="C26" t="s">
        <v>95</v>
      </c>
      <c r="D26">
        <v>34</v>
      </c>
      <c r="E26" t="s">
        <v>16</v>
      </c>
      <c r="F26" t="str">
        <f t="shared" si="0"/>
        <v>Female</v>
      </c>
      <c r="G26" s="1">
        <v>45869</v>
      </c>
      <c r="H26" s="1">
        <v>45391</v>
      </c>
      <c r="I26" t="s">
        <v>96</v>
      </c>
      <c r="J26" t="str">
        <f t="shared" si="1"/>
        <v>Daniel Gutierrez</v>
      </c>
      <c r="K26" t="s">
        <v>13</v>
      </c>
      <c r="L26" t="str">
        <f t="shared" si="2"/>
        <v>Cardiology</v>
      </c>
      <c r="M26" t="s">
        <v>97</v>
      </c>
      <c r="N26" t="str">
        <f t="shared" si="3"/>
        <v>INR</v>
      </c>
      <c r="O26">
        <f t="shared" si="4"/>
        <v>292.23</v>
      </c>
      <c r="P26" cm="1">
        <f t="array" ref="P26">_xlfn.IFS(N26="USD",O26*1,N26="GBP",O26*1.27,N26="EUR",O26*1.09,N26="INR",O26*0.012,N26="N/A","N/A")</f>
        <v>3.5067600000000003</v>
      </c>
      <c r="Q26" t="s">
        <v>20</v>
      </c>
      <c r="R26" t="str" cm="1">
        <f t="array" ref="R26">_xlfn.IFS(Q26="Y","Yes", Q26="Yes","Yes", Q26="N","No", Q26="No","No", Q26=1,"N/A", Q26=0,"N/A", TRUE,"")</f>
        <v>Yes</v>
      </c>
      <c r="S26">
        <f t="shared" si="5"/>
        <v>9</v>
      </c>
      <c r="T26">
        <f t="shared" si="6"/>
        <v>1</v>
      </c>
      <c r="U26" t="str" cm="1">
        <f t="array" ref="U26">_xlfn.IFS(D26&lt;40,"Young Adult",AND(D26&gt;=40,D26&lt;65),"Middle Aged", D26&gt;=65,"Elderly")</f>
        <v>Young Adult</v>
      </c>
    </row>
    <row r="27" spans="1:21" x14ac:dyDescent="0.2">
      <c r="A27">
        <v>1073</v>
      </c>
      <c r="B27">
        <f t="shared" si="7"/>
        <v>26</v>
      </c>
      <c r="C27" t="s">
        <v>98</v>
      </c>
      <c r="D27">
        <v>88</v>
      </c>
      <c r="E27" t="s">
        <v>2937</v>
      </c>
      <c r="F27" t="str">
        <f t="shared" si="0"/>
        <v>N/A</v>
      </c>
      <c r="G27" s="1">
        <v>45835</v>
      </c>
      <c r="H27" s="1">
        <v>45783</v>
      </c>
      <c r="I27" t="s">
        <v>99</v>
      </c>
      <c r="J27" t="str">
        <f t="shared" si="1"/>
        <v>Darren Brooks</v>
      </c>
      <c r="K27" t="s">
        <v>28</v>
      </c>
      <c r="L27" t="str">
        <f t="shared" si="2"/>
        <v>General</v>
      </c>
      <c r="M27" t="s">
        <v>100</v>
      </c>
      <c r="N27" t="str">
        <f t="shared" si="3"/>
        <v>USD</v>
      </c>
      <c r="O27">
        <f t="shared" si="4"/>
        <v>51.72</v>
      </c>
      <c r="P27" cm="1">
        <f t="array" ref="P27">_xlfn.IFS(N27="USD",O27*1,N27="GBP",O27*1.27,N27="EUR",O27*1.09,N27="INR",O27*0.012,N27="N/A","N/A")</f>
        <v>51.72</v>
      </c>
      <c r="Q27" t="s">
        <v>20</v>
      </c>
      <c r="R27" t="str" cm="1">
        <f t="array" ref="R27">_xlfn.IFS(Q27="Y","Yes", Q27="Yes","Yes", Q27="N","No", Q27="No","No", Q27=1,"N/A", Q27=0,"N/A", TRUE,"")</f>
        <v>Yes</v>
      </c>
      <c r="S27">
        <f t="shared" si="5"/>
        <v>11</v>
      </c>
      <c r="T27">
        <f t="shared" si="6"/>
        <v>1</v>
      </c>
      <c r="U27" t="str" cm="1">
        <f t="array" ref="U27">_xlfn.IFS(D27&lt;40,"Young Adult",AND(D27&gt;=40,D27&lt;65),"Middle Aged", D27&gt;=65,"Elderly")</f>
        <v>Elderly</v>
      </c>
    </row>
    <row r="28" spans="1:21" x14ac:dyDescent="0.2">
      <c r="A28">
        <v>1093</v>
      </c>
      <c r="B28">
        <f t="shared" si="7"/>
        <v>27</v>
      </c>
      <c r="C28" t="s">
        <v>101</v>
      </c>
      <c r="D28">
        <v>20</v>
      </c>
      <c r="E28" t="s">
        <v>51</v>
      </c>
      <c r="F28" t="str">
        <f t="shared" si="0"/>
        <v>Male</v>
      </c>
      <c r="G28" s="1">
        <v>46104</v>
      </c>
      <c r="H28" s="1">
        <v>45821</v>
      </c>
      <c r="I28" t="s">
        <v>102</v>
      </c>
      <c r="J28" t="str">
        <f t="shared" si="1"/>
        <v>Janice Taylor</v>
      </c>
      <c r="K28" t="s">
        <v>13</v>
      </c>
      <c r="L28" t="str">
        <f t="shared" si="2"/>
        <v>Cardiology</v>
      </c>
      <c r="M28" t="s">
        <v>103</v>
      </c>
      <c r="N28" t="str">
        <f t="shared" si="3"/>
        <v>GBP</v>
      </c>
      <c r="O28">
        <f t="shared" si="4"/>
        <v>218.84</v>
      </c>
      <c r="P28" cm="1">
        <f t="array" ref="P28">_xlfn.IFS(N28="USD",O28*1,N28="GBP",O28*1.27,N28="EUR",O28*1.09,N28="INR",O28*0.012,N28="N/A","N/A")</f>
        <v>277.92680000000001</v>
      </c>
      <c r="Q28">
        <v>1</v>
      </c>
      <c r="R28" t="str" cm="1">
        <f t="array" ref="R28">_xlfn.IFS(Q28="Y","Yes", Q28="Yes","Yes", Q28="N","No", Q28="No","No", Q28=1,"N/A", Q28=0,"N/A", TRUE,"")</f>
        <v>N/A</v>
      </c>
      <c r="S28">
        <f t="shared" si="5"/>
        <v>11</v>
      </c>
      <c r="T28">
        <f t="shared" si="6"/>
        <v>1</v>
      </c>
      <c r="U28" t="str" cm="1">
        <f t="array" ref="U28">_xlfn.IFS(D28&lt;40,"Young Adult",AND(D28&gt;=40,D28&lt;65),"Middle Aged", D28&gt;=65,"Elderly")</f>
        <v>Young Adult</v>
      </c>
    </row>
    <row r="29" spans="1:21" x14ac:dyDescent="0.2">
      <c r="A29">
        <v>1084</v>
      </c>
      <c r="B29">
        <f t="shared" si="7"/>
        <v>28</v>
      </c>
      <c r="C29" t="s">
        <v>104</v>
      </c>
      <c r="D29">
        <v>86</v>
      </c>
      <c r="E29" t="s">
        <v>51</v>
      </c>
      <c r="F29" t="str">
        <f t="shared" si="0"/>
        <v>Male</v>
      </c>
      <c r="G29" s="1">
        <v>46089</v>
      </c>
      <c r="H29" s="1">
        <v>45482</v>
      </c>
      <c r="I29" t="s">
        <v>105</v>
      </c>
      <c r="J29" t="str">
        <f t="shared" si="1"/>
        <v>David Robles</v>
      </c>
      <c r="K29" t="s">
        <v>24</v>
      </c>
      <c r="L29" t="str">
        <f t="shared" si="2"/>
        <v>Neurology</v>
      </c>
      <c r="M29" t="s">
        <v>106</v>
      </c>
      <c r="N29" t="str">
        <f t="shared" si="3"/>
        <v>INR</v>
      </c>
      <c r="O29">
        <f t="shared" si="4"/>
        <v>160.38</v>
      </c>
      <c r="P29" cm="1">
        <f t="array" ref="P29">_xlfn.IFS(N29="USD",O29*1,N29="GBP",O29*1.27,N29="EUR",O29*1.09,N29="INR",O29*0.012,N29="N/A","N/A")</f>
        <v>1.92456</v>
      </c>
      <c r="Q29" t="s">
        <v>36</v>
      </c>
      <c r="R29" t="str" cm="1">
        <f t="array" ref="R29">_xlfn.IFS(Q29="Y","Yes", Q29="Yes","Yes", Q29="N","No", Q29="No","No", Q29=1,"N/A", Q29=0,"N/A", TRUE,"")</f>
        <v>Yes</v>
      </c>
      <c r="S29">
        <f t="shared" si="5"/>
        <v>15</v>
      </c>
      <c r="T29">
        <f t="shared" si="6"/>
        <v>1</v>
      </c>
      <c r="U29" t="str" cm="1">
        <f t="array" ref="U29">_xlfn.IFS(D29&lt;40,"Young Adult",AND(D29&gt;=40,D29&lt;65),"Middle Aged", D29&gt;=65,"Elderly")</f>
        <v>Elderly</v>
      </c>
    </row>
    <row r="30" spans="1:21" x14ac:dyDescent="0.2">
      <c r="A30">
        <v>1002</v>
      </c>
      <c r="B30">
        <f t="shared" si="7"/>
        <v>29</v>
      </c>
      <c r="C30" t="s">
        <v>107</v>
      </c>
      <c r="D30">
        <v>42</v>
      </c>
      <c r="E30" t="s">
        <v>22</v>
      </c>
      <c r="F30" t="str">
        <f t="shared" si="0"/>
        <v>Male</v>
      </c>
      <c r="G30" s="1">
        <v>45944</v>
      </c>
      <c r="H30" s="1">
        <v>45600</v>
      </c>
      <c r="I30" t="s">
        <v>108</v>
      </c>
      <c r="J30" t="str">
        <f t="shared" si="1"/>
        <v>Gregory Kirk</v>
      </c>
      <c r="K30" t="s">
        <v>24</v>
      </c>
      <c r="L30" t="str">
        <f t="shared" si="2"/>
        <v>Neurology</v>
      </c>
      <c r="M30" t="s">
        <v>109</v>
      </c>
      <c r="N30" t="str">
        <f t="shared" si="3"/>
        <v>INR</v>
      </c>
      <c r="O30">
        <f t="shared" si="4"/>
        <v>342.38</v>
      </c>
      <c r="P30" cm="1">
        <f t="array" ref="P30">_xlfn.IFS(N30="USD",O30*1,N30="GBP",O30*1.27,N30="EUR",O30*1.09,N30="INR",O30*0.012,N30="N/A","N/A")</f>
        <v>4.1085599999999998</v>
      </c>
      <c r="Q30">
        <v>0</v>
      </c>
      <c r="R30" t="str" cm="1">
        <f t="array" ref="R30">_xlfn.IFS(Q30="Y","Yes", Q30="Yes","Yes", Q30="N","No", Q30="No","No", Q30=1,"N/A", Q30=0,"N/A", TRUE,"")</f>
        <v>N/A</v>
      </c>
      <c r="S30">
        <f t="shared" si="5"/>
        <v>7</v>
      </c>
      <c r="T30">
        <f t="shared" si="6"/>
        <v>1</v>
      </c>
      <c r="U30" t="str" cm="1">
        <f t="array" ref="U30">_xlfn.IFS(D30&lt;40,"Young Adult",AND(D30&gt;=40,D30&lt;65),"Middle Aged", D30&gt;=65,"Elderly")</f>
        <v>Middle Aged</v>
      </c>
    </row>
    <row r="31" spans="1:21" x14ac:dyDescent="0.2">
      <c r="A31">
        <v>1030</v>
      </c>
      <c r="B31">
        <f t="shared" si="7"/>
        <v>30</v>
      </c>
      <c r="C31" t="s">
        <v>110</v>
      </c>
      <c r="D31">
        <v>18</v>
      </c>
      <c r="E31" t="s">
        <v>51</v>
      </c>
      <c r="F31" t="str">
        <f t="shared" si="0"/>
        <v>Male</v>
      </c>
      <c r="G31" s="1">
        <v>45911</v>
      </c>
      <c r="H31" s="1">
        <v>45570</v>
      </c>
      <c r="I31" t="s">
        <v>111</v>
      </c>
      <c r="J31" t="str">
        <f t="shared" si="1"/>
        <v>Casey Wagner</v>
      </c>
      <c r="K31" t="s">
        <v>18</v>
      </c>
      <c r="L31" t="str">
        <f t="shared" si="2"/>
        <v>Orthopedics</v>
      </c>
      <c r="M31" t="s">
        <v>112</v>
      </c>
      <c r="N31" t="str">
        <f t="shared" si="3"/>
        <v>INR</v>
      </c>
      <c r="O31">
        <f t="shared" si="4"/>
        <v>208.91</v>
      </c>
      <c r="P31" cm="1">
        <f t="array" ref="P31">_xlfn.IFS(N31="USD",O31*1,N31="GBP",O31*1.27,N31="EUR",O31*1.09,N31="INR",O31*0.012,N31="N/A","N/A")</f>
        <v>2.50692</v>
      </c>
      <c r="Q31" t="s">
        <v>60</v>
      </c>
      <c r="R31" t="str" cm="1">
        <f t="array" ref="R31">_xlfn.IFS(Q31="Y","Yes", Q31="Yes","Yes", Q31="N","No", Q31="No","No", Q31=1,"N/A", Q31=0,"N/A", TRUE,"")</f>
        <v>No</v>
      </c>
      <c r="S31">
        <f t="shared" si="5"/>
        <v>11</v>
      </c>
      <c r="T31">
        <f t="shared" si="6"/>
        <v>1</v>
      </c>
      <c r="U31" t="str" cm="1">
        <f t="array" ref="U31">_xlfn.IFS(D31&lt;40,"Young Adult",AND(D31&gt;=40,D31&lt;65),"Middle Aged", D31&gt;=65,"Elderly")</f>
        <v>Young Adult</v>
      </c>
    </row>
    <row r="32" spans="1:21" x14ac:dyDescent="0.2">
      <c r="A32">
        <v>1043</v>
      </c>
      <c r="B32">
        <f t="shared" si="7"/>
        <v>31</v>
      </c>
      <c r="C32" t="s">
        <v>113</v>
      </c>
      <c r="D32">
        <v>82</v>
      </c>
      <c r="E32" t="s">
        <v>38</v>
      </c>
      <c r="F32" t="str">
        <f t="shared" si="0"/>
        <v>Female</v>
      </c>
      <c r="G32" s="1">
        <v>46006</v>
      </c>
      <c r="H32" s="1">
        <v>45859</v>
      </c>
      <c r="I32" t="s">
        <v>114</v>
      </c>
      <c r="J32" t="str">
        <f t="shared" si="1"/>
        <v>Stephanie Taylor</v>
      </c>
      <c r="K32" t="s">
        <v>28</v>
      </c>
      <c r="L32" t="str">
        <f t="shared" si="2"/>
        <v>General</v>
      </c>
      <c r="M32" t="s">
        <v>115</v>
      </c>
      <c r="N32" t="str">
        <f t="shared" si="3"/>
        <v>INR</v>
      </c>
      <c r="O32">
        <f t="shared" si="4"/>
        <v>426.86</v>
      </c>
      <c r="P32" cm="1">
        <f t="array" ref="P32">_xlfn.IFS(N32="USD",O32*1,N32="GBP",O32*1.27,N32="EUR",O32*1.09,N32="INR",O32*0.012,N32="N/A","N/A")</f>
        <v>5.1223200000000002</v>
      </c>
      <c r="Q32" t="s">
        <v>30</v>
      </c>
      <c r="R32" t="str" cm="1">
        <f t="array" ref="R32">_xlfn.IFS(Q32="Y","Yes", Q32="Yes","Yes", Q32="N","No", Q32="No","No", Q32=1,"N/A", Q32=0,"N/A", TRUE,"")</f>
        <v>No</v>
      </c>
      <c r="S32">
        <f t="shared" si="5"/>
        <v>12</v>
      </c>
      <c r="T32">
        <f t="shared" si="6"/>
        <v>1</v>
      </c>
      <c r="U32" t="str" cm="1">
        <f t="array" ref="U32">_xlfn.IFS(D32&lt;40,"Young Adult",AND(D32&gt;=40,D32&lt;65),"Middle Aged", D32&gt;=65,"Elderly")</f>
        <v>Elderly</v>
      </c>
    </row>
    <row r="33" spans="1:21" x14ac:dyDescent="0.2">
      <c r="A33">
        <v>1056</v>
      </c>
      <c r="B33">
        <f t="shared" si="7"/>
        <v>32</v>
      </c>
      <c r="C33" t="s">
        <v>116</v>
      </c>
      <c r="D33">
        <v>67</v>
      </c>
      <c r="E33" t="s">
        <v>38</v>
      </c>
      <c r="F33" t="str">
        <f t="shared" si="0"/>
        <v>Female</v>
      </c>
      <c r="G33" s="1">
        <v>45913</v>
      </c>
      <c r="H33" s="1">
        <v>45664</v>
      </c>
      <c r="I33" t="s">
        <v>117</v>
      </c>
      <c r="J33" t="str">
        <f t="shared" si="1"/>
        <v>Andrew Thomas</v>
      </c>
      <c r="K33" t="s">
        <v>18</v>
      </c>
      <c r="L33" t="str">
        <f t="shared" si="2"/>
        <v>Orthopedics</v>
      </c>
      <c r="M33" t="s">
        <v>118</v>
      </c>
      <c r="N33" t="str">
        <f t="shared" si="3"/>
        <v>GBP</v>
      </c>
      <c r="O33">
        <f t="shared" si="4"/>
        <v>215.31</v>
      </c>
      <c r="P33" cm="1">
        <f t="array" ref="P33">_xlfn.IFS(N33="USD",O33*1,N33="GBP",O33*1.27,N33="EUR",O33*1.09,N33="INR",O33*0.012,N33="N/A","N/A")</f>
        <v>273.44369999999998</v>
      </c>
      <c r="Q33" t="s">
        <v>36</v>
      </c>
      <c r="R33" t="str" cm="1">
        <f t="array" ref="R33">_xlfn.IFS(Q33="Y","Yes", Q33="Yes","Yes", Q33="N","No", Q33="No","No", Q33=1,"N/A", Q33=0,"N/A", TRUE,"")</f>
        <v>Yes</v>
      </c>
      <c r="S33">
        <f t="shared" si="5"/>
        <v>13</v>
      </c>
      <c r="T33">
        <f t="shared" si="6"/>
        <v>1</v>
      </c>
      <c r="U33" t="str" cm="1">
        <f t="array" ref="U33">_xlfn.IFS(D33&lt;40,"Young Adult",AND(D33&gt;=40,D33&lt;65),"Middle Aged", D33&gt;=65,"Elderly")</f>
        <v>Elderly</v>
      </c>
    </row>
    <row r="34" spans="1:21" x14ac:dyDescent="0.2">
      <c r="A34">
        <v>1094</v>
      </c>
      <c r="B34">
        <f t="shared" si="7"/>
        <v>33</v>
      </c>
      <c r="C34" t="s">
        <v>119</v>
      </c>
      <c r="D34">
        <v>32</v>
      </c>
      <c r="E34" t="s">
        <v>51</v>
      </c>
      <c r="F34" t="str">
        <f t="shared" si="0"/>
        <v>Male</v>
      </c>
      <c r="G34" s="1">
        <v>46090</v>
      </c>
      <c r="H34" s="1">
        <v>45610</v>
      </c>
      <c r="I34" t="s">
        <v>120</v>
      </c>
      <c r="J34" t="str">
        <f t="shared" si="1"/>
        <v>Laura Klein</v>
      </c>
      <c r="K34" t="s">
        <v>28</v>
      </c>
      <c r="L34" t="str">
        <f t="shared" si="2"/>
        <v>General</v>
      </c>
      <c r="M34" t="s">
        <v>121</v>
      </c>
      <c r="N34" t="str">
        <f t="shared" si="3"/>
        <v>GBP</v>
      </c>
      <c r="O34">
        <f t="shared" si="4"/>
        <v>413.53</v>
      </c>
      <c r="P34" cm="1">
        <f t="array" ref="P34">_xlfn.IFS(N34="USD",O34*1,N34="GBP",O34*1.27,N34="EUR",O34*1.09,N34="INR",O34*0.012,N34="N/A","N/A")</f>
        <v>525.18309999999997</v>
      </c>
      <c r="Q34">
        <v>0</v>
      </c>
      <c r="R34" t="str" cm="1">
        <f t="array" ref="R34">_xlfn.IFS(Q34="Y","Yes", Q34="Yes","Yes", Q34="N","No", Q34="No","No", Q34=1,"N/A", Q34=0,"N/A", TRUE,"")</f>
        <v>N/A</v>
      </c>
      <c r="S34">
        <f t="shared" si="5"/>
        <v>8</v>
      </c>
      <c r="T34">
        <f t="shared" si="6"/>
        <v>1</v>
      </c>
      <c r="U34" t="str" cm="1">
        <f t="array" ref="U34">_xlfn.IFS(D34&lt;40,"Young Adult",AND(D34&gt;=40,D34&lt;65),"Middle Aged", D34&gt;=65,"Elderly")</f>
        <v>Young Adult</v>
      </c>
    </row>
    <row r="35" spans="1:21" x14ac:dyDescent="0.2">
      <c r="A35">
        <v>1041</v>
      </c>
      <c r="B35">
        <f t="shared" si="7"/>
        <v>34</v>
      </c>
      <c r="C35" t="s">
        <v>122</v>
      </c>
      <c r="D35">
        <v>20</v>
      </c>
      <c r="E35" t="s">
        <v>51</v>
      </c>
      <c r="F35" t="str">
        <f t="shared" si="0"/>
        <v>Male</v>
      </c>
      <c r="G35" s="1">
        <v>45784</v>
      </c>
      <c r="H35" s="1">
        <v>45676</v>
      </c>
      <c r="I35" t="s">
        <v>123</v>
      </c>
      <c r="J35" t="str">
        <f t="shared" si="1"/>
        <v>Mr. Brian Morton</v>
      </c>
      <c r="K35" t="s">
        <v>24</v>
      </c>
      <c r="L35" t="str">
        <f t="shared" si="2"/>
        <v>Neurology</v>
      </c>
      <c r="N35" t="str">
        <f t="shared" si="3"/>
        <v>N/A</v>
      </c>
      <c r="O35" t="str">
        <f t="shared" si="4"/>
        <v/>
      </c>
      <c r="P35" t="str" cm="1">
        <f t="array" ref="P35">_xlfn.IFS(N35="USD",O35*1,N35="GBP",O35*1.27,N35="EUR",O35*1.09,N35="INR",O35*0.012,N35="N/A","N/A")</f>
        <v>N/A</v>
      </c>
      <c r="Q35" t="s">
        <v>20</v>
      </c>
      <c r="R35" t="str" cm="1">
        <f t="array" ref="R35">_xlfn.IFS(Q35="Y","Yes", Q35="Yes","Yes", Q35="N","No", Q35="No","No", Q35=1,"N/A", Q35=0,"N/A", TRUE,"")</f>
        <v>Yes</v>
      </c>
      <c r="S35">
        <f t="shared" si="5"/>
        <v>8</v>
      </c>
      <c r="T35">
        <f t="shared" si="6"/>
        <v>1</v>
      </c>
      <c r="U35" t="str" cm="1">
        <f t="array" ref="U35">_xlfn.IFS(D35&lt;40,"Young Adult",AND(D35&gt;=40,D35&lt;65),"Middle Aged", D35&gt;=65,"Elderly")</f>
        <v>Young Adult</v>
      </c>
    </row>
    <row r="36" spans="1:21" x14ac:dyDescent="0.2">
      <c r="A36">
        <v>1071</v>
      </c>
      <c r="B36">
        <f t="shared" si="7"/>
        <v>35</v>
      </c>
      <c r="C36" t="s">
        <v>124</v>
      </c>
      <c r="D36">
        <v>46</v>
      </c>
      <c r="E36" t="s">
        <v>2937</v>
      </c>
      <c r="F36" t="str">
        <f t="shared" si="0"/>
        <v>N/A</v>
      </c>
      <c r="G36" s="1">
        <v>46032</v>
      </c>
      <c r="H36" s="1">
        <v>45597</v>
      </c>
      <c r="I36" t="s">
        <v>125</v>
      </c>
      <c r="J36" t="str">
        <f t="shared" si="1"/>
        <v>Robert Sparks</v>
      </c>
      <c r="K36" t="s">
        <v>28</v>
      </c>
      <c r="L36" t="str">
        <f t="shared" si="2"/>
        <v>General</v>
      </c>
      <c r="M36" t="s">
        <v>126</v>
      </c>
      <c r="N36" t="str">
        <f t="shared" si="3"/>
        <v>GBP</v>
      </c>
      <c r="O36">
        <f t="shared" si="4"/>
        <v>396.22</v>
      </c>
      <c r="P36" cm="1">
        <f t="array" ref="P36">_xlfn.IFS(N36="USD",O36*1,N36="GBP",O36*1.27,N36="EUR",O36*1.09,N36="INR",O36*0.012,N36="N/A","N/A")</f>
        <v>503.19940000000003</v>
      </c>
      <c r="Q36" t="s">
        <v>30</v>
      </c>
      <c r="R36" t="str" cm="1">
        <f t="array" ref="R36">_xlfn.IFS(Q36="Y","Yes", Q36="Yes","Yes", Q36="N","No", Q36="No","No", Q36=1,"N/A", Q36=0,"N/A", TRUE,"")</f>
        <v>No</v>
      </c>
      <c r="S36">
        <f t="shared" si="5"/>
        <v>10</v>
      </c>
      <c r="T36">
        <f t="shared" si="6"/>
        <v>1</v>
      </c>
      <c r="U36" t="str" cm="1">
        <f t="array" ref="U36">_xlfn.IFS(D36&lt;40,"Young Adult",AND(D36&gt;=40,D36&lt;65),"Middle Aged", D36&gt;=65,"Elderly")</f>
        <v>Middle Aged</v>
      </c>
    </row>
    <row r="37" spans="1:21" x14ac:dyDescent="0.2">
      <c r="A37">
        <v>1051</v>
      </c>
      <c r="B37">
        <f t="shared" si="7"/>
        <v>36</v>
      </c>
      <c r="C37" t="s">
        <v>127</v>
      </c>
      <c r="D37">
        <v>26</v>
      </c>
      <c r="E37" t="s">
        <v>71</v>
      </c>
      <c r="F37" t="str">
        <f t="shared" si="0"/>
        <v>Male</v>
      </c>
      <c r="G37" s="1">
        <v>45815</v>
      </c>
      <c r="H37" s="1">
        <v>45635</v>
      </c>
      <c r="I37" t="s">
        <v>128</v>
      </c>
      <c r="J37" t="str">
        <f t="shared" si="1"/>
        <v>Thomas Brandt</v>
      </c>
      <c r="K37" t="s">
        <v>18</v>
      </c>
      <c r="L37" t="str">
        <f t="shared" si="2"/>
        <v>Orthopedics</v>
      </c>
      <c r="M37" t="s">
        <v>129</v>
      </c>
      <c r="N37" t="str">
        <f t="shared" si="3"/>
        <v>USD</v>
      </c>
      <c r="O37">
        <f t="shared" si="4"/>
        <v>340.25</v>
      </c>
      <c r="P37" cm="1">
        <f t="array" ref="P37">_xlfn.IFS(N37="USD",O37*1,N37="GBP",O37*1.27,N37="EUR",O37*1.09,N37="INR",O37*0.012,N37="N/A","N/A")</f>
        <v>340.25</v>
      </c>
      <c r="Q37" t="s">
        <v>36</v>
      </c>
      <c r="R37" t="str" cm="1">
        <f t="array" ref="R37">_xlfn.IFS(Q37="Y","Yes", Q37="Yes","Yes", Q37="N","No", Q37="No","No", Q37=1,"N/A", Q37=0,"N/A", TRUE,"")</f>
        <v>Yes</v>
      </c>
      <c r="S37">
        <f t="shared" si="5"/>
        <v>9</v>
      </c>
      <c r="T37">
        <f t="shared" si="6"/>
        <v>1</v>
      </c>
      <c r="U37" t="str" cm="1">
        <f t="array" ref="U37">_xlfn.IFS(D37&lt;40,"Young Adult",AND(D37&gt;=40,D37&lt;65),"Middle Aged", D37&gt;=65,"Elderly")</f>
        <v>Young Adult</v>
      </c>
    </row>
    <row r="38" spans="1:21" x14ac:dyDescent="0.2">
      <c r="A38">
        <v>1003</v>
      </c>
      <c r="B38">
        <f t="shared" si="7"/>
        <v>37</v>
      </c>
      <c r="C38" t="s">
        <v>130</v>
      </c>
      <c r="D38">
        <v>19</v>
      </c>
      <c r="E38" t="s">
        <v>2937</v>
      </c>
      <c r="F38" t="str">
        <f t="shared" si="0"/>
        <v>N/A</v>
      </c>
      <c r="G38" s="1">
        <v>45946</v>
      </c>
      <c r="H38" s="1">
        <v>45921</v>
      </c>
      <c r="I38" t="s">
        <v>131</v>
      </c>
      <c r="J38" t="str">
        <f t="shared" si="1"/>
        <v>Robert Henry</v>
      </c>
      <c r="K38" t="s">
        <v>24</v>
      </c>
      <c r="L38" t="str">
        <f t="shared" si="2"/>
        <v>Neurology</v>
      </c>
      <c r="M38" t="s">
        <v>132</v>
      </c>
      <c r="N38" t="str">
        <f t="shared" si="3"/>
        <v>USD</v>
      </c>
      <c r="O38">
        <f t="shared" si="4"/>
        <v>481.44</v>
      </c>
      <c r="P38" cm="1">
        <f t="array" ref="P38">_xlfn.IFS(N38="USD",O38*1,N38="GBP",O38*1.27,N38="EUR",O38*1.09,N38="INR",O38*0.012,N38="N/A","N/A")</f>
        <v>481.44</v>
      </c>
      <c r="Q38">
        <v>0</v>
      </c>
      <c r="R38" t="str" cm="1">
        <f t="array" ref="R38">_xlfn.IFS(Q38="Y","Yes", Q38="Yes","Yes", Q38="N","No", Q38="No","No", Q38=1,"N/A", Q38=0,"N/A", TRUE,"")</f>
        <v>N/A</v>
      </c>
      <c r="S38">
        <f t="shared" si="5"/>
        <v>12</v>
      </c>
      <c r="T38">
        <f t="shared" si="6"/>
        <v>1</v>
      </c>
      <c r="U38" t="str" cm="1">
        <f t="array" ref="U38">_xlfn.IFS(D38&lt;40,"Young Adult",AND(D38&gt;=40,D38&lt;65),"Middle Aged", D38&gt;=65,"Elderly")</f>
        <v>Young Adult</v>
      </c>
    </row>
    <row r="39" spans="1:21" x14ac:dyDescent="0.2">
      <c r="A39">
        <v>1053</v>
      </c>
      <c r="B39">
        <f t="shared" si="7"/>
        <v>38</v>
      </c>
      <c r="C39" t="s">
        <v>133</v>
      </c>
      <c r="D39">
        <v>37</v>
      </c>
      <c r="E39" t="s">
        <v>2937</v>
      </c>
      <c r="F39" t="str">
        <f t="shared" si="0"/>
        <v>N/A</v>
      </c>
      <c r="G39" s="1">
        <v>45915</v>
      </c>
      <c r="H39" s="1">
        <v>45421</v>
      </c>
      <c r="I39" t="s">
        <v>134</v>
      </c>
      <c r="J39" t="str">
        <f t="shared" si="1"/>
        <v>Anthony Jensen</v>
      </c>
      <c r="K39" t="s">
        <v>18</v>
      </c>
      <c r="L39" t="str">
        <f t="shared" si="2"/>
        <v>Orthopedics</v>
      </c>
      <c r="M39" t="s">
        <v>135</v>
      </c>
      <c r="N39" t="str">
        <f t="shared" si="3"/>
        <v>USD</v>
      </c>
      <c r="O39">
        <f t="shared" si="4"/>
        <v>442.77</v>
      </c>
      <c r="P39" cm="1">
        <f t="array" ref="P39">_xlfn.IFS(N39="USD",O39*1,N39="GBP",O39*1.27,N39="EUR",O39*1.09,N39="INR",O39*0.012,N39="N/A","N/A")</f>
        <v>442.77</v>
      </c>
      <c r="Q39">
        <v>0</v>
      </c>
      <c r="R39" t="str" cm="1">
        <f t="array" ref="R39">_xlfn.IFS(Q39="Y","Yes", Q39="Yes","Yes", Q39="N","No", Q39="No","No", Q39=1,"N/A", Q39=0,"N/A", TRUE,"")</f>
        <v>N/A</v>
      </c>
      <c r="S39">
        <f t="shared" si="5"/>
        <v>14</v>
      </c>
      <c r="T39">
        <f t="shared" si="6"/>
        <v>1</v>
      </c>
      <c r="U39" t="str" cm="1">
        <f t="array" ref="U39">_xlfn.IFS(D39&lt;40,"Young Adult",AND(D39&gt;=40,D39&lt;65),"Middle Aged", D39&gt;=65,"Elderly")</f>
        <v>Young Adult</v>
      </c>
    </row>
    <row r="40" spans="1:21" x14ac:dyDescent="0.2">
      <c r="A40">
        <v>1052</v>
      </c>
      <c r="B40">
        <f t="shared" si="7"/>
        <v>39</v>
      </c>
      <c r="C40" t="s">
        <v>136</v>
      </c>
      <c r="D40">
        <v>84</v>
      </c>
      <c r="E40" t="s">
        <v>2937</v>
      </c>
      <c r="F40" t="str">
        <f t="shared" si="0"/>
        <v>N/A</v>
      </c>
      <c r="G40" s="1">
        <v>45908</v>
      </c>
      <c r="H40" s="1">
        <v>45793</v>
      </c>
      <c r="I40" t="s">
        <v>137</v>
      </c>
      <c r="J40" t="str">
        <f t="shared" si="1"/>
        <v>Kevin Benton</v>
      </c>
      <c r="K40" t="s">
        <v>18</v>
      </c>
      <c r="L40" t="str">
        <f t="shared" si="2"/>
        <v>Orthopedics</v>
      </c>
      <c r="M40" t="s">
        <v>138</v>
      </c>
      <c r="N40" t="str">
        <f t="shared" si="3"/>
        <v>INR</v>
      </c>
      <c r="O40">
        <f t="shared" si="4"/>
        <v>175.63</v>
      </c>
      <c r="P40" cm="1">
        <f t="array" ref="P40">_xlfn.IFS(N40="USD",O40*1,N40="GBP",O40*1.27,N40="EUR",O40*1.09,N40="INR",O40*0.012,N40="N/A","N/A")</f>
        <v>2.1075599999999999</v>
      </c>
      <c r="Q40">
        <v>0</v>
      </c>
      <c r="R40" t="str" cm="1">
        <f t="array" ref="R40">_xlfn.IFS(Q40="Y","Yes", Q40="Yes","Yes", Q40="N","No", Q40="No","No", Q40=1,"N/A", Q40=0,"N/A", TRUE,"")</f>
        <v>N/A</v>
      </c>
      <c r="S40">
        <f t="shared" si="5"/>
        <v>8</v>
      </c>
      <c r="T40">
        <f t="shared" si="6"/>
        <v>1</v>
      </c>
      <c r="U40" t="str" cm="1">
        <f t="array" ref="U40">_xlfn.IFS(D40&lt;40,"Young Adult",AND(D40&gt;=40,D40&lt;65),"Middle Aged", D40&gt;=65,"Elderly")</f>
        <v>Elderly</v>
      </c>
    </row>
    <row r="41" spans="1:21" x14ac:dyDescent="0.2">
      <c r="A41">
        <v>1018</v>
      </c>
      <c r="B41">
        <f t="shared" si="7"/>
        <v>40</v>
      </c>
      <c r="C41" t="s">
        <v>139</v>
      </c>
      <c r="D41">
        <v>55</v>
      </c>
      <c r="E41" t="s">
        <v>16</v>
      </c>
      <c r="F41" t="str">
        <f t="shared" si="0"/>
        <v>Female</v>
      </c>
      <c r="G41" s="1">
        <v>46082</v>
      </c>
      <c r="H41" s="1">
        <v>45446</v>
      </c>
      <c r="I41" t="s">
        <v>140</v>
      </c>
      <c r="J41" t="str">
        <f t="shared" si="1"/>
        <v>Thomas Hernandez</v>
      </c>
      <c r="K41" t="s">
        <v>24</v>
      </c>
      <c r="L41" t="str">
        <f t="shared" si="2"/>
        <v>Neurology</v>
      </c>
      <c r="M41" t="s">
        <v>141</v>
      </c>
      <c r="N41" t="str">
        <f t="shared" si="3"/>
        <v>EUR</v>
      </c>
      <c r="O41">
        <f t="shared" si="4"/>
        <v>320.66000000000003</v>
      </c>
      <c r="P41" cm="1">
        <f t="array" ref="P41">_xlfn.IFS(N41="USD",O41*1,N41="GBP",O41*1.27,N41="EUR",O41*1.09,N41="INR",O41*0.012,N41="N/A","N/A")</f>
        <v>349.51940000000008</v>
      </c>
      <c r="Q41">
        <v>0</v>
      </c>
      <c r="R41" t="str" cm="1">
        <f t="array" ref="R41">_xlfn.IFS(Q41="Y","Yes", Q41="Yes","Yes", Q41="N","No", Q41="No","No", Q41=1,"N/A", Q41=0,"N/A", TRUE,"")</f>
        <v>N/A</v>
      </c>
      <c r="S41">
        <f t="shared" si="5"/>
        <v>14</v>
      </c>
      <c r="T41">
        <f t="shared" si="6"/>
        <v>1</v>
      </c>
      <c r="U41" t="str" cm="1">
        <f t="array" ref="U41">_xlfn.IFS(D41&lt;40,"Young Adult",AND(D41&gt;=40,D41&lt;65),"Middle Aged", D41&gt;=65,"Elderly")</f>
        <v>Middle Aged</v>
      </c>
    </row>
    <row r="42" spans="1:21" x14ac:dyDescent="0.2">
      <c r="A42">
        <v>1001</v>
      </c>
      <c r="B42">
        <f t="shared" si="7"/>
        <v>41</v>
      </c>
      <c r="C42" t="s">
        <v>142</v>
      </c>
      <c r="D42">
        <v>50</v>
      </c>
      <c r="E42" t="s">
        <v>71</v>
      </c>
      <c r="F42" t="str">
        <f t="shared" si="0"/>
        <v>Male</v>
      </c>
      <c r="G42" s="1">
        <v>45886</v>
      </c>
      <c r="H42" s="1">
        <v>45558</v>
      </c>
      <c r="I42" t="s">
        <v>143</v>
      </c>
      <c r="J42" t="str">
        <f t="shared" si="1"/>
        <v>Alison Stanton</v>
      </c>
      <c r="K42" t="s">
        <v>18</v>
      </c>
      <c r="L42" t="str">
        <f t="shared" si="2"/>
        <v>Orthopedics</v>
      </c>
      <c r="M42" t="s">
        <v>144</v>
      </c>
      <c r="N42" t="str">
        <f t="shared" si="3"/>
        <v>USD</v>
      </c>
      <c r="O42">
        <f t="shared" si="4"/>
        <v>268.14</v>
      </c>
      <c r="P42" cm="1">
        <f t="array" ref="P42">_xlfn.IFS(N42="USD",O42*1,N42="GBP",O42*1.27,N42="EUR",O42*1.09,N42="INR",O42*0.012,N42="N/A","N/A")</f>
        <v>268.14</v>
      </c>
      <c r="Q42" t="s">
        <v>36</v>
      </c>
      <c r="R42" t="str" cm="1">
        <f t="array" ref="R42">_xlfn.IFS(Q42="Y","Yes", Q42="Yes","Yes", Q42="N","No", Q42="No","No", Q42=1,"N/A", Q42=0,"N/A", TRUE,"")</f>
        <v>Yes</v>
      </c>
      <c r="S42">
        <f t="shared" si="5"/>
        <v>12</v>
      </c>
      <c r="T42">
        <f t="shared" si="6"/>
        <v>1</v>
      </c>
      <c r="U42" t="str" cm="1">
        <f t="array" ref="U42">_xlfn.IFS(D42&lt;40,"Young Adult",AND(D42&gt;=40,D42&lt;65),"Middle Aged", D42&gt;=65,"Elderly")</f>
        <v>Middle Aged</v>
      </c>
    </row>
    <row r="43" spans="1:21" x14ac:dyDescent="0.2">
      <c r="A43">
        <v>1060</v>
      </c>
      <c r="B43">
        <f t="shared" si="7"/>
        <v>42</v>
      </c>
      <c r="C43" t="s">
        <v>145</v>
      </c>
      <c r="D43">
        <v>61</v>
      </c>
      <c r="E43" t="s">
        <v>2937</v>
      </c>
      <c r="F43" t="str">
        <f t="shared" si="0"/>
        <v>N/A</v>
      </c>
      <c r="G43" s="1">
        <v>45980</v>
      </c>
      <c r="H43" s="1">
        <v>45410</v>
      </c>
      <c r="I43" t="s">
        <v>146</v>
      </c>
      <c r="J43" t="str">
        <f t="shared" si="1"/>
        <v>Christopher Morris</v>
      </c>
      <c r="K43" t="s">
        <v>28</v>
      </c>
      <c r="L43" t="str">
        <f t="shared" si="2"/>
        <v>General</v>
      </c>
      <c r="M43" t="s">
        <v>147</v>
      </c>
      <c r="N43" t="str">
        <f t="shared" si="3"/>
        <v>EUR</v>
      </c>
      <c r="O43">
        <f t="shared" si="4"/>
        <v>499.75</v>
      </c>
      <c r="P43" cm="1">
        <f t="array" ref="P43">_xlfn.IFS(N43="USD",O43*1,N43="GBP",O43*1.27,N43="EUR",O43*1.09,N43="INR",O43*0.012,N43="N/A","N/A")</f>
        <v>544.72750000000008</v>
      </c>
      <c r="Q43" t="s">
        <v>20</v>
      </c>
      <c r="R43" t="str" cm="1">
        <f t="array" ref="R43">_xlfn.IFS(Q43="Y","Yes", Q43="Yes","Yes", Q43="N","No", Q43="No","No", Q43=1,"N/A", Q43=0,"N/A", TRUE,"")</f>
        <v>Yes</v>
      </c>
      <c r="S43">
        <f t="shared" si="5"/>
        <v>6</v>
      </c>
      <c r="T43">
        <f t="shared" si="6"/>
        <v>1</v>
      </c>
      <c r="U43" t="str" cm="1">
        <f t="array" ref="U43">_xlfn.IFS(D43&lt;40,"Young Adult",AND(D43&gt;=40,D43&lt;65),"Middle Aged", D43&gt;=65,"Elderly")</f>
        <v>Middle Aged</v>
      </c>
    </row>
    <row r="44" spans="1:21" x14ac:dyDescent="0.2">
      <c r="A44">
        <v>1055</v>
      </c>
      <c r="B44">
        <f t="shared" si="7"/>
        <v>43</v>
      </c>
      <c r="C44" t="s">
        <v>148</v>
      </c>
      <c r="D44">
        <v>35</v>
      </c>
      <c r="E44" t="s">
        <v>71</v>
      </c>
      <c r="F44" t="str">
        <f t="shared" si="0"/>
        <v>Male</v>
      </c>
      <c r="G44" s="1">
        <v>45801</v>
      </c>
      <c r="H44" s="1">
        <v>45491</v>
      </c>
      <c r="I44" t="s">
        <v>149</v>
      </c>
      <c r="J44" t="str">
        <f t="shared" si="1"/>
        <v>Troy Hill</v>
      </c>
      <c r="K44" t="s">
        <v>18</v>
      </c>
      <c r="L44" t="str">
        <f t="shared" si="2"/>
        <v>Orthopedics</v>
      </c>
      <c r="M44" t="s">
        <v>150</v>
      </c>
      <c r="N44" t="str">
        <f t="shared" si="3"/>
        <v>INR</v>
      </c>
      <c r="O44">
        <f t="shared" si="4"/>
        <v>452.11</v>
      </c>
      <c r="P44" cm="1">
        <f t="array" ref="P44">_xlfn.IFS(N44="USD",O44*1,N44="GBP",O44*1.27,N44="EUR",O44*1.09,N44="INR",O44*0.012,N44="N/A","N/A")</f>
        <v>5.4253200000000001</v>
      </c>
      <c r="Q44">
        <v>1</v>
      </c>
      <c r="R44" t="str" cm="1">
        <f t="array" ref="R44">_xlfn.IFS(Q44="Y","Yes", Q44="Yes","Yes", Q44="N","No", Q44="No","No", Q44=1,"N/A", Q44=0,"N/A", TRUE,"")</f>
        <v>N/A</v>
      </c>
      <c r="S44">
        <f t="shared" si="5"/>
        <v>5</v>
      </c>
      <c r="T44">
        <f t="shared" si="6"/>
        <v>1</v>
      </c>
      <c r="U44" t="str" cm="1">
        <f t="array" ref="U44">_xlfn.IFS(D44&lt;40,"Young Adult",AND(D44&gt;=40,D44&lt;65),"Middle Aged", D44&gt;=65,"Elderly")</f>
        <v>Young Adult</v>
      </c>
    </row>
    <row r="45" spans="1:21" x14ac:dyDescent="0.2">
      <c r="A45">
        <v>1063</v>
      </c>
      <c r="B45">
        <f t="shared" si="7"/>
        <v>44</v>
      </c>
      <c r="C45" t="s">
        <v>151</v>
      </c>
      <c r="D45">
        <v>29</v>
      </c>
      <c r="E45" t="s">
        <v>2937</v>
      </c>
      <c r="F45" t="str">
        <f t="shared" si="0"/>
        <v>N/A</v>
      </c>
      <c r="G45" s="1">
        <v>45916</v>
      </c>
      <c r="H45" s="1">
        <v>45776</v>
      </c>
      <c r="I45" t="s">
        <v>152</v>
      </c>
      <c r="J45" t="str">
        <f t="shared" si="1"/>
        <v>Steven Bailey</v>
      </c>
      <c r="K45" t="s">
        <v>18</v>
      </c>
      <c r="L45" t="str">
        <f t="shared" si="2"/>
        <v>Orthopedics</v>
      </c>
      <c r="M45" t="s">
        <v>153</v>
      </c>
      <c r="N45" t="str">
        <f t="shared" si="3"/>
        <v>INR</v>
      </c>
      <c r="O45">
        <f t="shared" si="4"/>
        <v>479.77</v>
      </c>
      <c r="P45" cm="1">
        <f t="array" ref="P45">_xlfn.IFS(N45="USD",O45*1,N45="GBP",O45*1.27,N45="EUR",O45*1.09,N45="INR",O45*0.012,N45="N/A","N/A")</f>
        <v>5.7572399999999995</v>
      </c>
      <c r="Q45">
        <v>0</v>
      </c>
      <c r="R45" t="str" cm="1">
        <f t="array" ref="R45">_xlfn.IFS(Q45="Y","Yes", Q45="Yes","Yes", Q45="N","No", Q45="No","No", Q45=1,"N/A", Q45=0,"N/A", TRUE,"")</f>
        <v>N/A</v>
      </c>
      <c r="S45">
        <f t="shared" si="5"/>
        <v>11</v>
      </c>
      <c r="T45">
        <f t="shared" si="6"/>
        <v>1</v>
      </c>
      <c r="U45" t="str" cm="1">
        <f t="array" ref="U45">_xlfn.IFS(D45&lt;40,"Young Adult",AND(D45&gt;=40,D45&lt;65),"Middle Aged", D45&gt;=65,"Elderly")</f>
        <v>Young Adult</v>
      </c>
    </row>
    <row r="46" spans="1:21" x14ac:dyDescent="0.2">
      <c r="A46">
        <v>1069</v>
      </c>
      <c r="B46">
        <f t="shared" si="7"/>
        <v>45</v>
      </c>
      <c r="C46" t="s">
        <v>154</v>
      </c>
      <c r="D46">
        <v>72</v>
      </c>
      <c r="E46" t="s">
        <v>2937</v>
      </c>
      <c r="F46" t="str">
        <f t="shared" si="0"/>
        <v>N/A</v>
      </c>
      <c r="G46" s="1">
        <v>45880</v>
      </c>
      <c r="H46" s="1">
        <v>45383</v>
      </c>
      <c r="I46" t="s">
        <v>155</v>
      </c>
      <c r="J46" t="str">
        <f t="shared" si="1"/>
        <v>Janet Ray</v>
      </c>
      <c r="K46" t="s">
        <v>24</v>
      </c>
      <c r="L46" t="str">
        <f t="shared" si="2"/>
        <v>Neurology</v>
      </c>
      <c r="M46" t="s">
        <v>156</v>
      </c>
      <c r="N46" t="str">
        <f t="shared" si="3"/>
        <v>GBP</v>
      </c>
      <c r="O46">
        <f t="shared" si="4"/>
        <v>213.35</v>
      </c>
      <c r="P46" cm="1">
        <f t="array" ref="P46">_xlfn.IFS(N46="USD",O46*1,N46="GBP",O46*1.27,N46="EUR",O46*1.09,N46="INR",O46*0.012,N46="N/A","N/A")</f>
        <v>270.9545</v>
      </c>
      <c r="Q46" t="s">
        <v>20</v>
      </c>
      <c r="R46" t="str" cm="1">
        <f t="array" ref="R46">_xlfn.IFS(Q46="Y","Yes", Q46="Yes","Yes", Q46="N","No", Q46="No","No", Q46=1,"N/A", Q46=0,"N/A", TRUE,"")</f>
        <v>Yes</v>
      </c>
      <c r="S46">
        <f t="shared" si="5"/>
        <v>10</v>
      </c>
      <c r="T46">
        <f t="shared" si="6"/>
        <v>1</v>
      </c>
      <c r="U46" t="str" cm="1">
        <f t="array" ref="U46">_xlfn.IFS(D46&lt;40,"Young Adult",AND(D46&gt;=40,D46&lt;65),"Middle Aged", D46&gt;=65,"Elderly")</f>
        <v>Elderly</v>
      </c>
    </row>
    <row r="47" spans="1:21" x14ac:dyDescent="0.2">
      <c r="A47">
        <v>1095</v>
      </c>
      <c r="B47">
        <f t="shared" si="7"/>
        <v>46</v>
      </c>
      <c r="C47" t="s">
        <v>157</v>
      </c>
      <c r="D47">
        <v>29</v>
      </c>
      <c r="E47" t="s">
        <v>2937</v>
      </c>
      <c r="F47" t="str">
        <f t="shared" si="0"/>
        <v>N/A</v>
      </c>
      <c r="G47" s="1">
        <v>45891</v>
      </c>
      <c r="H47" s="1">
        <v>45772</v>
      </c>
      <c r="I47" t="s">
        <v>158</v>
      </c>
      <c r="J47" t="str">
        <f t="shared" si="1"/>
        <v>Shane Jackson</v>
      </c>
      <c r="K47" t="s">
        <v>24</v>
      </c>
      <c r="L47" t="str">
        <f t="shared" si="2"/>
        <v>Neurology</v>
      </c>
      <c r="M47" t="s">
        <v>159</v>
      </c>
      <c r="N47" t="str">
        <f t="shared" si="3"/>
        <v>INR</v>
      </c>
      <c r="O47">
        <f t="shared" si="4"/>
        <v>120.34</v>
      </c>
      <c r="P47" cm="1">
        <f t="array" ref="P47">_xlfn.IFS(N47="USD",O47*1,N47="GBP",O47*1.27,N47="EUR",O47*1.09,N47="INR",O47*0.012,N47="N/A","N/A")</f>
        <v>1.44408</v>
      </c>
      <c r="Q47" t="s">
        <v>36</v>
      </c>
      <c r="R47" t="str" cm="1">
        <f t="array" ref="R47">_xlfn.IFS(Q47="Y","Yes", Q47="Yes","Yes", Q47="N","No", Q47="No","No", Q47=1,"N/A", Q47=0,"N/A", TRUE,"")</f>
        <v>Yes</v>
      </c>
      <c r="S47">
        <f t="shared" si="5"/>
        <v>12</v>
      </c>
      <c r="T47">
        <f t="shared" si="6"/>
        <v>1</v>
      </c>
      <c r="U47" t="str" cm="1">
        <f t="array" ref="U47">_xlfn.IFS(D47&lt;40,"Young Adult",AND(D47&gt;=40,D47&lt;65),"Middle Aged", D47&gt;=65,"Elderly")</f>
        <v>Young Adult</v>
      </c>
    </row>
    <row r="48" spans="1:21" x14ac:dyDescent="0.2">
      <c r="A48">
        <v>1005</v>
      </c>
      <c r="B48">
        <f t="shared" si="7"/>
        <v>47</v>
      </c>
      <c r="C48" t="s">
        <v>160</v>
      </c>
      <c r="D48">
        <v>49</v>
      </c>
      <c r="E48" t="s">
        <v>2937</v>
      </c>
      <c r="F48" t="str">
        <f t="shared" si="0"/>
        <v>N/A</v>
      </c>
      <c r="G48" s="1">
        <v>45820</v>
      </c>
      <c r="H48" s="1">
        <v>45515</v>
      </c>
      <c r="I48" t="s">
        <v>161</v>
      </c>
      <c r="J48" t="str">
        <f t="shared" si="1"/>
        <v>Diana Baker</v>
      </c>
      <c r="K48" t="s">
        <v>13</v>
      </c>
      <c r="L48" t="str">
        <f t="shared" si="2"/>
        <v>Cardiology</v>
      </c>
      <c r="M48" t="s">
        <v>162</v>
      </c>
      <c r="N48" t="str">
        <f t="shared" si="3"/>
        <v>INR</v>
      </c>
      <c r="O48">
        <f t="shared" si="4"/>
        <v>135.43</v>
      </c>
      <c r="P48" cm="1">
        <f t="array" ref="P48">_xlfn.IFS(N48="USD",O48*1,N48="GBP",O48*1.27,N48="EUR",O48*1.09,N48="INR",O48*0.012,N48="N/A","N/A")</f>
        <v>1.6251600000000002</v>
      </c>
      <c r="Q48" t="s">
        <v>60</v>
      </c>
      <c r="R48" t="str" cm="1">
        <f t="array" ref="R48">_xlfn.IFS(Q48="Y","Yes", Q48="Yes","Yes", Q48="N","No", Q48="No","No", Q48=1,"N/A", Q48=0,"N/A", TRUE,"")</f>
        <v>No</v>
      </c>
      <c r="S48">
        <f t="shared" si="5"/>
        <v>13</v>
      </c>
      <c r="T48">
        <f t="shared" si="6"/>
        <v>1</v>
      </c>
      <c r="U48" t="str" cm="1">
        <f t="array" ref="U48">_xlfn.IFS(D48&lt;40,"Young Adult",AND(D48&gt;=40,D48&lt;65),"Middle Aged", D48&gt;=65,"Elderly")</f>
        <v>Middle Aged</v>
      </c>
    </row>
    <row r="49" spans="1:21" x14ac:dyDescent="0.2">
      <c r="A49">
        <v>1001</v>
      </c>
      <c r="B49">
        <f t="shared" si="7"/>
        <v>48</v>
      </c>
      <c r="C49" t="s">
        <v>163</v>
      </c>
      <c r="D49">
        <v>64</v>
      </c>
      <c r="E49" t="s">
        <v>38</v>
      </c>
      <c r="F49" t="str">
        <f t="shared" si="0"/>
        <v>Female</v>
      </c>
      <c r="G49" s="1">
        <v>45867</v>
      </c>
      <c r="H49" s="1">
        <v>45451</v>
      </c>
      <c r="I49" t="s">
        <v>164</v>
      </c>
      <c r="J49" t="str">
        <f t="shared" si="1"/>
        <v>Brian Osborne Dvm</v>
      </c>
      <c r="K49" t="s">
        <v>18</v>
      </c>
      <c r="L49" t="str">
        <f t="shared" si="2"/>
        <v>Orthopedics</v>
      </c>
      <c r="M49" t="s">
        <v>165</v>
      </c>
      <c r="N49" t="str">
        <f t="shared" si="3"/>
        <v>EUR</v>
      </c>
      <c r="O49">
        <f t="shared" si="4"/>
        <v>214.44</v>
      </c>
      <c r="P49" cm="1">
        <f t="array" ref="P49">_xlfn.IFS(N49="USD",O49*1,N49="GBP",O49*1.27,N49="EUR",O49*1.09,N49="INR",O49*0.012,N49="N/A","N/A")</f>
        <v>233.73960000000002</v>
      </c>
      <c r="Q49" t="s">
        <v>60</v>
      </c>
      <c r="R49" t="str" cm="1">
        <f t="array" ref="R49">_xlfn.IFS(Q49="Y","Yes", Q49="Yes","Yes", Q49="N","No", Q49="No","No", Q49=1,"N/A", Q49=0,"N/A", TRUE,"")</f>
        <v>No</v>
      </c>
      <c r="S49">
        <f t="shared" si="5"/>
        <v>12</v>
      </c>
      <c r="T49">
        <f t="shared" si="6"/>
        <v>1</v>
      </c>
      <c r="U49" t="str" cm="1">
        <f t="array" ref="U49">_xlfn.IFS(D49&lt;40,"Young Adult",AND(D49&gt;=40,D49&lt;65),"Middle Aged", D49&gt;=65,"Elderly")</f>
        <v>Middle Aged</v>
      </c>
    </row>
    <row r="50" spans="1:21" x14ac:dyDescent="0.2">
      <c r="A50">
        <v>1024</v>
      </c>
      <c r="B50">
        <f t="shared" si="7"/>
        <v>49</v>
      </c>
      <c r="C50" t="s">
        <v>166</v>
      </c>
      <c r="D50">
        <v>34</v>
      </c>
      <c r="E50" t="s">
        <v>38</v>
      </c>
      <c r="F50" t="str">
        <f t="shared" si="0"/>
        <v>Female</v>
      </c>
      <c r="G50" s="1">
        <v>45931</v>
      </c>
      <c r="H50" s="1">
        <v>45578</v>
      </c>
      <c r="I50" t="s">
        <v>167</v>
      </c>
      <c r="J50" t="str">
        <f t="shared" si="1"/>
        <v>Jeremiah Rose</v>
      </c>
      <c r="K50" t="s">
        <v>18</v>
      </c>
      <c r="L50" t="str">
        <f t="shared" si="2"/>
        <v>Orthopedics</v>
      </c>
      <c r="M50" t="s">
        <v>168</v>
      </c>
      <c r="N50" t="str">
        <f t="shared" si="3"/>
        <v>INR</v>
      </c>
      <c r="O50">
        <f t="shared" si="4"/>
        <v>376.08</v>
      </c>
      <c r="P50" cm="1">
        <f t="array" ref="P50">_xlfn.IFS(N50="USD",O50*1,N50="GBP",O50*1.27,N50="EUR",O50*1.09,N50="INR",O50*0.012,N50="N/A","N/A")</f>
        <v>4.5129599999999996</v>
      </c>
      <c r="Q50" t="s">
        <v>30</v>
      </c>
      <c r="R50" t="str" cm="1">
        <f t="array" ref="R50">_xlfn.IFS(Q50="Y","Yes", Q50="Yes","Yes", Q50="N","No", Q50="No","No", Q50=1,"N/A", Q50=0,"N/A", TRUE,"")</f>
        <v>No</v>
      </c>
      <c r="S50">
        <f t="shared" si="5"/>
        <v>12</v>
      </c>
      <c r="T50">
        <f t="shared" si="6"/>
        <v>1</v>
      </c>
      <c r="U50" t="str" cm="1">
        <f t="array" ref="U50">_xlfn.IFS(D50&lt;40,"Young Adult",AND(D50&gt;=40,D50&lt;65),"Middle Aged", D50&gt;=65,"Elderly")</f>
        <v>Young Adult</v>
      </c>
    </row>
    <row r="51" spans="1:21" x14ac:dyDescent="0.2">
      <c r="A51">
        <v>1016</v>
      </c>
      <c r="B51">
        <f t="shared" si="7"/>
        <v>50</v>
      </c>
      <c r="C51" t="s">
        <v>169</v>
      </c>
      <c r="D51">
        <v>35</v>
      </c>
      <c r="E51" t="s">
        <v>2937</v>
      </c>
      <c r="F51" t="str">
        <f t="shared" si="0"/>
        <v>N/A</v>
      </c>
      <c r="G51" s="1">
        <v>46021</v>
      </c>
      <c r="H51" s="1">
        <v>45747</v>
      </c>
      <c r="I51" t="s">
        <v>170</v>
      </c>
      <c r="J51" t="str">
        <f t="shared" si="1"/>
        <v>Nancy Levine Md</v>
      </c>
      <c r="K51" t="s">
        <v>18</v>
      </c>
      <c r="L51" t="str">
        <f t="shared" si="2"/>
        <v>Orthopedics</v>
      </c>
      <c r="M51" t="s">
        <v>171</v>
      </c>
      <c r="N51" t="str">
        <f t="shared" si="3"/>
        <v>EUR</v>
      </c>
      <c r="O51">
        <f t="shared" si="4"/>
        <v>343.51</v>
      </c>
      <c r="P51" cm="1">
        <f t="array" ref="P51">_xlfn.IFS(N51="USD",O51*1,N51="GBP",O51*1.27,N51="EUR",O51*1.09,N51="INR",O51*0.012,N51="N/A","N/A")</f>
        <v>374.42590000000001</v>
      </c>
      <c r="Q51">
        <v>1</v>
      </c>
      <c r="R51" t="str" cm="1">
        <f t="array" ref="R51">_xlfn.IFS(Q51="Y","Yes", Q51="Yes","Yes", Q51="N","No", Q51="No","No", Q51=1,"N/A", Q51=0,"N/A", TRUE,"")</f>
        <v>N/A</v>
      </c>
      <c r="S51">
        <f t="shared" si="5"/>
        <v>15</v>
      </c>
      <c r="T51">
        <f t="shared" si="6"/>
        <v>1</v>
      </c>
      <c r="U51" t="str" cm="1">
        <f t="array" ref="U51">_xlfn.IFS(D51&lt;40,"Young Adult",AND(D51&gt;=40,D51&lt;65),"Middle Aged", D51&gt;=65,"Elderly")</f>
        <v>Young Adult</v>
      </c>
    </row>
    <row r="52" spans="1:21" x14ac:dyDescent="0.2">
      <c r="A52">
        <v>1040</v>
      </c>
      <c r="B52">
        <f t="shared" si="7"/>
        <v>51</v>
      </c>
      <c r="C52" t="s">
        <v>172</v>
      </c>
      <c r="D52">
        <v>26</v>
      </c>
      <c r="E52" t="s">
        <v>51</v>
      </c>
      <c r="F52" t="str">
        <f t="shared" si="0"/>
        <v>Male</v>
      </c>
      <c r="G52" s="1">
        <v>45883</v>
      </c>
      <c r="H52" s="1">
        <v>45446</v>
      </c>
      <c r="I52" t="s">
        <v>173</v>
      </c>
      <c r="J52" t="str">
        <f t="shared" si="1"/>
        <v>Jenny Zuniga</v>
      </c>
      <c r="K52" t="s">
        <v>13</v>
      </c>
      <c r="L52" t="str">
        <f t="shared" si="2"/>
        <v>Cardiology</v>
      </c>
      <c r="M52" t="s">
        <v>174</v>
      </c>
      <c r="N52" t="str">
        <f t="shared" si="3"/>
        <v>INR</v>
      </c>
      <c r="O52">
        <f t="shared" si="4"/>
        <v>185.66</v>
      </c>
      <c r="P52" cm="1">
        <f t="array" ref="P52">_xlfn.IFS(N52="USD",O52*1,N52="GBP",O52*1.27,N52="EUR",O52*1.09,N52="INR",O52*0.012,N52="N/A","N/A")</f>
        <v>2.2279200000000001</v>
      </c>
      <c r="Q52" t="s">
        <v>36</v>
      </c>
      <c r="R52" t="str" cm="1">
        <f t="array" ref="R52">_xlfn.IFS(Q52="Y","Yes", Q52="Yes","Yes", Q52="N","No", Q52="No","No", Q52=1,"N/A", Q52=0,"N/A", TRUE,"")</f>
        <v>Yes</v>
      </c>
      <c r="S52">
        <f t="shared" si="5"/>
        <v>13</v>
      </c>
      <c r="T52">
        <f t="shared" si="6"/>
        <v>1</v>
      </c>
      <c r="U52" t="str" cm="1">
        <f t="array" ref="U52">_xlfn.IFS(D52&lt;40,"Young Adult",AND(D52&gt;=40,D52&lt;65),"Middle Aged", D52&gt;=65,"Elderly")</f>
        <v>Young Adult</v>
      </c>
    </row>
    <row r="53" spans="1:21" x14ac:dyDescent="0.2">
      <c r="A53">
        <v>1042</v>
      </c>
      <c r="B53">
        <f t="shared" si="7"/>
        <v>52</v>
      </c>
      <c r="C53" t="s">
        <v>175</v>
      </c>
      <c r="D53">
        <v>30</v>
      </c>
      <c r="E53" t="s">
        <v>2937</v>
      </c>
      <c r="F53" t="str">
        <f t="shared" si="0"/>
        <v>N/A</v>
      </c>
      <c r="G53" s="1">
        <v>45996</v>
      </c>
      <c r="H53" s="1">
        <v>45538</v>
      </c>
      <c r="I53" t="s">
        <v>176</v>
      </c>
      <c r="J53" t="str">
        <f t="shared" si="1"/>
        <v>Thomas Thomas</v>
      </c>
      <c r="K53" t="s">
        <v>24</v>
      </c>
      <c r="L53" t="str">
        <f t="shared" si="2"/>
        <v>Neurology</v>
      </c>
      <c r="M53" t="s">
        <v>177</v>
      </c>
      <c r="N53" t="str">
        <f t="shared" si="3"/>
        <v>EUR</v>
      </c>
      <c r="O53">
        <f t="shared" si="4"/>
        <v>200.01</v>
      </c>
      <c r="P53" cm="1">
        <f t="array" ref="P53">_xlfn.IFS(N53="USD",O53*1,N53="GBP",O53*1.27,N53="EUR",O53*1.09,N53="INR",O53*0.012,N53="N/A","N/A")</f>
        <v>218.01089999999999</v>
      </c>
      <c r="Q53" t="s">
        <v>20</v>
      </c>
      <c r="R53" t="str" cm="1">
        <f t="array" ref="R53">_xlfn.IFS(Q53="Y","Yes", Q53="Yes","Yes", Q53="N","No", Q53="No","No", Q53=1,"N/A", Q53=0,"N/A", TRUE,"")</f>
        <v>Yes</v>
      </c>
      <c r="S53">
        <f t="shared" si="5"/>
        <v>4</v>
      </c>
      <c r="T53">
        <f t="shared" si="6"/>
        <v>1</v>
      </c>
      <c r="U53" t="str" cm="1">
        <f t="array" ref="U53">_xlfn.IFS(D53&lt;40,"Young Adult",AND(D53&gt;=40,D53&lt;65),"Middle Aged", D53&gt;=65,"Elderly")</f>
        <v>Young Adult</v>
      </c>
    </row>
    <row r="54" spans="1:21" x14ac:dyDescent="0.2">
      <c r="A54">
        <v>1015</v>
      </c>
      <c r="B54">
        <f t="shared" si="7"/>
        <v>53</v>
      </c>
      <c r="C54" t="s">
        <v>178</v>
      </c>
      <c r="D54">
        <v>66</v>
      </c>
      <c r="E54" t="s">
        <v>71</v>
      </c>
      <c r="F54" t="str">
        <f t="shared" si="0"/>
        <v>Male</v>
      </c>
      <c r="G54" s="1">
        <v>46050</v>
      </c>
      <c r="H54" s="1">
        <v>45783</v>
      </c>
      <c r="I54" t="s">
        <v>179</v>
      </c>
      <c r="J54" t="str">
        <f t="shared" si="1"/>
        <v>Christine Calhoun</v>
      </c>
      <c r="K54" t="s">
        <v>24</v>
      </c>
      <c r="L54" t="str">
        <f t="shared" si="2"/>
        <v>Neurology</v>
      </c>
      <c r="M54" t="s">
        <v>180</v>
      </c>
      <c r="N54" t="str">
        <f t="shared" si="3"/>
        <v>USD</v>
      </c>
      <c r="O54">
        <f t="shared" si="4"/>
        <v>367.06</v>
      </c>
      <c r="P54" cm="1">
        <f t="array" ref="P54">_xlfn.IFS(N54="USD",O54*1,N54="GBP",O54*1.27,N54="EUR",O54*1.09,N54="INR",O54*0.012,N54="N/A","N/A")</f>
        <v>367.06</v>
      </c>
      <c r="Q54">
        <v>0</v>
      </c>
      <c r="R54" t="str" cm="1">
        <f t="array" ref="R54">_xlfn.IFS(Q54="Y","Yes", Q54="Yes","Yes", Q54="N","No", Q54="No","No", Q54=1,"N/A", Q54=0,"N/A", TRUE,"")</f>
        <v>N/A</v>
      </c>
      <c r="S54">
        <f t="shared" si="5"/>
        <v>17</v>
      </c>
      <c r="T54">
        <f t="shared" si="6"/>
        <v>1</v>
      </c>
      <c r="U54" t="str" cm="1">
        <f t="array" ref="U54">_xlfn.IFS(D54&lt;40,"Young Adult",AND(D54&gt;=40,D54&lt;65),"Middle Aged", D54&gt;=65,"Elderly")</f>
        <v>Elderly</v>
      </c>
    </row>
    <row r="55" spans="1:21" x14ac:dyDescent="0.2">
      <c r="A55">
        <v>1053</v>
      </c>
      <c r="B55">
        <f t="shared" si="7"/>
        <v>54</v>
      </c>
      <c r="C55" t="s">
        <v>181</v>
      </c>
      <c r="D55">
        <v>49</v>
      </c>
      <c r="E55" t="s">
        <v>51</v>
      </c>
      <c r="F55" t="str">
        <f t="shared" si="0"/>
        <v>Male</v>
      </c>
      <c r="G55" s="1">
        <v>45875</v>
      </c>
      <c r="H55" s="1">
        <v>45739</v>
      </c>
      <c r="I55" t="s">
        <v>182</v>
      </c>
      <c r="J55" t="str">
        <f t="shared" si="1"/>
        <v>Thomas Bennett</v>
      </c>
      <c r="K55" t="s">
        <v>24</v>
      </c>
      <c r="L55" t="str">
        <f t="shared" si="2"/>
        <v>Neurology</v>
      </c>
      <c r="M55" t="s">
        <v>183</v>
      </c>
      <c r="N55" t="str">
        <f t="shared" si="3"/>
        <v>INR</v>
      </c>
      <c r="O55">
        <f t="shared" si="4"/>
        <v>393.4</v>
      </c>
      <c r="P55" cm="1">
        <f t="array" ref="P55">_xlfn.IFS(N55="USD",O55*1,N55="GBP",O55*1.27,N55="EUR",O55*1.09,N55="INR",O55*0.012,N55="N/A","N/A")</f>
        <v>4.7207999999999997</v>
      </c>
      <c r="Q55">
        <v>1</v>
      </c>
      <c r="R55" t="str" cm="1">
        <f t="array" ref="R55">_xlfn.IFS(Q55="Y","Yes", Q55="Yes","Yes", Q55="N","No", Q55="No","No", Q55=1,"N/A", Q55=0,"N/A", TRUE,"")</f>
        <v>N/A</v>
      </c>
      <c r="S55">
        <f t="shared" si="5"/>
        <v>14</v>
      </c>
      <c r="T55">
        <f t="shared" si="6"/>
        <v>1</v>
      </c>
      <c r="U55" t="str" cm="1">
        <f t="array" ref="U55">_xlfn.IFS(D55&lt;40,"Young Adult",AND(D55&gt;=40,D55&lt;65),"Middle Aged", D55&gt;=65,"Elderly")</f>
        <v>Middle Aged</v>
      </c>
    </row>
    <row r="56" spans="1:21" x14ac:dyDescent="0.2">
      <c r="A56">
        <v>1063</v>
      </c>
      <c r="B56">
        <f t="shared" si="7"/>
        <v>55</v>
      </c>
      <c r="C56" t="s">
        <v>184</v>
      </c>
      <c r="D56">
        <v>62</v>
      </c>
      <c r="E56" t="s">
        <v>38</v>
      </c>
      <c r="F56" t="str">
        <f t="shared" si="0"/>
        <v>Female</v>
      </c>
      <c r="G56" s="1">
        <v>46032</v>
      </c>
      <c r="H56" s="1">
        <v>45637</v>
      </c>
      <c r="I56" t="s">
        <v>185</v>
      </c>
      <c r="J56" t="str">
        <f t="shared" si="1"/>
        <v>Christopher Lee</v>
      </c>
      <c r="K56" t="s">
        <v>24</v>
      </c>
      <c r="L56" t="str">
        <f t="shared" si="2"/>
        <v>Neurology</v>
      </c>
      <c r="M56" t="s">
        <v>186</v>
      </c>
      <c r="N56" t="str">
        <f t="shared" si="3"/>
        <v>GBP</v>
      </c>
      <c r="O56">
        <f t="shared" si="4"/>
        <v>387.4</v>
      </c>
      <c r="P56" cm="1">
        <f t="array" ref="P56">_xlfn.IFS(N56="USD",O56*1,N56="GBP",O56*1.27,N56="EUR",O56*1.09,N56="INR",O56*0.012,N56="N/A","N/A")</f>
        <v>491.99799999999999</v>
      </c>
      <c r="Q56">
        <v>0</v>
      </c>
      <c r="R56" t="str" cm="1">
        <f t="array" ref="R56">_xlfn.IFS(Q56="Y","Yes", Q56="Yes","Yes", Q56="N","No", Q56="No","No", Q56=1,"N/A", Q56=0,"N/A", TRUE,"")</f>
        <v>N/A</v>
      </c>
      <c r="S56">
        <f t="shared" si="5"/>
        <v>11</v>
      </c>
      <c r="T56">
        <f t="shared" si="6"/>
        <v>1</v>
      </c>
      <c r="U56" t="str" cm="1">
        <f t="array" ref="U56">_xlfn.IFS(D56&lt;40,"Young Adult",AND(D56&gt;=40,D56&lt;65),"Middle Aged", D56&gt;=65,"Elderly")</f>
        <v>Middle Aged</v>
      </c>
    </row>
    <row r="57" spans="1:21" x14ac:dyDescent="0.2">
      <c r="A57">
        <v>1068</v>
      </c>
      <c r="B57">
        <f t="shared" si="7"/>
        <v>56</v>
      </c>
      <c r="C57" t="s">
        <v>187</v>
      </c>
      <c r="D57">
        <v>63</v>
      </c>
      <c r="E57" t="s">
        <v>16</v>
      </c>
      <c r="F57" t="str">
        <f t="shared" si="0"/>
        <v>Female</v>
      </c>
      <c r="G57" s="1">
        <v>45970</v>
      </c>
      <c r="H57" s="1">
        <v>45910</v>
      </c>
      <c r="I57" t="s">
        <v>188</v>
      </c>
      <c r="J57" t="str">
        <f t="shared" si="1"/>
        <v>Courtney Knight</v>
      </c>
      <c r="K57" t="s">
        <v>18</v>
      </c>
      <c r="L57" t="str">
        <f t="shared" si="2"/>
        <v>Orthopedics</v>
      </c>
      <c r="M57" t="s">
        <v>189</v>
      </c>
      <c r="N57" t="str">
        <f t="shared" si="3"/>
        <v>USD</v>
      </c>
      <c r="O57">
        <f t="shared" si="4"/>
        <v>169.25</v>
      </c>
      <c r="P57" cm="1">
        <f t="array" ref="P57">_xlfn.IFS(N57="USD",O57*1,N57="GBP",O57*1.27,N57="EUR",O57*1.09,N57="INR",O57*0.012,N57="N/A","N/A")</f>
        <v>169.25</v>
      </c>
      <c r="Q57" t="s">
        <v>36</v>
      </c>
      <c r="R57" t="str" cm="1">
        <f t="array" ref="R57">_xlfn.IFS(Q57="Y","Yes", Q57="Yes","Yes", Q57="N","No", Q57="No","No", Q57=1,"N/A", Q57=0,"N/A", TRUE,"")</f>
        <v>Yes</v>
      </c>
      <c r="S57">
        <f t="shared" si="5"/>
        <v>14</v>
      </c>
      <c r="T57">
        <f t="shared" si="6"/>
        <v>1</v>
      </c>
      <c r="U57" t="str" cm="1">
        <f t="array" ref="U57">_xlfn.IFS(D57&lt;40,"Young Adult",AND(D57&gt;=40,D57&lt;65),"Middle Aged", D57&gt;=65,"Elderly")</f>
        <v>Middle Aged</v>
      </c>
    </row>
    <row r="58" spans="1:21" x14ac:dyDescent="0.2">
      <c r="A58">
        <v>1006</v>
      </c>
      <c r="B58">
        <f t="shared" si="7"/>
        <v>57</v>
      </c>
      <c r="C58" t="s">
        <v>190</v>
      </c>
      <c r="D58">
        <v>48</v>
      </c>
      <c r="E58" t="s">
        <v>2937</v>
      </c>
      <c r="F58" t="str">
        <f t="shared" si="0"/>
        <v>N/A</v>
      </c>
      <c r="G58" s="1">
        <v>45847</v>
      </c>
      <c r="H58" s="1">
        <v>45750</v>
      </c>
      <c r="I58" t="s">
        <v>191</v>
      </c>
      <c r="J58" t="str">
        <f t="shared" si="1"/>
        <v>Charles Lopez</v>
      </c>
      <c r="K58" t="s">
        <v>24</v>
      </c>
      <c r="L58" t="str">
        <f t="shared" si="2"/>
        <v>Neurology</v>
      </c>
      <c r="M58" t="s">
        <v>192</v>
      </c>
      <c r="N58" t="str">
        <f t="shared" si="3"/>
        <v>USD</v>
      </c>
      <c r="O58">
        <f t="shared" si="4"/>
        <v>274.81</v>
      </c>
      <c r="P58" cm="1">
        <f t="array" ref="P58">_xlfn.IFS(N58="USD",O58*1,N58="GBP",O58*1.27,N58="EUR",O58*1.09,N58="INR",O58*0.012,N58="N/A","N/A")</f>
        <v>274.81</v>
      </c>
      <c r="Q58">
        <v>1</v>
      </c>
      <c r="R58" t="str" cm="1">
        <f t="array" ref="R58">_xlfn.IFS(Q58="Y","Yes", Q58="Yes","Yes", Q58="N","No", Q58="No","No", Q58=1,"N/A", Q58=0,"N/A", TRUE,"")</f>
        <v>N/A</v>
      </c>
      <c r="S58">
        <f t="shared" si="5"/>
        <v>8</v>
      </c>
      <c r="T58">
        <f t="shared" si="6"/>
        <v>1</v>
      </c>
      <c r="U58" t="str" cm="1">
        <f t="array" ref="U58">_xlfn.IFS(D58&lt;40,"Young Adult",AND(D58&gt;=40,D58&lt;65),"Middle Aged", D58&gt;=65,"Elderly")</f>
        <v>Middle Aged</v>
      </c>
    </row>
    <row r="59" spans="1:21" x14ac:dyDescent="0.2">
      <c r="A59">
        <v>1047</v>
      </c>
      <c r="B59">
        <f t="shared" si="7"/>
        <v>58</v>
      </c>
      <c r="C59" t="s">
        <v>193</v>
      </c>
      <c r="D59">
        <v>87</v>
      </c>
      <c r="E59" t="s">
        <v>51</v>
      </c>
      <c r="F59" t="str">
        <f t="shared" si="0"/>
        <v>Male</v>
      </c>
      <c r="G59" s="1">
        <v>45874</v>
      </c>
      <c r="H59" s="1">
        <v>45691</v>
      </c>
      <c r="I59" t="s">
        <v>194</v>
      </c>
      <c r="J59" t="str">
        <f t="shared" si="1"/>
        <v>Ricky Velazquez</v>
      </c>
      <c r="K59" t="s">
        <v>18</v>
      </c>
      <c r="L59" t="str">
        <f t="shared" si="2"/>
        <v>Orthopedics</v>
      </c>
      <c r="M59" t="s">
        <v>195</v>
      </c>
      <c r="N59" t="str">
        <f t="shared" si="3"/>
        <v>INR</v>
      </c>
      <c r="O59">
        <f t="shared" si="4"/>
        <v>68.81</v>
      </c>
      <c r="P59" cm="1">
        <f t="array" ref="P59">_xlfn.IFS(N59="USD",O59*1,N59="GBP",O59*1.27,N59="EUR",O59*1.09,N59="INR",O59*0.012,N59="N/A","N/A")</f>
        <v>0.82572000000000001</v>
      </c>
      <c r="Q59">
        <v>1</v>
      </c>
      <c r="R59" t="str" cm="1">
        <f t="array" ref="R59">_xlfn.IFS(Q59="Y","Yes", Q59="Yes","Yes", Q59="N","No", Q59="No","No", Q59=1,"N/A", Q59=0,"N/A", TRUE,"")</f>
        <v>N/A</v>
      </c>
      <c r="S59">
        <f t="shared" si="5"/>
        <v>17</v>
      </c>
      <c r="T59">
        <f t="shared" si="6"/>
        <v>1</v>
      </c>
      <c r="U59" t="str" cm="1">
        <f t="array" ref="U59">_xlfn.IFS(D59&lt;40,"Young Adult",AND(D59&gt;=40,D59&lt;65),"Middle Aged", D59&gt;=65,"Elderly")</f>
        <v>Elderly</v>
      </c>
    </row>
    <row r="60" spans="1:21" x14ac:dyDescent="0.2">
      <c r="A60">
        <v>1095</v>
      </c>
      <c r="B60">
        <f t="shared" si="7"/>
        <v>59</v>
      </c>
      <c r="C60" t="s">
        <v>196</v>
      </c>
      <c r="D60">
        <v>58</v>
      </c>
      <c r="E60" t="s">
        <v>38</v>
      </c>
      <c r="F60" t="str">
        <f t="shared" si="0"/>
        <v>Female</v>
      </c>
      <c r="G60" s="1">
        <v>45812</v>
      </c>
      <c r="H60" s="1">
        <v>45683</v>
      </c>
      <c r="I60" t="s">
        <v>197</v>
      </c>
      <c r="J60" t="str">
        <f t="shared" si="1"/>
        <v>Todd Silva</v>
      </c>
      <c r="K60" t="s">
        <v>24</v>
      </c>
      <c r="L60" t="str">
        <f t="shared" si="2"/>
        <v>Neurology</v>
      </c>
      <c r="M60" t="s">
        <v>198</v>
      </c>
      <c r="N60" t="str">
        <f t="shared" si="3"/>
        <v>INR</v>
      </c>
      <c r="O60">
        <f t="shared" si="4"/>
        <v>365.13</v>
      </c>
      <c r="P60" cm="1">
        <f t="array" ref="P60">_xlfn.IFS(N60="USD",O60*1,N60="GBP",O60*1.27,N60="EUR",O60*1.09,N60="INR",O60*0.012,N60="N/A","N/A")</f>
        <v>4.3815600000000003</v>
      </c>
      <c r="Q60">
        <v>0</v>
      </c>
      <c r="R60" t="str" cm="1">
        <f t="array" ref="R60">_xlfn.IFS(Q60="Y","Yes", Q60="Yes","Yes", Q60="N","No", Q60="No","No", Q60=1,"N/A", Q60=0,"N/A", TRUE,"")</f>
        <v>N/A</v>
      </c>
      <c r="S60">
        <f t="shared" si="5"/>
        <v>12</v>
      </c>
      <c r="T60">
        <f t="shared" si="6"/>
        <v>1</v>
      </c>
      <c r="U60" t="str" cm="1">
        <f t="array" ref="U60">_xlfn.IFS(D60&lt;40,"Young Adult",AND(D60&gt;=40,D60&lt;65),"Middle Aged", D60&gt;=65,"Elderly")</f>
        <v>Middle Aged</v>
      </c>
    </row>
    <row r="61" spans="1:21" x14ac:dyDescent="0.2">
      <c r="A61">
        <v>1009</v>
      </c>
      <c r="B61">
        <f t="shared" si="7"/>
        <v>60</v>
      </c>
      <c r="C61" t="s">
        <v>199</v>
      </c>
      <c r="D61">
        <v>63</v>
      </c>
      <c r="E61" t="s">
        <v>71</v>
      </c>
      <c r="F61" t="str">
        <f t="shared" si="0"/>
        <v>Male</v>
      </c>
      <c r="G61" s="1">
        <v>45877</v>
      </c>
      <c r="H61" s="1">
        <v>45801</v>
      </c>
      <c r="I61" t="s">
        <v>200</v>
      </c>
      <c r="J61" t="str">
        <f t="shared" si="1"/>
        <v>Patrick Floyd</v>
      </c>
      <c r="K61" t="s">
        <v>28</v>
      </c>
      <c r="L61" t="str">
        <f t="shared" si="2"/>
        <v>General</v>
      </c>
      <c r="M61" t="s">
        <v>201</v>
      </c>
      <c r="N61" t="str">
        <f t="shared" si="3"/>
        <v>USD</v>
      </c>
      <c r="O61">
        <f t="shared" si="4"/>
        <v>466.97</v>
      </c>
      <c r="P61" cm="1">
        <f t="array" ref="P61">_xlfn.IFS(N61="USD",O61*1,N61="GBP",O61*1.27,N61="EUR",O61*1.09,N61="INR",O61*0.012,N61="N/A","N/A")</f>
        <v>466.97</v>
      </c>
      <c r="Q61" t="s">
        <v>36</v>
      </c>
      <c r="R61" t="str" cm="1">
        <f t="array" ref="R61">_xlfn.IFS(Q61="Y","Yes", Q61="Yes","Yes", Q61="N","No", Q61="No","No", Q61=1,"N/A", Q61=0,"N/A", TRUE,"")</f>
        <v>Yes</v>
      </c>
      <c r="S61">
        <f t="shared" si="5"/>
        <v>9</v>
      </c>
      <c r="T61">
        <f t="shared" si="6"/>
        <v>1</v>
      </c>
      <c r="U61" t="str" cm="1">
        <f t="array" ref="U61">_xlfn.IFS(D61&lt;40,"Young Adult",AND(D61&gt;=40,D61&lt;65),"Middle Aged", D61&gt;=65,"Elderly")</f>
        <v>Middle Aged</v>
      </c>
    </row>
    <row r="62" spans="1:21" x14ac:dyDescent="0.2">
      <c r="A62">
        <v>1078</v>
      </c>
      <c r="B62">
        <f t="shared" si="7"/>
        <v>61</v>
      </c>
      <c r="C62" t="s">
        <v>202</v>
      </c>
      <c r="D62">
        <v>54</v>
      </c>
      <c r="E62" t="s">
        <v>2937</v>
      </c>
      <c r="F62" t="str">
        <f t="shared" si="0"/>
        <v>N/A</v>
      </c>
      <c r="G62" s="1">
        <v>46000</v>
      </c>
      <c r="H62" s="1">
        <v>45850</v>
      </c>
      <c r="I62" t="s">
        <v>203</v>
      </c>
      <c r="J62" t="str">
        <f t="shared" si="1"/>
        <v>James Miller</v>
      </c>
      <c r="K62" t="s">
        <v>28</v>
      </c>
      <c r="L62" t="str">
        <f t="shared" si="2"/>
        <v>General</v>
      </c>
      <c r="M62" t="s">
        <v>204</v>
      </c>
      <c r="N62" t="str">
        <f t="shared" si="3"/>
        <v>INR</v>
      </c>
      <c r="O62">
        <f t="shared" si="4"/>
        <v>484.52</v>
      </c>
      <c r="P62" cm="1">
        <f t="array" ref="P62">_xlfn.IFS(N62="USD",O62*1,N62="GBP",O62*1.27,N62="EUR",O62*1.09,N62="INR",O62*0.012,N62="N/A","N/A")</f>
        <v>5.8142399999999999</v>
      </c>
      <c r="Q62" t="s">
        <v>30</v>
      </c>
      <c r="R62" t="str" cm="1">
        <f t="array" ref="R62">_xlfn.IFS(Q62="Y","Yes", Q62="Yes","Yes", Q62="N","No", Q62="No","No", Q62=1,"N/A", Q62=0,"N/A", TRUE,"")</f>
        <v>No</v>
      </c>
      <c r="S62">
        <f t="shared" si="5"/>
        <v>8</v>
      </c>
      <c r="T62">
        <f t="shared" si="6"/>
        <v>1</v>
      </c>
      <c r="U62" t="str" cm="1">
        <f t="array" ref="U62">_xlfn.IFS(D62&lt;40,"Young Adult",AND(D62&gt;=40,D62&lt;65),"Middle Aged", D62&gt;=65,"Elderly")</f>
        <v>Middle Aged</v>
      </c>
    </row>
    <row r="63" spans="1:21" x14ac:dyDescent="0.2">
      <c r="A63">
        <v>1019</v>
      </c>
      <c r="B63">
        <f t="shared" si="7"/>
        <v>62</v>
      </c>
      <c r="C63" t="s">
        <v>205</v>
      </c>
      <c r="D63">
        <v>35</v>
      </c>
      <c r="E63" t="s">
        <v>16</v>
      </c>
      <c r="F63" t="str">
        <f t="shared" si="0"/>
        <v>Female</v>
      </c>
      <c r="G63" s="1">
        <v>45985</v>
      </c>
      <c r="H63" s="1">
        <v>45601</v>
      </c>
      <c r="I63" t="s">
        <v>206</v>
      </c>
      <c r="J63" t="str">
        <f t="shared" si="1"/>
        <v>Lorraine Figueroa</v>
      </c>
      <c r="K63" t="s">
        <v>18</v>
      </c>
      <c r="L63" t="str">
        <f t="shared" si="2"/>
        <v>Orthopedics</v>
      </c>
      <c r="M63" t="s">
        <v>207</v>
      </c>
      <c r="N63" t="str">
        <f t="shared" si="3"/>
        <v>EUR</v>
      </c>
      <c r="O63">
        <f t="shared" si="4"/>
        <v>114.45</v>
      </c>
      <c r="P63" cm="1">
        <f t="array" ref="P63">_xlfn.IFS(N63="USD",O63*1,N63="GBP",O63*1.27,N63="EUR",O63*1.09,N63="INR",O63*0.012,N63="N/A","N/A")</f>
        <v>124.75050000000002</v>
      </c>
      <c r="Q63" t="s">
        <v>36</v>
      </c>
      <c r="R63" t="str" cm="1">
        <f t="array" ref="R63">_xlfn.IFS(Q63="Y","Yes", Q63="Yes","Yes", Q63="N","No", Q63="No","No", Q63=1,"N/A", Q63=0,"N/A", TRUE,"")</f>
        <v>Yes</v>
      </c>
      <c r="S63">
        <f t="shared" si="5"/>
        <v>6</v>
      </c>
      <c r="T63">
        <f t="shared" si="6"/>
        <v>1</v>
      </c>
      <c r="U63" t="str" cm="1">
        <f t="array" ref="U63">_xlfn.IFS(D63&lt;40,"Young Adult",AND(D63&gt;=40,D63&lt;65),"Middle Aged", D63&gt;=65,"Elderly")</f>
        <v>Young Adult</v>
      </c>
    </row>
    <row r="64" spans="1:21" x14ac:dyDescent="0.2">
      <c r="A64">
        <v>1021</v>
      </c>
      <c r="B64">
        <f t="shared" si="7"/>
        <v>63</v>
      </c>
      <c r="C64" t="s">
        <v>208</v>
      </c>
      <c r="D64">
        <v>39</v>
      </c>
      <c r="E64" t="s">
        <v>22</v>
      </c>
      <c r="F64" t="str">
        <f t="shared" si="0"/>
        <v>Male</v>
      </c>
      <c r="G64" s="1">
        <v>45836</v>
      </c>
      <c r="H64" s="1">
        <v>45378</v>
      </c>
      <c r="I64" t="s">
        <v>209</v>
      </c>
      <c r="J64" t="str">
        <f t="shared" si="1"/>
        <v>Jamie Sosa</v>
      </c>
      <c r="K64" t="s">
        <v>28</v>
      </c>
      <c r="L64" t="str">
        <f t="shared" si="2"/>
        <v>General</v>
      </c>
      <c r="M64" t="s">
        <v>210</v>
      </c>
      <c r="N64" t="str">
        <f t="shared" si="3"/>
        <v>EUR</v>
      </c>
      <c r="O64">
        <f t="shared" si="4"/>
        <v>195.21</v>
      </c>
      <c r="P64" cm="1">
        <f t="array" ref="P64">_xlfn.IFS(N64="USD",O64*1,N64="GBP",O64*1.27,N64="EUR",O64*1.09,N64="INR",O64*0.012,N64="N/A","N/A")</f>
        <v>212.77890000000002</v>
      </c>
      <c r="Q64">
        <v>1</v>
      </c>
      <c r="R64" t="str" cm="1">
        <f t="array" ref="R64">_xlfn.IFS(Q64="Y","Yes", Q64="Yes","Yes", Q64="N","No", Q64="No","No", Q64=1,"N/A", Q64=0,"N/A", TRUE,"")</f>
        <v>N/A</v>
      </c>
      <c r="S64">
        <f t="shared" si="5"/>
        <v>16</v>
      </c>
      <c r="T64">
        <f t="shared" si="6"/>
        <v>1</v>
      </c>
      <c r="U64" t="str" cm="1">
        <f t="array" ref="U64">_xlfn.IFS(D64&lt;40,"Young Adult",AND(D64&gt;=40,D64&lt;65),"Middle Aged", D64&gt;=65,"Elderly")</f>
        <v>Young Adult</v>
      </c>
    </row>
    <row r="65" spans="1:21" x14ac:dyDescent="0.2">
      <c r="A65">
        <v>1018</v>
      </c>
      <c r="B65">
        <f t="shared" si="7"/>
        <v>64</v>
      </c>
      <c r="C65" t="s">
        <v>211</v>
      </c>
      <c r="D65">
        <v>78</v>
      </c>
      <c r="E65" t="s">
        <v>2937</v>
      </c>
      <c r="F65" t="str">
        <f t="shared" si="0"/>
        <v>N/A</v>
      </c>
      <c r="G65" s="1">
        <v>45869</v>
      </c>
      <c r="H65" s="1">
        <v>45832</v>
      </c>
      <c r="I65" t="s">
        <v>212</v>
      </c>
      <c r="J65" t="str">
        <f t="shared" si="1"/>
        <v>Connie Wood</v>
      </c>
      <c r="K65" t="s">
        <v>28</v>
      </c>
      <c r="L65" t="str">
        <f t="shared" si="2"/>
        <v>General</v>
      </c>
      <c r="M65" t="s">
        <v>213</v>
      </c>
      <c r="N65" t="str">
        <f t="shared" si="3"/>
        <v>USD</v>
      </c>
      <c r="O65">
        <f t="shared" si="4"/>
        <v>149.80000000000001</v>
      </c>
      <c r="P65" cm="1">
        <f t="array" ref="P65">_xlfn.IFS(N65="USD",O65*1,N65="GBP",O65*1.27,N65="EUR",O65*1.09,N65="INR",O65*0.012,N65="N/A","N/A")</f>
        <v>149.80000000000001</v>
      </c>
      <c r="Q65">
        <v>1</v>
      </c>
      <c r="R65" t="str" cm="1">
        <f t="array" ref="R65">_xlfn.IFS(Q65="Y","Yes", Q65="Yes","Yes", Q65="N","No", Q65="No","No", Q65=1,"N/A", Q65=0,"N/A", TRUE,"")</f>
        <v>N/A</v>
      </c>
      <c r="S65">
        <f t="shared" si="5"/>
        <v>14</v>
      </c>
      <c r="T65">
        <f t="shared" si="6"/>
        <v>1</v>
      </c>
      <c r="U65" t="str" cm="1">
        <f t="array" ref="U65">_xlfn.IFS(D65&lt;40,"Young Adult",AND(D65&gt;=40,D65&lt;65),"Middle Aged", D65&gt;=65,"Elderly")</f>
        <v>Elderly</v>
      </c>
    </row>
    <row r="66" spans="1:21" x14ac:dyDescent="0.2">
      <c r="A66">
        <v>1077</v>
      </c>
      <c r="B66">
        <f t="shared" si="7"/>
        <v>65</v>
      </c>
      <c r="C66" t="s">
        <v>214</v>
      </c>
      <c r="D66">
        <v>34</v>
      </c>
      <c r="E66" t="s">
        <v>2937</v>
      </c>
      <c r="F66" t="str">
        <f t="shared" si="0"/>
        <v>N/A</v>
      </c>
      <c r="G66" s="1">
        <v>45837</v>
      </c>
      <c r="H66" s="1">
        <v>45630</v>
      </c>
      <c r="I66" t="s">
        <v>215</v>
      </c>
      <c r="J66" t="str">
        <f t="shared" si="1"/>
        <v>Jason Williams</v>
      </c>
      <c r="K66" t="s">
        <v>24</v>
      </c>
      <c r="L66" t="str">
        <f t="shared" si="2"/>
        <v>Neurology</v>
      </c>
      <c r="M66" t="s">
        <v>216</v>
      </c>
      <c r="N66" t="str">
        <f t="shared" si="3"/>
        <v>INR</v>
      </c>
      <c r="O66">
        <f t="shared" si="4"/>
        <v>270.33</v>
      </c>
      <c r="P66" cm="1">
        <f t="array" ref="P66">_xlfn.IFS(N66="USD",O66*1,N66="GBP",O66*1.27,N66="EUR",O66*1.09,N66="INR",O66*0.012,N66="N/A","N/A")</f>
        <v>3.24396</v>
      </c>
      <c r="Q66" t="s">
        <v>60</v>
      </c>
      <c r="R66" t="str" cm="1">
        <f t="array" ref="R66">_xlfn.IFS(Q66="Y","Yes", Q66="Yes","Yes", Q66="N","No", Q66="No","No", Q66=1,"N/A", Q66=0,"N/A", TRUE,"")</f>
        <v>No</v>
      </c>
      <c r="S66">
        <f t="shared" si="5"/>
        <v>10</v>
      </c>
      <c r="T66">
        <f t="shared" si="6"/>
        <v>1</v>
      </c>
      <c r="U66" t="str" cm="1">
        <f t="array" ref="U66">_xlfn.IFS(D66&lt;40,"Young Adult",AND(D66&gt;=40,D66&lt;65),"Middle Aged", D66&gt;=65,"Elderly")</f>
        <v>Young Adult</v>
      </c>
    </row>
    <row r="67" spans="1:21" x14ac:dyDescent="0.2">
      <c r="A67">
        <v>1063</v>
      </c>
      <c r="B67">
        <f t="shared" ref="B67:B130" si="8">ROW()-1</f>
        <v>66</v>
      </c>
      <c r="C67" t="s">
        <v>217</v>
      </c>
      <c r="D67">
        <v>21</v>
      </c>
      <c r="E67" t="s">
        <v>51</v>
      </c>
      <c r="F67" t="str">
        <f t="shared" ref="F67:F130" si="9">IF(E67="male","Male",IF(E67="female","Female",IF(E67="F","Female",IF(E67="M","Male",IF(E67="N/A","N/A")))))</f>
        <v>Male</v>
      </c>
      <c r="G67" s="1">
        <v>45973</v>
      </c>
      <c r="H67" s="1">
        <v>45838</v>
      </c>
      <c r="I67" t="s">
        <v>218</v>
      </c>
      <c r="J67" t="str">
        <f t="shared" ref="J67:J130" si="10">PROPER(I67)</f>
        <v>Alexis Carter</v>
      </c>
      <c r="K67" t="s">
        <v>24</v>
      </c>
      <c r="L67" t="str">
        <f t="shared" ref="L67:L130" si="11">PROPER(K67)</f>
        <v>Neurology</v>
      </c>
      <c r="M67" t="s">
        <v>219</v>
      </c>
      <c r="N67" t="str">
        <f t="shared" ref="N67:N130" si="12">IF(LEFT(M67,1)="$","USD",IF(LEFT(M67,2)="Rs","INR",IF(LEFT(M67,2)="¬£","GBP",IF(LEFT(M67,3)="‚Ç¨","EUR","N/A"))))</f>
        <v>USD</v>
      </c>
      <c r="O67">
        <f t="shared" ref="O67:O130" si="13">IFERROR(VALUE(SUBSTITUTE(SUBSTITUTE(SUBSTITUTE(SUBSTITUTE(M67,"$",""), "Rs",""),"¬£",""),"‚Ç¨","")), "")</f>
        <v>186.24</v>
      </c>
      <c r="P67" cm="1">
        <f t="array" ref="P67">_xlfn.IFS(N67="USD",O67*1,N67="GBP",O67*1.27,N67="EUR",O67*1.09,N67="INR",O67*0.012,N67="N/A","N/A")</f>
        <v>186.24</v>
      </c>
      <c r="Q67" t="s">
        <v>36</v>
      </c>
      <c r="R67" t="str" cm="1">
        <f t="array" ref="R67">_xlfn.IFS(Q67="Y","Yes", Q67="Yes","Yes", Q67="N","No", Q67="No","No", Q67=1,"N/A", Q67=0,"N/A", TRUE,"")</f>
        <v>Yes</v>
      </c>
      <c r="S67">
        <f t="shared" ref="S67:S130" si="14">COUNTIF($A$2:$A$1001, A67)</f>
        <v>11</v>
      </c>
      <c r="T67">
        <f t="shared" ref="T67:T130" si="15">COUNTIFS($A$2:$A$1001, A67, $C$2:$C$1001, C67)</f>
        <v>1</v>
      </c>
      <c r="U67" t="str" cm="1">
        <f t="array" ref="U67">_xlfn.IFS(D67&lt;40,"Young Adult",AND(D67&gt;=40,D67&lt;65),"Middle Aged", D67&gt;=65,"Elderly")</f>
        <v>Young Adult</v>
      </c>
    </row>
    <row r="68" spans="1:21" x14ac:dyDescent="0.2">
      <c r="A68">
        <v>1015</v>
      </c>
      <c r="B68">
        <f t="shared" si="8"/>
        <v>67</v>
      </c>
      <c r="C68" t="s">
        <v>220</v>
      </c>
      <c r="D68">
        <v>37</v>
      </c>
      <c r="E68" t="s">
        <v>2937</v>
      </c>
      <c r="F68" t="str">
        <f t="shared" si="9"/>
        <v>N/A</v>
      </c>
      <c r="G68" s="1">
        <v>45857</v>
      </c>
      <c r="H68" s="1">
        <v>45453</v>
      </c>
      <c r="I68" t="s">
        <v>221</v>
      </c>
      <c r="J68" t="str">
        <f t="shared" si="10"/>
        <v>Rebecca Kim</v>
      </c>
      <c r="K68" t="s">
        <v>18</v>
      </c>
      <c r="L68" t="str">
        <f t="shared" si="11"/>
        <v>Orthopedics</v>
      </c>
      <c r="M68" t="s">
        <v>222</v>
      </c>
      <c r="N68" t="str">
        <f t="shared" si="12"/>
        <v>INR</v>
      </c>
      <c r="O68">
        <f t="shared" si="13"/>
        <v>425.63</v>
      </c>
      <c r="P68" cm="1">
        <f t="array" ref="P68">_xlfn.IFS(N68="USD",O68*1,N68="GBP",O68*1.27,N68="EUR",O68*1.09,N68="INR",O68*0.012,N68="N/A","N/A")</f>
        <v>5.1075600000000003</v>
      </c>
      <c r="Q68" t="s">
        <v>30</v>
      </c>
      <c r="R68" t="str" cm="1">
        <f t="array" ref="R68">_xlfn.IFS(Q68="Y","Yes", Q68="Yes","Yes", Q68="N","No", Q68="No","No", Q68=1,"N/A", Q68=0,"N/A", TRUE,"")</f>
        <v>No</v>
      </c>
      <c r="S68">
        <f t="shared" si="14"/>
        <v>17</v>
      </c>
      <c r="T68">
        <f t="shared" si="15"/>
        <v>1</v>
      </c>
      <c r="U68" t="str" cm="1">
        <f t="array" ref="U68">_xlfn.IFS(D68&lt;40,"Young Adult",AND(D68&gt;=40,D68&lt;65),"Middle Aged", D68&gt;=65,"Elderly")</f>
        <v>Young Adult</v>
      </c>
    </row>
    <row r="69" spans="1:21" x14ac:dyDescent="0.2">
      <c r="A69">
        <v>1068</v>
      </c>
      <c r="B69">
        <f t="shared" si="8"/>
        <v>68</v>
      </c>
      <c r="C69" t="s">
        <v>223</v>
      </c>
      <c r="D69">
        <v>60</v>
      </c>
      <c r="E69" t="s">
        <v>2937</v>
      </c>
      <c r="F69" t="str">
        <f t="shared" si="9"/>
        <v>N/A</v>
      </c>
      <c r="G69" s="1">
        <v>46072</v>
      </c>
      <c r="H69" s="1">
        <v>45609</v>
      </c>
      <c r="I69" t="s">
        <v>224</v>
      </c>
      <c r="J69" t="str">
        <f t="shared" si="10"/>
        <v>Rachel Terry</v>
      </c>
      <c r="K69" t="s">
        <v>24</v>
      </c>
      <c r="L69" t="str">
        <f t="shared" si="11"/>
        <v>Neurology</v>
      </c>
      <c r="M69" t="s">
        <v>225</v>
      </c>
      <c r="N69" t="str">
        <f t="shared" si="12"/>
        <v>GBP</v>
      </c>
      <c r="O69">
        <f t="shared" si="13"/>
        <v>91.77</v>
      </c>
      <c r="P69" cm="1">
        <f t="array" ref="P69">_xlfn.IFS(N69="USD",O69*1,N69="GBP",O69*1.27,N69="EUR",O69*1.09,N69="INR",O69*0.012,N69="N/A","N/A")</f>
        <v>116.5479</v>
      </c>
      <c r="Q69">
        <v>1</v>
      </c>
      <c r="R69" t="str" cm="1">
        <f t="array" ref="R69">_xlfn.IFS(Q69="Y","Yes", Q69="Yes","Yes", Q69="N","No", Q69="No","No", Q69=1,"N/A", Q69=0,"N/A", TRUE,"")</f>
        <v>N/A</v>
      </c>
      <c r="S69">
        <f t="shared" si="14"/>
        <v>14</v>
      </c>
      <c r="T69">
        <f t="shared" si="15"/>
        <v>1</v>
      </c>
      <c r="U69" t="str" cm="1">
        <f t="array" ref="U69">_xlfn.IFS(D69&lt;40,"Young Adult",AND(D69&gt;=40,D69&lt;65),"Middle Aged", D69&gt;=65,"Elderly")</f>
        <v>Middle Aged</v>
      </c>
    </row>
    <row r="70" spans="1:21" x14ac:dyDescent="0.2">
      <c r="A70">
        <v>1010</v>
      </c>
      <c r="B70">
        <f t="shared" si="8"/>
        <v>69</v>
      </c>
      <c r="C70" t="s">
        <v>226</v>
      </c>
      <c r="D70">
        <v>38</v>
      </c>
      <c r="E70" t="s">
        <v>38</v>
      </c>
      <c r="F70" t="str">
        <f t="shared" si="9"/>
        <v>Female</v>
      </c>
      <c r="G70" s="1">
        <v>46064</v>
      </c>
      <c r="H70" s="1">
        <v>45928</v>
      </c>
      <c r="I70" t="s">
        <v>227</v>
      </c>
      <c r="J70" t="str">
        <f t="shared" si="10"/>
        <v>Whitney Hoffman</v>
      </c>
      <c r="K70" t="s">
        <v>18</v>
      </c>
      <c r="L70" t="str">
        <f t="shared" si="11"/>
        <v>Orthopedics</v>
      </c>
      <c r="M70" t="s">
        <v>228</v>
      </c>
      <c r="N70" t="str">
        <f t="shared" si="12"/>
        <v>EUR</v>
      </c>
      <c r="O70">
        <f t="shared" si="13"/>
        <v>91.27</v>
      </c>
      <c r="P70" cm="1">
        <f t="array" ref="P70">_xlfn.IFS(N70="USD",O70*1,N70="GBP",O70*1.27,N70="EUR",O70*1.09,N70="INR",O70*0.012,N70="N/A","N/A")</f>
        <v>99.484300000000005</v>
      </c>
      <c r="Q70" t="s">
        <v>60</v>
      </c>
      <c r="R70" t="str" cm="1">
        <f t="array" ref="R70">_xlfn.IFS(Q70="Y","Yes", Q70="Yes","Yes", Q70="N","No", Q70="No","No", Q70=1,"N/A", Q70=0,"N/A", TRUE,"")</f>
        <v>No</v>
      </c>
      <c r="S70">
        <f t="shared" si="14"/>
        <v>10</v>
      </c>
      <c r="T70">
        <f t="shared" si="15"/>
        <v>1</v>
      </c>
      <c r="U70" t="str" cm="1">
        <f t="array" ref="U70">_xlfn.IFS(D70&lt;40,"Young Adult",AND(D70&gt;=40,D70&lt;65),"Middle Aged", D70&gt;=65,"Elderly")</f>
        <v>Young Adult</v>
      </c>
    </row>
    <row r="71" spans="1:21" x14ac:dyDescent="0.2">
      <c r="A71">
        <v>1034</v>
      </c>
      <c r="B71">
        <f t="shared" si="8"/>
        <v>70</v>
      </c>
      <c r="C71" t="s">
        <v>229</v>
      </c>
      <c r="D71">
        <v>68</v>
      </c>
      <c r="E71" t="s">
        <v>71</v>
      </c>
      <c r="F71" t="str">
        <f t="shared" si="9"/>
        <v>Male</v>
      </c>
      <c r="G71" s="1">
        <v>45843</v>
      </c>
      <c r="H71" s="1">
        <v>45680</v>
      </c>
      <c r="I71" t="s">
        <v>230</v>
      </c>
      <c r="J71" t="str">
        <f t="shared" si="10"/>
        <v>Jennifer Adams</v>
      </c>
      <c r="K71" t="s">
        <v>24</v>
      </c>
      <c r="L71" t="str">
        <f t="shared" si="11"/>
        <v>Neurology</v>
      </c>
      <c r="M71" t="s">
        <v>231</v>
      </c>
      <c r="N71" t="str">
        <f t="shared" si="12"/>
        <v>GBP</v>
      </c>
      <c r="O71">
        <f t="shared" si="13"/>
        <v>453.06</v>
      </c>
      <c r="P71" cm="1">
        <f t="array" ref="P71">_xlfn.IFS(N71="USD",O71*1,N71="GBP",O71*1.27,N71="EUR",O71*1.09,N71="INR",O71*0.012,N71="N/A","N/A")</f>
        <v>575.38620000000003</v>
      </c>
      <c r="Q71" t="s">
        <v>60</v>
      </c>
      <c r="R71" t="str" cm="1">
        <f t="array" ref="R71">_xlfn.IFS(Q71="Y","Yes", Q71="Yes","Yes", Q71="N","No", Q71="No","No", Q71=1,"N/A", Q71=0,"N/A", TRUE,"")</f>
        <v>No</v>
      </c>
      <c r="S71">
        <f t="shared" si="14"/>
        <v>8</v>
      </c>
      <c r="T71">
        <f t="shared" si="15"/>
        <v>1</v>
      </c>
      <c r="U71" t="str" cm="1">
        <f t="array" ref="U71">_xlfn.IFS(D71&lt;40,"Young Adult",AND(D71&gt;=40,D71&lt;65),"Middle Aged", D71&gt;=65,"Elderly")</f>
        <v>Elderly</v>
      </c>
    </row>
    <row r="72" spans="1:21" x14ac:dyDescent="0.2">
      <c r="A72">
        <v>1095</v>
      </c>
      <c r="B72">
        <f t="shared" si="8"/>
        <v>71</v>
      </c>
      <c r="C72" t="s">
        <v>232</v>
      </c>
      <c r="D72">
        <v>86</v>
      </c>
      <c r="E72" t="s">
        <v>2937</v>
      </c>
      <c r="F72" t="str">
        <f t="shared" si="9"/>
        <v>N/A</v>
      </c>
      <c r="G72" s="1">
        <v>45833</v>
      </c>
      <c r="H72" s="1">
        <v>45406</v>
      </c>
      <c r="I72" t="s">
        <v>233</v>
      </c>
      <c r="J72" t="str">
        <f t="shared" si="10"/>
        <v>Sherri Long</v>
      </c>
      <c r="K72" t="s">
        <v>13</v>
      </c>
      <c r="L72" t="str">
        <f t="shared" si="11"/>
        <v>Cardiology</v>
      </c>
      <c r="M72" t="s">
        <v>234</v>
      </c>
      <c r="N72" t="str">
        <f t="shared" si="12"/>
        <v>EUR</v>
      </c>
      <c r="O72">
        <f t="shared" si="13"/>
        <v>61.37</v>
      </c>
      <c r="P72" cm="1">
        <f t="array" ref="P72">_xlfn.IFS(N72="USD",O72*1,N72="GBP",O72*1.27,N72="EUR",O72*1.09,N72="INR",O72*0.012,N72="N/A","N/A")</f>
        <v>66.893299999999996</v>
      </c>
      <c r="Q72" t="s">
        <v>36</v>
      </c>
      <c r="R72" t="str" cm="1">
        <f t="array" ref="R72">_xlfn.IFS(Q72="Y","Yes", Q72="Yes","Yes", Q72="N","No", Q72="No","No", Q72=1,"N/A", Q72=0,"N/A", TRUE,"")</f>
        <v>Yes</v>
      </c>
      <c r="S72">
        <f t="shared" si="14"/>
        <v>12</v>
      </c>
      <c r="T72">
        <f t="shared" si="15"/>
        <v>1</v>
      </c>
      <c r="U72" t="str" cm="1">
        <f t="array" ref="U72">_xlfn.IFS(D72&lt;40,"Young Adult",AND(D72&gt;=40,D72&lt;65),"Middle Aged", D72&gt;=65,"Elderly")</f>
        <v>Elderly</v>
      </c>
    </row>
    <row r="73" spans="1:21" x14ac:dyDescent="0.2">
      <c r="A73">
        <v>1070</v>
      </c>
      <c r="B73">
        <f t="shared" si="8"/>
        <v>72</v>
      </c>
      <c r="C73" t="s">
        <v>235</v>
      </c>
      <c r="D73">
        <v>85</v>
      </c>
      <c r="E73" t="s">
        <v>2937</v>
      </c>
      <c r="F73" t="str">
        <f t="shared" si="9"/>
        <v>N/A</v>
      </c>
      <c r="G73" s="1">
        <v>45910</v>
      </c>
      <c r="H73" s="1">
        <v>45524</v>
      </c>
      <c r="I73" t="s">
        <v>236</v>
      </c>
      <c r="J73" t="str">
        <f t="shared" si="10"/>
        <v>Glen Diaz</v>
      </c>
      <c r="K73" t="s">
        <v>24</v>
      </c>
      <c r="L73" t="str">
        <f t="shared" si="11"/>
        <v>Neurology</v>
      </c>
      <c r="M73" t="s">
        <v>237</v>
      </c>
      <c r="N73" t="str">
        <f t="shared" si="12"/>
        <v>USD</v>
      </c>
      <c r="O73">
        <f t="shared" si="13"/>
        <v>185.52</v>
      </c>
      <c r="P73" cm="1">
        <f t="array" ref="P73">_xlfn.IFS(N73="USD",O73*1,N73="GBP",O73*1.27,N73="EUR",O73*1.09,N73="INR",O73*0.012,N73="N/A","N/A")</f>
        <v>185.52</v>
      </c>
      <c r="Q73" t="s">
        <v>30</v>
      </c>
      <c r="R73" t="str" cm="1">
        <f t="array" ref="R73">_xlfn.IFS(Q73="Y","Yes", Q73="Yes","Yes", Q73="N","No", Q73="No","No", Q73=1,"N/A", Q73=0,"N/A", TRUE,"")</f>
        <v>No</v>
      </c>
      <c r="S73">
        <f t="shared" si="14"/>
        <v>13</v>
      </c>
      <c r="T73">
        <f t="shared" si="15"/>
        <v>1</v>
      </c>
      <c r="U73" t="str" cm="1">
        <f t="array" ref="U73">_xlfn.IFS(D73&lt;40,"Young Adult",AND(D73&gt;=40,D73&lt;65),"Middle Aged", D73&gt;=65,"Elderly")</f>
        <v>Elderly</v>
      </c>
    </row>
    <row r="74" spans="1:21" x14ac:dyDescent="0.2">
      <c r="A74">
        <v>1099</v>
      </c>
      <c r="B74">
        <f t="shared" si="8"/>
        <v>73</v>
      </c>
      <c r="C74" t="s">
        <v>238</v>
      </c>
      <c r="D74">
        <v>28</v>
      </c>
      <c r="E74" t="s">
        <v>16</v>
      </c>
      <c r="F74" t="str">
        <f t="shared" si="9"/>
        <v>Female</v>
      </c>
      <c r="G74" s="1">
        <v>45859</v>
      </c>
      <c r="H74" s="1">
        <v>45852</v>
      </c>
      <c r="I74" t="s">
        <v>239</v>
      </c>
      <c r="J74" t="str">
        <f t="shared" si="10"/>
        <v>Miss Julie Rodriguez</v>
      </c>
      <c r="K74" t="s">
        <v>24</v>
      </c>
      <c r="L74" t="str">
        <f t="shared" si="11"/>
        <v>Neurology</v>
      </c>
      <c r="M74" t="s">
        <v>240</v>
      </c>
      <c r="N74" t="str">
        <f t="shared" si="12"/>
        <v>GBP</v>
      </c>
      <c r="O74">
        <f t="shared" si="13"/>
        <v>112.48</v>
      </c>
      <c r="P74" cm="1">
        <f t="array" ref="P74">_xlfn.IFS(N74="USD",O74*1,N74="GBP",O74*1.27,N74="EUR",O74*1.09,N74="INR",O74*0.012,N74="N/A","N/A")</f>
        <v>142.84960000000001</v>
      </c>
      <c r="Q74" t="s">
        <v>20</v>
      </c>
      <c r="R74" t="str" cm="1">
        <f t="array" ref="R74">_xlfn.IFS(Q74="Y","Yes", Q74="Yes","Yes", Q74="N","No", Q74="No","No", Q74=1,"N/A", Q74=0,"N/A", TRUE,"")</f>
        <v>Yes</v>
      </c>
      <c r="S74">
        <f t="shared" si="14"/>
        <v>7</v>
      </c>
      <c r="T74">
        <f t="shared" si="15"/>
        <v>1</v>
      </c>
      <c r="U74" t="str" cm="1">
        <f t="array" ref="U74">_xlfn.IFS(D74&lt;40,"Young Adult",AND(D74&gt;=40,D74&lt;65),"Middle Aged", D74&gt;=65,"Elderly")</f>
        <v>Young Adult</v>
      </c>
    </row>
    <row r="75" spans="1:21" x14ac:dyDescent="0.2">
      <c r="A75">
        <v>1022</v>
      </c>
      <c r="B75">
        <f t="shared" si="8"/>
        <v>74</v>
      </c>
      <c r="C75" t="s">
        <v>241</v>
      </c>
      <c r="D75">
        <v>23</v>
      </c>
      <c r="E75" t="s">
        <v>38</v>
      </c>
      <c r="F75" t="str">
        <f t="shared" si="9"/>
        <v>Female</v>
      </c>
      <c r="G75" s="1">
        <v>46072</v>
      </c>
      <c r="H75" s="1">
        <v>45551</v>
      </c>
      <c r="I75" t="s">
        <v>242</v>
      </c>
      <c r="J75" t="str">
        <f t="shared" si="10"/>
        <v>Andrea Cruz</v>
      </c>
      <c r="K75" t="s">
        <v>18</v>
      </c>
      <c r="L75" t="str">
        <f t="shared" si="11"/>
        <v>Orthopedics</v>
      </c>
      <c r="M75" t="s">
        <v>243</v>
      </c>
      <c r="N75" t="str">
        <f t="shared" si="12"/>
        <v>USD</v>
      </c>
      <c r="O75">
        <f t="shared" si="13"/>
        <v>382.34</v>
      </c>
      <c r="P75" cm="1">
        <f t="array" ref="P75">_xlfn.IFS(N75="USD",O75*1,N75="GBP",O75*1.27,N75="EUR",O75*1.09,N75="INR",O75*0.012,N75="N/A","N/A")</f>
        <v>382.34</v>
      </c>
      <c r="Q75" t="s">
        <v>36</v>
      </c>
      <c r="R75" t="str" cm="1">
        <f t="array" ref="R75">_xlfn.IFS(Q75="Y","Yes", Q75="Yes","Yes", Q75="N","No", Q75="No","No", Q75=1,"N/A", Q75=0,"N/A", TRUE,"")</f>
        <v>Yes</v>
      </c>
      <c r="S75">
        <f t="shared" si="14"/>
        <v>9</v>
      </c>
      <c r="T75">
        <f t="shared" si="15"/>
        <v>1</v>
      </c>
      <c r="U75" t="str" cm="1">
        <f t="array" ref="U75">_xlfn.IFS(D75&lt;40,"Young Adult",AND(D75&gt;=40,D75&lt;65),"Middle Aged", D75&gt;=65,"Elderly")</f>
        <v>Young Adult</v>
      </c>
    </row>
    <row r="76" spans="1:21" x14ac:dyDescent="0.2">
      <c r="A76">
        <v>1095</v>
      </c>
      <c r="B76">
        <f t="shared" si="8"/>
        <v>75</v>
      </c>
      <c r="C76" t="s">
        <v>244</v>
      </c>
      <c r="D76">
        <v>86</v>
      </c>
      <c r="E76" t="s">
        <v>16</v>
      </c>
      <c r="F76" t="str">
        <f t="shared" si="9"/>
        <v>Female</v>
      </c>
      <c r="G76" s="1">
        <v>45952</v>
      </c>
      <c r="H76" s="1">
        <v>45857</v>
      </c>
      <c r="I76" t="s">
        <v>245</v>
      </c>
      <c r="J76" t="str">
        <f t="shared" si="10"/>
        <v>Brandi Hale</v>
      </c>
      <c r="K76" t="s">
        <v>18</v>
      </c>
      <c r="L76" t="str">
        <f t="shared" si="11"/>
        <v>Orthopedics</v>
      </c>
      <c r="M76" t="s">
        <v>246</v>
      </c>
      <c r="N76" t="str">
        <f t="shared" si="12"/>
        <v>INR</v>
      </c>
      <c r="O76">
        <f t="shared" si="13"/>
        <v>168.18</v>
      </c>
      <c r="P76" cm="1">
        <f t="array" ref="P76">_xlfn.IFS(N76="USD",O76*1,N76="GBP",O76*1.27,N76="EUR",O76*1.09,N76="INR",O76*0.012,N76="N/A","N/A")</f>
        <v>2.01816</v>
      </c>
      <c r="Q76" t="s">
        <v>36</v>
      </c>
      <c r="R76" t="str" cm="1">
        <f t="array" ref="R76">_xlfn.IFS(Q76="Y","Yes", Q76="Yes","Yes", Q76="N","No", Q76="No","No", Q76=1,"N/A", Q76=0,"N/A", TRUE,"")</f>
        <v>Yes</v>
      </c>
      <c r="S76">
        <f t="shared" si="14"/>
        <v>12</v>
      </c>
      <c r="T76">
        <f t="shared" si="15"/>
        <v>1</v>
      </c>
      <c r="U76" t="str" cm="1">
        <f t="array" ref="U76">_xlfn.IFS(D76&lt;40,"Young Adult",AND(D76&gt;=40,D76&lt;65),"Middle Aged", D76&gt;=65,"Elderly")</f>
        <v>Elderly</v>
      </c>
    </row>
    <row r="77" spans="1:21" x14ac:dyDescent="0.2">
      <c r="A77">
        <v>1061</v>
      </c>
      <c r="B77">
        <f t="shared" si="8"/>
        <v>76</v>
      </c>
      <c r="C77" t="s">
        <v>247</v>
      </c>
      <c r="D77">
        <v>66</v>
      </c>
      <c r="E77" t="s">
        <v>38</v>
      </c>
      <c r="F77" t="str">
        <f t="shared" si="9"/>
        <v>Female</v>
      </c>
      <c r="G77" s="1">
        <v>45889</v>
      </c>
      <c r="H77" s="1">
        <v>45724</v>
      </c>
      <c r="I77" t="s">
        <v>248</v>
      </c>
      <c r="J77" t="str">
        <f t="shared" si="10"/>
        <v>Crystal Mack</v>
      </c>
      <c r="K77" t="s">
        <v>24</v>
      </c>
      <c r="L77" t="str">
        <f t="shared" si="11"/>
        <v>Neurology</v>
      </c>
      <c r="N77" t="str">
        <f t="shared" si="12"/>
        <v>N/A</v>
      </c>
      <c r="O77" t="str">
        <f t="shared" si="13"/>
        <v/>
      </c>
      <c r="P77" t="str" cm="1">
        <f t="array" ref="P77">_xlfn.IFS(N77="USD",O77*1,N77="GBP",O77*1.27,N77="EUR",O77*1.09,N77="INR",O77*0.012,N77="N/A","N/A")</f>
        <v>N/A</v>
      </c>
      <c r="Q77" t="s">
        <v>36</v>
      </c>
      <c r="R77" t="str" cm="1">
        <f t="array" ref="R77">_xlfn.IFS(Q77="Y","Yes", Q77="Yes","Yes", Q77="N","No", Q77="No","No", Q77=1,"N/A", Q77=0,"N/A", TRUE,"")</f>
        <v>Yes</v>
      </c>
      <c r="S77">
        <f t="shared" si="14"/>
        <v>8</v>
      </c>
      <c r="T77">
        <f t="shared" si="15"/>
        <v>1</v>
      </c>
      <c r="U77" t="str" cm="1">
        <f t="array" ref="U77">_xlfn.IFS(D77&lt;40,"Young Adult",AND(D77&gt;=40,D77&lt;65),"Middle Aged", D77&gt;=65,"Elderly")</f>
        <v>Elderly</v>
      </c>
    </row>
    <row r="78" spans="1:21" x14ac:dyDescent="0.2">
      <c r="A78">
        <v>1088</v>
      </c>
      <c r="B78">
        <f t="shared" si="8"/>
        <v>77</v>
      </c>
      <c r="C78" t="s">
        <v>249</v>
      </c>
      <c r="D78">
        <v>22</v>
      </c>
      <c r="E78" t="s">
        <v>51</v>
      </c>
      <c r="F78" t="str">
        <f t="shared" si="9"/>
        <v>Male</v>
      </c>
      <c r="G78" s="1">
        <v>45963</v>
      </c>
      <c r="H78" s="1">
        <v>45771</v>
      </c>
      <c r="I78" t="s">
        <v>250</v>
      </c>
      <c r="J78" t="str">
        <f t="shared" si="10"/>
        <v>Drew Bartlett</v>
      </c>
      <c r="K78" t="s">
        <v>28</v>
      </c>
      <c r="L78" t="str">
        <f t="shared" si="11"/>
        <v>General</v>
      </c>
      <c r="M78" t="s">
        <v>251</v>
      </c>
      <c r="N78" t="str">
        <f t="shared" si="12"/>
        <v>USD</v>
      </c>
      <c r="O78">
        <f t="shared" si="13"/>
        <v>206.53</v>
      </c>
      <c r="P78" cm="1">
        <f t="array" ref="P78">_xlfn.IFS(N78="USD",O78*1,N78="GBP",O78*1.27,N78="EUR",O78*1.09,N78="INR",O78*0.012,N78="N/A","N/A")</f>
        <v>206.53</v>
      </c>
      <c r="Q78">
        <v>1</v>
      </c>
      <c r="R78" t="str" cm="1">
        <f t="array" ref="R78">_xlfn.IFS(Q78="Y","Yes", Q78="Yes","Yes", Q78="N","No", Q78="No","No", Q78=1,"N/A", Q78=0,"N/A", TRUE,"")</f>
        <v>N/A</v>
      </c>
      <c r="S78">
        <f t="shared" si="14"/>
        <v>16</v>
      </c>
      <c r="T78">
        <f t="shared" si="15"/>
        <v>1</v>
      </c>
      <c r="U78" t="str" cm="1">
        <f t="array" ref="U78">_xlfn.IFS(D78&lt;40,"Young Adult",AND(D78&gt;=40,D78&lt;65),"Middle Aged", D78&gt;=65,"Elderly")</f>
        <v>Young Adult</v>
      </c>
    </row>
    <row r="79" spans="1:21" x14ac:dyDescent="0.2">
      <c r="A79">
        <v>1008</v>
      </c>
      <c r="B79">
        <f t="shared" si="8"/>
        <v>78</v>
      </c>
      <c r="C79" t="s">
        <v>252</v>
      </c>
      <c r="D79">
        <v>69</v>
      </c>
      <c r="E79" t="s">
        <v>16</v>
      </c>
      <c r="F79" t="str">
        <f t="shared" si="9"/>
        <v>Female</v>
      </c>
      <c r="G79" s="1">
        <v>45931</v>
      </c>
      <c r="H79" s="1">
        <v>45435</v>
      </c>
      <c r="I79" t="s">
        <v>253</v>
      </c>
      <c r="J79" t="str">
        <f t="shared" si="10"/>
        <v>Susan Brown</v>
      </c>
      <c r="K79" t="s">
        <v>18</v>
      </c>
      <c r="L79" t="str">
        <f t="shared" si="11"/>
        <v>Orthopedics</v>
      </c>
      <c r="M79" t="s">
        <v>254</v>
      </c>
      <c r="N79" t="str">
        <f t="shared" si="12"/>
        <v>USD</v>
      </c>
      <c r="O79">
        <f t="shared" si="13"/>
        <v>258.20999999999998</v>
      </c>
      <c r="P79" cm="1">
        <f t="array" ref="P79">_xlfn.IFS(N79="USD",O79*1,N79="GBP",O79*1.27,N79="EUR",O79*1.09,N79="INR",O79*0.012,N79="N/A","N/A")</f>
        <v>258.20999999999998</v>
      </c>
      <c r="Q79">
        <v>0</v>
      </c>
      <c r="R79" t="str" cm="1">
        <f t="array" ref="R79">_xlfn.IFS(Q79="Y","Yes", Q79="Yes","Yes", Q79="N","No", Q79="No","No", Q79=1,"N/A", Q79=0,"N/A", TRUE,"")</f>
        <v>N/A</v>
      </c>
      <c r="S79">
        <f t="shared" si="14"/>
        <v>11</v>
      </c>
      <c r="T79">
        <f t="shared" si="15"/>
        <v>1</v>
      </c>
      <c r="U79" t="str" cm="1">
        <f t="array" ref="U79">_xlfn.IFS(D79&lt;40,"Young Adult",AND(D79&gt;=40,D79&lt;65),"Middle Aged", D79&gt;=65,"Elderly")</f>
        <v>Elderly</v>
      </c>
    </row>
    <row r="80" spans="1:21" x14ac:dyDescent="0.2">
      <c r="A80">
        <v>1014</v>
      </c>
      <c r="B80">
        <f t="shared" si="8"/>
        <v>79</v>
      </c>
      <c r="C80" t="s">
        <v>255</v>
      </c>
      <c r="D80">
        <v>26</v>
      </c>
      <c r="E80" t="s">
        <v>2937</v>
      </c>
      <c r="F80" t="str">
        <f t="shared" si="9"/>
        <v>N/A</v>
      </c>
      <c r="G80" s="1">
        <v>45928</v>
      </c>
      <c r="H80" s="1">
        <v>45481</v>
      </c>
      <c r="I80" t="s">
        <v>256</v>
      </c>
      <c r="J80" t="str">
        <f t="shared" si="10"/>
        <v>Jim Patterson</v>
      </c>
      <c r="K80" t="s">
        <v>13</v>
      </c>
      <c r="L80" t="str">
        <f t="shared" si="11"/>
        <v>Cardiology</v>
      </c>
      <c r="M80" t="s">
        <v>257</v>
      </c>
      <c r="N80" t="str">
        <f t="shared" si="12"/>
        <v>EUR</v>
      </c>
      <c r="O80">
        <f t="shared" si="13"/>
        <v>253.4</v>
      </c>
      <c r="P80" cm="1">
        <f t="array" ref="P80">_xlfn.IFS(N80="USD",O80*1,N80="GBP",O80*1.27,N80="EUR",O80*1.09,N80="INR",O80*0.012,N80="N/A","N/A")</f>
        <v>276.20600000000002</v>
      </c>
      <c r="Q80">
        <v>1</v>
      </c>
      <c r="R80" t="str" cm="1">
        <f t="array" ref="R80">_xlfn.IFS(Q80="Y","Yes", Q80="Yes","Yes", Q80="N","No", Q80="No","No", Q80=1,"N/A", Q80=0,"N/A", TRUE,"")</f>
        <v>N/A</v>
      </c>
      <c r="S80">
        <f t="shared" si="14"/>
        <v>10</v>
      </c>
      <c r="T80">
        <f t="shared" si="15"/>
        <v>1</v>
      </c>
      <c r="U80" t="str" cm="1">
        <f t="array" ref="U80">_xlfn.IFS(D80&lt;40,"Young Adult",AND(D80&gt;=40,D80&lt;65),"Middle Aged", D80&gt;=65,"Elderly")</f>
        <v>Young Adult</v>
      </c>
    </row>
    <row r="81" spans="1:21" x14ac:dyDescent="0.2">
      <c r="A81">
        <v>1005</v>
      </c>
      <c r="B81">
        <f t="shared" si="8"/>
        <v>80</v>
      </c>
      <c r="C81" t="s">
        <v>258</v>
      </c>
      <c r="D81">
        <v>69</v>
      </c>
      <c r="E81" t="s">
        <v>22</v>
      </c>
      <c r="F81" t="str">
        <f t="shared" si="9"/>
        <v>Male</v>
      </c>
      <c r="G81" s="1">
        <v>46083</v>
      </c>
      <c r="H81" s="1">
        <v>45617</v>
      </c>
      <c r="I81" t="s">
        <v>259</v>
      </c>
      <c r="J81" t="str">
        <f t="shared" si="10"/>
        <v>Heather Everett</v>
      </c>
      <c r="K81" t="s">
        <v>28</v>
      </c>
      <c r="L81" t="str">
        <f t="shared" si="11"/>
        <v>General</v>
      </c>
      <c r="M81" t="s">
        <v>260</v>
      </c>
      <c r="N81" t="str">
        <f t="shared" si="12"/>
        <v>INR</v>
      </c>
      <c r="O81">
        <f t="shared" si="13"/>
        <v>83.09</v>
      </c>
      <c r="P81" cm="1">
        <f t="array" ref="P81">_xlfn.IFS(N81="USD",O81*1,N81="GBP",O81*1.27,N81="EUR",O81*1.09,N81="INR",O81*0.012,N81="N/A","N/A")</f>
        <v>0.99708000000000008</v>
      </c>
      <c r="Q81">
        <v>1</v>
      </c>
      <c r="R81" t="str" cm="1">
        <f t="array" ref="R81">_xlfn.IFS(Q81="Y","Yes", Q81="Yes","Yes", Q81="N","No", Q81="No","No", Q81=1,"N/A", Q81=0,"N/A", TRUE,"")</f>
        <v>N/A</v>
      </c>
      <c r="S81">
        <f t="shared" si="14"/>
        <v>13</v>
      </c>
      <c r="T81">
        <f t="shared" si="15"/>
        <v>1</v>
      </c>
      <c r="U81" t="str" cm="1">
        <f t="array" ref="U81">_xlfn.IFS(D81&lt;40,"Young Adult",AND(D81&gt;=40,D81&lt;65),"Middle Aged", D81&gt;=65,"Elderly")</f>
        <v>Elderly</v>
      </c>
    </row>
    <row r="82" spans="1:21" x14ac:dyDescent="0.2">
      <c r="A82">
        <v>1098</v>
      </c>
      <c r="B82">
        <f t="shared" si="8"/>
        <v>81</v>
      </c>
      <c r="C82" t="s">
        <v>261</v>
      </c>
      <c r="D82">
        <v>35</v>
      </c>
      <c r="E82" t="s">
        <v>38</v>
      </c>
      <c r="F82" t="str">
        <f t="shared" si="9"/>
        <v>Female</v>
      </c>
      <c r="G82" s="1">
        <v>46094</v>
      </c>
      <c r="H82" s="1">
        <v>45865</v>
      </c>
      <c r="I82" t="s">
        <v>262</v>
      </c>
      <c r="J82" t="str">
        <f t="shared" si="10"/>
        <v>Katherine Sanders</v>
      </c>
      <c r="K82" t="s">
        <v>18</v>
      </c>
      <c r="L82" t="str">
        <f t="shared" si="11"/>
        <v>Orthopedics</v>
      </c>
      <c r="M82" t="s">
        <v>263</v>
      </c>
      <c r="N82" t="str">
        <f t="shared" si="12"/>
        <v>USD</v>
      </c>
      <c r="O82">
        <f t="shared" si="13"/>
        <v>80.38</v>
      </c>
      <c r="P82" cm="1">
        <f t="array" ref="P82">_xlfn.IFS(N82="USD",O82*1,N82="GBP",O82*1.27,N82="EUR",O82*1.09,N82="INR",O82*0.012,N82="N/A","N/A")</f>
        <v>80.38</v>
      </c>
      <c r="Q82">
        <v>1</v>
      </c>
      <c r="R82" t="str" cm="1">
        <f t="array" ref="R82">_xlfn.IFS(Q82="Y","Yes", Q82="Yes","Yes", Q82="N","No", Q82="No","No", Q82=1,"N/A", Q82=0,"N/A", TRUE,"")</f>
        <v>N/A</v>
      </c>
      <c r="S82">
        <f t="shared" si="14"/>
        <v>12</v>
      </c>
      <c r="T82">
        <f t="shared" si="15"/>
        <v>1</v>
      </c>
      <c r="U82" t="str" cm="1">
        <f t="array" ref="U82">_xlfn.IFS(D82&lt;40,"Young Adult",AND(D82&gt;=40,D82&lt;65),"Middle Aged", D82&gt;=65,"Elderly")</f>
        <v>Young Adult</v>
      </c>
    </row>
    <row r="83" spans="1:21" x14ac:dyDescent="0.2">
      <c r="A83">
        <v>1074</v>
      </c>
      <c r="B83">
        <f t="shared" si="8"/>
        <v>82</v>
      </c>
      <c r="C83" t="s">
        <v>264</v>
      </c>
      <c r="D83">
        <v>23</v>
      </c>
      <c r="E83" t="s">
        <v>2937</v>
      </c>
      <c r="F83" t="str">
        <f t="shared" si="9"/>
        <v>N/A</v>
      </c>
      <c r="G83" s="1">
        <v>46004</v>
      </c>
      <c r="H83" s="1">
        <v>45826</v>
      </c>
      <c r="I83" t="s">
        <v>265</v>
      </c>
      <c r="J83" t="str">
        <f t="shared" si="10"/>
        <v>Virginia Lang</v>
      </c>
      <c r="K83" t="s">
        <v>18</v>
      </c>
      <c r="L83" t="str">
        <f t="shared" si="11"/>
        <v>Orthopedics</v>
      </c>
      <c r="M83" t="s">
        <v>266</v>
      </c>
      <c r="N83" t="str">
        <f t="shared" si="12"/>
        <v>INR</v>
      </c>
      <c r="O83">
        <f t="shared" si="13"/>
        <v>260.39999999999998</v>
      </c>
      <c r="P83" cm="1">
        <f t="array" ref="P83">_xlfn.IFS(N83="USD",O83*1,N83="GBP",O83*1.27,N83="EUR",O83*1.09,N83="INR",O83*0.012,N83="N/A","N/A")</f>
        <v>3.1247999999999996</v>
      </c>
      <c r="Q83" t="s">
        <v>20</v>
      </c>
      <c r="R83" t="str" cm="1">
        <f t="array" ref="R83">_xlfn.IFS(Q83="Y","Yes", Q83="Yes","Yes", Q83="N","No", Q83="No","No", Q83=1,"N/A", Q83=0,"N/A", TRUE,"")</f>
        <v>Yes</v>
      </c>
      <c r="S83">
        <f t="shared" si="14"/>
        <v>17</v>
      </c>
      <c r="T83">
        <f t="shared" si="15"/>
        <v>1</v>
      </c>
      <c r="U83" t="str" cm="1">
        <f t="array" ref="U83">_xlfn.IFS(D83&lt;40,"Young Adult",AND(D83&gt;=40,D83&lt;65),"Middle Aged", D83&gt;=65,"Elderly")</f>
        <v>Young Adult</v>
      </c>
    </row>
    <row r="84" spans="1:21" x14ac:dyDescent="0.2">
      <c r="A84">
        <v>1097</v>
      </c>
      <c r="B84">
        <f t="shared" si="8"/>
        <v>83</v>
      </c>
      <c r="C84" t="s">
        <v>267</v>
      </c>
      <c r="D84">
        <v>50</v>
      </c>
      <c r="E84" t="s">
        <v>22</v>
      </c>
      <c r="F84" t="str">
        <f t="shared" si="9"/>
        <v>Male</v>
      </c>
      <c r="G84" s="1">
        <v>45984</v>
      </c>
      <c r="H84" s="1">
        <v>45924</v>
      </c>
      <c r="I84" t="s">
        <v>268</v>
      </c>
      <c r="J84" t="str">
        <f t="shared" si="10"/>
        <v>Samantha Bass Md</v>
      </c>
      <c r="K84" t="s">
        <v>18</v>
      </c>
      <c r="L84" t="str">
        <f t="shared" si="11"/>
        <v>Orthopedics</v>
      </c>
      <c r="M84" t="s">
        <v>269</v>
      </c>
      <c r="N84" t="str">
        <f t="shared" si="12"/>
        <v>USD</v>
      </c>
      <c r="O84">
        <f t="shared" si="13"/>
        <v>294.58</v>
      </c>
      <c r="P84" cm="1">
        <f t="array" ref="P84">_xlfn.IFS(N84="USD",O84*1,N84="GBP",O84*1.27,N84="EUR",O84*1.09,N84="INR",O84*0.012,N84="N/A","N/A")</f>
        <v>294.58</v>
      </c>
      <c r="Q84">
        <v>1</v>
      </c>
      <c r="R84" t="str" cm="1">
        <f t="array" ref="R84">_xlfn.IFS(Q84="Y","Yes", Q84="Yes","Yes", Q84="N","No", Q84="No","No", Q84=1,"N/A", Q84=0,"N/A", TRUE,"")</f>
        <v>N/A</v>
      </c>
      <c r="S84">
        <f t="shared" si="14"/>
        <v>10</v>
      </c>
      <c r="T84">
        <f t="shared" si="15"/>
        <v>1</v>
      </c>
      <c r="U84" t="str" cm="1">
        <f t="array" ref="U84">_xlfn.IFS(D84&lt;40,"Young Adult",AND(D84&gt;=40,D84&lt;65),"Middle Aged", D84&gt;=65,"Elderly")</f>
        <v>Middle Aged</v>
      </c>
    </row>
    <row r="85" spans="1:21" x14ac:dyDescent="0.2">
      <c r="A85">
        <v>1047</v>
      </c>
      <c r="B85">
        <f t="shared" si="8"/>
        <v>84</v>
      </c>
      <c r="C85" t="s">
        <v>270</v>
      </c>
      <c r="D85">
        <v>40</v>
      </c>
      <c r="E85" t="s">
        <v>22</v>
      </c>
      <c r="F85" t="str">
        <f t="shared" si="9"/>
        <v>Male</v>
      </c>
      <c r="G85" s="1">
        <v>46078</v>
      </c>
      <c r="H85" s="1">
        <v>45809</v>
      </c>
      <c r="I85" t="s">
        <v>271</v>
      </c>
      <c r="J85" t="str">
        <f t="shared" si="10"/>
        <v>Melinda Duncan</v>
      </c>
      <c r="K85" t="s">
        <v>18</v>
      </c>
      <c r="L85" t="str">
        <f t="shared" si="11"/>
        <v>Orthopedics</v>
      </c>
      <c r="M85" t="s">
        <v>272</v>
      </c>
      <c r="N85" t="str">
        <f t="shared" si="12"/>
        <v>USD</v>
      </c>
      <c r="O85">
        <f t="shared" si="13"/>
        <v>247.13</v>
      </c>
      <c r="P85" cm="1">
        <f t="array" ref="P85">_xlfn.IFS(N85="USD",O85*1,N85="GBP",O85*1.27,N85="EUR",O85*1.09,N85="INR",O85*0.012,N85="N/A","N/A")</f>
        <v>247.13</v>
      </c>
      <c r="Q85" t="s">
        <v>36</v>
      </c>
      <c r="R85" t="str" cm="1">
        <f t="array" ref="R85">_xlfn.IFS(Q85="Y","Yes", Q85="Yes","Yes", Q85="N","No", Q85="No","No", Q85=1,"N/A", Q85=0,"N/A", TRUE,"")</f>
        <v>Yes</v>
      </c>
      <c r="S85">
        <f t="shared" si="14"/>
        <v>17</v>
      </c>
      <c r="T85">
        <f t="shared" si="15"/>
        <v>1</v>
      </c>
      <c r="U85" t="str" cm="1">
        <f t="array" ref="U85">_xlfn.IFS(D85&lt;40,"Young Adult",AND(D85&gt;=40,D85&lt;65),"Middle Aged", D85&gt;=65,"Elderly")</f>
        <v>Middle Aged</v>
      </c>
    </row>
    <row r="86" spans="1:21" x14ac:dyDescent="0.2">
      <c r="A86">
        <v>1093</v>
      </c>
      <c r="B86">
        <f t="shared" si="8"/>
        <v>85</v>
      </c>
      <c r="C86" t="s">
        <v>273</v>
      </c>
      <c r="D86">
        <v>55</v>
      </c>
      <c r="E86" t="s">
        <v>2937</v>
      </c>
      <c r="F86" t="str">
        <f t="shared" si="9"/>
        <v>N/A</v>
      </c>
      <c r="G86" s="1">
        <v>45942</v>
      </c>
      <c r="H86" s="1">
        <v>45889</v>
      </c>
      <c r="I86" t="s">
        <v>274</v>
      </c>
      <c r="J86" t="str">
        <f t="shared" si="10"/>
        <v>William Key</v>
      </c>
      <c r="K86" t="s">
        <v>24</v>
      </c>
      <c r="L86" t="str">
        <f t="shared" si="11"/>
        <v>Neurology</v>
      </c>
      <c r="M86" t="s">
        <v>275</v>
      </c>
      <c r="N86" t="str">
        <f t="shared" si="12"/>
        <v>GBP</v>
      </c>
      <c r="O86">
        <f t="shared" si="13"/>
        <v>341.19</v>
      </c>
      <c r="P86" cm="1">
        <f t="array" ref="P86">_xlfn.IFS(N86="USD",O86*1,N86="GBP",O86*1.27,N86="EUR",O86*1.09,N86="INR",O86*0.012,N86="N/A","N/A")</f>
        <v>433.31130000000002</v>
      </c>
      <c r="Q86" t="s">
        <v>30</v>
      </c>
      <c r="R86" t="str" cm="1">
        <f t="array" ref="R86">_xlfn.IFS(Q86="Y","Yes", Q86="Yes","Yes", Q86="N","No", Q86="No","No", Q86=1,"N/A", Q86=0,"N/A", TRUE,"")</f>
        <v>No</v>
      </c>
      <c r="S86">
        <f t="shared" si="14"/>
        <v>11</v>
      </c>
      <c r="T86">
        <f t="shared" si="15"/>
        <v>1</v>
      </c>
      <c r="U86" t="str" cm="1">
        <f t="array" ref="U86">_xlfn.IFS(D86&lt;40,"Young Adult",AND(D86&gt;=40,D86&lt;65),"Middle Aged", D86&gt;=65,"Elderly")</f>
        <v>Middle Aged</v>
      </c>
    </row>
    <row r="87" spans="1:21" x14ac:dyDescent="0.2">
      <c r="A87">
        <v>1044</v>
      </c>
      <c r="B87">
        <f t="shared" si="8"/>
        <v>86</v>
      </c>
      <c r="C87" t="s">
        <v>276</v>
      </c>
      <c r="D87">
        <v>57</v>
      </c>
      <c r="E87" t="s">
        <v>2937</v>
      </c>
      <c r="F87" t="str">
        <f t="shared" si="9"/>
        <v>N/A</v>
      </c>
      <c r="G87" s="1">
        <v>45786</v>
      </c>
      <c r="H87" s="1">
        <v>45644</v>
      </c>
      <c r="I87" t="s">
        <v>277</v>
      </c>
      <c r="J87" t="str">
        <f t="shared" si="10"/>
        <v>Ronnie Miller</v>
      </c>
      <c r="K87" t="s">
        <v>18</v>
      </c>
      <c r="L87" t="str">
        <f t="shared" si="11"/>
        <v>Orthopedics</v>
      </c>
      <c r="M87" t="s">
        <v>278</v>
      </c>
      <c r="N87" t="str">
        <f t="shared" si="12"/>
        <v>INR</v>
      </c>
      <c r="O87">
        <f t="shared" si="13"/>
        <v>383.69</v>
      </c>
      <c r="P87" cm="1">
        <f t="array" ref="P87">_xlfn.IFS(N87="USD",O87*1,N87="GBP",O87*1.27,N87="EUR",O87*1.09,N87="INR",O87*0.012,N87="N/A","N/A")</f>
        <v>4.6042800000000002</v>
      </c>
      <c r="Q87" t="s">
        <v>60</v>
      </c>
      <c r="R87" t="str" cm="1">
        <f t="array" ref="R87">_xlfn.IFS(Q87="Y","Yes", Q87="Yes","Yes", Q87="N","No", Q87="No","No", Q87=1,"N/A", Q87=0,"N/A", TRUE,"")</f>
        <v>No</v>
      </c>
      <c r="S87">
        <f t="shared" si="14"/>
        <v>12</v>
      </c>
      <c r="T87">
        <f t="shared" si="15"/>
        <v>1</v>
      </c>
      <c r="U87" t="str" cm="1">
        <f t="array" ref="U87">_xlfn.IFS(D87&lt;40,"Young Adult",AND(D87&gt;=40,D87&lt;65),"Middle Aged", D87&gt;=65,"Elderly")</f>
        <v>Middle Aged</v>
      </c>
    </row>
    <row r="88" spans="1:21" x14ac:dyDescent="0.2">
      <c r="A88">
        <v>1050</v>
      </c>
      <c r="B88">
        <f t="shared" si="8"/>
        <v>87</v>
      </c>
      <c r="C88" t="s">
        <v>279</v>
      </c>
      <c r="D88">
        <v>60</v>
      </c>
      <c r="E88" t="s">
        <v>2937</v>
      </c>
      <c r="F88" t="str">
        <f t="shared" si="9"/>
        <v>N/A</v>
      </c>
      <c r="G88" s="1">
        <v>45933</v>
      </c>
      <c r="H88" s="1">
        <v>45895</v>
      </c>
      <c r="I88" t="s">
        <v>280</v>
      </c>
      <c r="J88" t="str">
        <f t="shared" si="10"/>
        <v>Mark Lutz</v>
      </c>
      <c r="K88" t="s">
        <v>28</v>
      </c>
      <c r="L88" t="str">
        <f t="shared" si="11"/>
        <v>General</v>
      </c>
      <c r="M88" t="s">
        <v>281</v>
      </c>
      <c r="N88" t="str">
        <f t="shared" si="12"/>
        <v>EUR</v>
      </c>
      <c r="O88">
        <f t="shared" si="13"/>
        <v>243.78</v>
      </c>
      <c r="P88" cm="1">
        <f t="array" ref="P88">_xlfn.IFS(N88="USD",O88*1,N88="GBP",O88*1.27,N88="EUR",O88*1.09,N88="INR",O88*0.012,N88="N/A","N/A")</f>
        <v>265.72020000000003</v>
      </c>
      <c r="Q88" t="s">
        <v>20</v>
      </c>
      <c r="R88" t="str" cm="1">
        <f t="array" ref="R88">_xlfn.IFS(Q88="Y","Yes", Q88="Yes","Yes", Q88="N","No", Q88="No","No", Q88=1,"N/A", Q88=0,"N/A", TRUE,"")</f>
        <v>Yes</v>
      </c>
      <c r="S88">
        <f t="shared" si="14"/>
        <v>12</v>
      </c>
      <c r="T88">
        <f t="shared" si="15"/>
        <v>1</v>
      </c>
      <c r="U88" t="str" cm="1">
        <f t="array" ref="U88">_xlfn.IFS(D88&lt;40,"Young Adult",AND(D88&gt;=40,D88&lt;65),"Middle Aged", D88&gt;=65,"Elderly")</f>
        <v>Middle Aged</v>
      </c>
    </row>
    <row r="89" spans="1:21" x14ac:dyDescent="0.2">
      <c r="A89">
        <v>1100</v>
      </c>
      <c r="B89">
        <f t="shared" si="8"/>
        <v>88</v>
      </c>
      <c r="C89" t="s">
        <v>282</v>
      </c>
      <c r="D89">
        <v>58</v>
      </c>
      <c r="E89" t="s">
        <v>22</v>
      </c>
      <c r="F89" t="str">
        <f t="shared" si="9"/>
        <v>Male</v>
      </c>
      <c r="G89" s="1">
        <v>45841</v>
      </c>
      <c r="H89" s="1">
        <v>45529</v>
      </c>
      <c r="I89" t="s">
        <v>283</v>
      </c>
      <c r="J89" t="str">
        <f t="shared" si="10"/>
        <v>Daniel Le</v>
      </c>
      <c r="K89" t="s">
        <v>24</v>
      </c>
      <c r="L89" t="str">
        <f t="shared" si="11"/>
        <v>Neurology</v>
      </c>
      <c r="M89" t="s">
        <v>284</v>
      </c>
      <c r="N89" t="str">
        <f t="shared" si="12"/>
        <v>INR</v>
      </c>
      <c r="O89">
        <f t="shared" si="13"/>
        <v>329.25</v>
      </c>
      <c r="P89" cm="1">
        <f t="array" ref="P89">_xlfn.IFS(N89="USD",O89*1,N89="GBP",O89*1.27,N89="EUR",O89*1.09,N89="INR",O89*0.012,N89="N/A","N/A")</f>
        <v>3.9510000000000001</v>
      </c>
      <c r="Q89" t="s">
        <v>30</v>
      </c>
      <c r="R89" t="str" cm="1">
        <f t="array" ref="R89">_xlfn.IFS(Q89="Y","Yes", Q89="Yes","Yes", Q89="N","No", Q89="No","No", Q89=1,"N/A", Q89=0,"N/A", TRUE,"")</f>
        <v>No</v>
      </c>
      <c r="S89">
        <f t="shared" si="14"/>
        <v>8</v>
      </c>
      <c r="T89">
        <f t="shared" si="15"/>
        <v>1</v>
      </c>
      <c r="U89" t="str" cm="1">
        <f t="array" ref="U89">_xlfn.IFS(D89&lt;40,"Young Adult",AND(D89&gt;=40,D89&lt;65),"Middle Aged", D89&gt;=65,"Elderly")</f>
        <v>Middle Aged</v>
      </c>
    </row>
    <row r="90" spans="1:21" x14ac:dyDescent="0.2">
      <c r="A90">
        <v>1095</v>
      </c>
      <c r="B90">
        <f t="shared" si="8"/>
        <v>89</v>
      </c>
      <c r="C90" t="s">
        <v>285</v>
      </c>
      <c r="D90">
        <v>61</v>
      </c>
      <c r="E90" t="s">
        <v>71</v>
      </c>
      <c r="F90" t="str">
        <f t="shared" si="9"/>
        <v>Male</v>
      </c>
      <c r="G90" s="1">
        <v>45949</v>
      </c>
      <c r="H90" s="1">
        <v>45891</v>
      </c>
      <c r="I90" t="s">
        <v>286</v>
      </c>
      <c r="J90" t="str">
        <f t="shared" si="10"/>
        <v>Bryan Mann</v>
      </c>
      <c r="K90" t="s">
        <v>24</v>
      </c>
      <c r="L90" t="str">
        <f t="shared" si="11"/>
        <v>Neurology</v>
      </c>
      <c r="M90" t="s">
        <v>287</v>
      </c>
      <c r="N90" t="str">
        <f t="shared" si="12"/>
        <v>EUR</v>
      </c>
      <c r="O90">
        <f t="shared" si="13"/>
        <v>389.37</v>
      </c>
      <c r="P90" cm="1">
        <f t="array" ref="P90">_xlfn.IFS(N90="USD",O90*1,N90="GBP",O90*1.27,N90="EUR",O90*1.09,N90="INR",O90*0.012,N90="N/A","N/A")</f>
        <v>424.41330000000005</v>
      </c>
      <c r="Q90">
        <v>0</v>
      </c>
      <c r="R90" t="str" cm="1">
        <f t="array" ref="R90">_xlfn.IFS(Q90="Y","Yes", Q90="Yes","Yes", Q90="N","No", Q90="No","No", Q90=1,"N/A", Q90=0,"N/A", TRUE,"")</f>
        <v>N/A</v>
      </c>
      <c r="S90">
        <f t="shared" si="14"/>
        <v>12</v>
      </c>
      <c r="T90">
        <f t="shared" si="15"/>
        <v>1</v>
      </c>
      <c r="U90" t="str" cm="1">
        <f t="array" ref="U90">_xlfn.IFS(D90&lt;40,"Young Adult",AND(D90&gt;=40,D90&lt;65),"Middle Aged", D90&gt;=65,"Elderly")</f>
        <v>Middle Aged</v>
      </c>
    </row>
    <row r="91" spans="1:21" x14ac:dyDescent="0.2">
      <c r="A91">
        <v>1088</v>
      </c>
      <c r="B91">
        <f t="shared" si="8"/>
        <v>90</v>
      </c>
      <c r="C91" t="s">
        <v>288</v>
      </c>
      <c r="D91">
        <v>34</v>
      </c>
      <c r="E91" t="s">
        <v>38</v>
      </c>
      <c r="F91" t="str">
        <f t="shared" si="9"/>
        <v>Female</v>
      </c>
      <c r="G91" s="1">
        <v>45942</v>
      </c>
      <c r="H91" s="1">
        <v>45672</v>
      </c>
      <c r="I91" t="s">
        <v>289</v>
      </c>
      <c r="J91" t="str">
        <f t="shared" si="10"/>
        <v>Randy Garrett</v>
      </c>
      <c r="K91" t="s">
        <v>13</v>
      </c>
      <c r="L91" t="str">
        <f t="shared" si="11"/>
        <v>Cardiology</v>
      </c>
      <c r="M91" t="s">
        <v>290</v>
      </c>
      <c r="N91" t="str">
        <f t="shared" si="12"/>
        <v>GBP</v>
      </c>
      <c r="O91">
        <f t="shared" si="13"/>
        <v>344.56</v>
      </c>
      <c r="P91" cm="1">
        <f t="array" ref="P91">_xlfn.IFS(N91="USD",O91*1,N91="GBP",O91*1.27,N91="EUR",O91*1.09,N91="INR",O91*0.012,N91="N/A","N/A")</f>
        <v>437.59120000000001</v>
      </c>
      <c r="Q91" t="s">
        <v>36</v>
      </c>
      <c r="R91" t="str" cm="1">
        <f t="array" ref="R91">_xlfn.IFS(Q91="Y","Yes", Q91="Yes","Yes", Q91="N","No", Q91="No","No", Q91=1,"N/A", Q91=0,"N/A", TRUE,"")</f>
        <v>Yes</v>
      </c>
      <c r="S91">
        <f t="shared" si="14"/>
        <v>16</v>
      </c>
      <c r="T91">
        <f t="shared" si="15"/>
        <v>1</v>
      </c>
      <c r="U91" t="str" cm="1">
        <f t="array" ref="U91">_xlfn.IFS(D91&lt;40,"Young Adult",AND(D91&gt;=40,D91&lt;65),"Middle Aged", D91&gt;=65,"Elderly")</f>
        <v>Young Adult</v>
      </c>
    </row>
    <row r="92" spans="1:21" x14ac:dyDescent="0.2">
      <c r="A92">
        <v>1027</v>
      </c>
      <c r="B92">
        <f t="shared" si="8"/>
        <v>91</v>
      </c>
      <c r="C92" t="s">
        <v>291</v>
      </c>
      <c r="D92">
        <v>35</v>
      </c>
      <c r="E92" t="s">
        <v>22</v>
      </c>
      <c r="F92" t="str">
        <f t="shared" si="9"/>
        <v>Male</v>
      </c>
      <c r="G92" s="1">
        <v>45923</v>
      </c>
      <c r="H92" s="1">
        <v>45488</v>
      </c>
      <c r="I92" t="s">
        <v>292</v>
      </c>
      <c r="J92" t="str">
        <f t="shared" si="10"/>
        <v>Paul Tate</v>
      </c>
      <c r="K92" t="s">
        <v>18</v>
      </c>
      <c r="L92" t="str">
        <f t="shared" si="11"/>
        <v>Orthopedics</v>
      </c>
      <c r="M92" t="s">
        <v>293</v>
      </c>
      <c r="N92" t="str">
        <f t="shared" si="12"/>
        <v>INR</v>
      </c>
      <c r="O92">
        <f t="shared" si="13"/>
        <v>289.07</v>
      </c>
      <c r="P92" cm="1">
        <f t="array" ref="P92">_xlfn.IFS(N92="USD",O92*1,N92="GBP",O92*1.27,N92="EUR",O92*1.09,N92="INR",O92*0.012,N92="N/A","N/A")</f>
        <v>3.4688400000000001</v>
      </c>
      <c r="Q92">
        <v>1</v>
      </c>
      <c r="R92" t="str" cm="1">
        <f t="array" ref="R92">_xlfn.IFS(Q92="Y","Yes", Q92="Yes","Yes", Q92="N","No", Q92="No","No", Q92=1,"N/A", Q92=0,"N/A", TRUE,"")</f>
        <v>N/A</v>
      </c>
      <c r="S92">
        <f t="shared" si="14"/>
        <v>12</v>
      </c>
      <c r="T92">
        <f t="shared" si="15"/>
        <v>1</v>
      </c>
      <c r="U92" t="str" cm="1">
        <f t="array" ref="U92">_xlfn.IFS(D92&lt;40,"Young Adult",AND(D92&gt;=40,D92&lt;65),"Middle Aged", D92&gt;=65,"Elderly")</f>
        <v>Young Adult</v>
      </c>
    </row>
    <row r="93" spans="1:21" x14ac:dyDescent="0.2">
      <c r="A93">
        <v>1040</v>
      </c>
      <c r="B93">
        <f t="shared" si="8"/>
        <v>92</v>
      </c>
      <c r="C93" t="s">
        <v>294</v>
      </c>
      <c r="D93">
        <v>62</v>
      </c>
      <c r="E93" t="s">
        <v>2937</v>
      </c>
      <c r="F93" t="str">
        <f t="shared" si="9"/>
        <v>N/A</v>
      </c>
      <c r="G93" s="1">
        <v>46020</v>
      </c>
      <c r="H93" s="1">
        <v>45425</v>
      </c>
      <c r="I93" t="s">
        <v>295</v>
      </c>
      <c r="J93" t="str">
        <f t="shared" si="10"/>
        <v>Michael Morales</v>
      </c>
      <c r="K93" t="s">
        <v>13</v>
      </c>
      <c r="L93" t="str">
        <f t="shared" si="11"/>
        <v>Cardiology</v>
      </c>
      <c r="M93" t="s">
        <v>296</v>
      </c>
      <c r="N93" t="str">
        <f t="shared" si="12"/>
        <v>INR</v>
      </c>
      <c r="O93">
        <f t="shared" si="13"/>
        <v>193.6</v>
      </c>
      <c r="P93" cm="1">
        <f t="array" ref="P93">_xlfn.IFS(N93="USD",O93*1,N93="GBP",O93*1.27,N93="EUR",O93*1.09,N93="INR",O93*0.012,N93="N/A","N/A")</f>
        <v>2.3231999999999999</v>
      </c>
      <c r="Q93" t="s">
        <v>36</v>
      </c>
      <c r="R93" t="str" cm="1">
        <f t="array" ref="R93">_xlfn.IFS(Q93="Y","Yes", Q93="Yes","Yes", Q93="N","No", Q93="No","No", Q93=1,"N/A", Q93=0,"N/A", TRUE,"")</f>
        <v>Yes</v>
      </c>
      <c r="S93">
        <f t="shared" si="14"/>
        <v>13</v>
      </c>
      <c r="T93">
        <f t="shared" si="15"/>
        <v>1</v>
      </c>
      <c r="U93" t="str" cm="1">
        <f t="array" ref="U93">_xlfn.IFS(D93&lt;40,"Young Adult",AND(D93&gt;=40,D93&lt;65),"Middle Aged", D93&gt;=65,"Elderly")</f>
        <v>Middle Aged</v>
      </c>
    </row>
    <row r="94" spans="1:21" x14ac:dyDescent="0.2">
      <c r="A94">
        <v>1099</v>
      </c>
      <c r="B94">
        <f t="shared" si="8"/>
        <v>93</v>
      </c>
      <c r="C94" t="s">
        <v>297</v>
      </c>
      <c r="D94">
        <v>31</v>
      </c>
      <c r="E94" t="s">
        <v>51</v>
      </c>
      <c r="F94" t="str">
        <f t="shared" si="9"/>
        <v>Male</v>
      </c>
      <c r="G94" s="1">
        <v>45849</v>
      </c>
      <c r="H94" s="1">
        <v>45735</v>
      </c>
      <c r="I94" t="s">
        <v>298</v>
      </c>
      <c r="J94" t="str">
        <f t="shared" si="10"/>
        <v>Alexa Peterson</v>
      </c>
      <c r="K94" t="s">
        <v>18</v>
      </c>
      <c r="L94" t="str">
        <f t="shared" si="11"/>
        <v>Orthopedics</v>
      </c>
      <c r="M94" t="s">
        <v>299</v>
      </c>
      <c r="N94" t="str">
        <f t="shared" si="12"/>
        <v>INR</v>
      </c>
      <c r="O94">
        <f t="shared" si="13"/>
        <v>259.72000000000003</v>
      </c>
      <c r="P94" cm="1">
        <f t="array" ref="P94">_xlfn.IFS(N94="USD",O94*1,N94="GBP",O94*1.27,N94="EUR",O94*1.09,N94="INR",O94*0.012,N94="N/A","N/A")</f>
        <v>3.1166400000000003</v>
      </c>
      <c r="Q94" t="s">
        <v>36</v>
      </c>
      <c r="R94" t="str" cm="1">
        <f t="array" ref="R94">_xlfn.IFS(Q94="Y","Yes", Q94="Yes","Yes", Q94="N","No", Q94="No","No", Q94=1,"N/A", Q94=0,"N/A", TRUE,"")</f>
        <v>Yes</v>
      </c>
      <c r="S94">
        <f t="shared" si="14"/>
        <v>7</v>
      </c>
      <c r="T94">
        <f t="shared" si="15"/>
        <v>1</v>
      </c>
      <c r="U94" t="str" cm="1">
        <f t="array" ref="U94">_xlfn.IFS(D94&lt;40,"Young Adult",AND(D94&gt;=40,D94&lt;65),"Middle Aged", D94&gt;=65,"Elderly")</f>
        <v>Young Adult</v>
      </c>
    </row>
    <row r="95" spans="1:21" x14ac:dyDescent="0.2">
      <c r="A95">
        <v>1070</v>
      </c>
      <c r="B95">
        <f t="shared" si="8"/>
        <v>94</v>
      </c>
      <c r="C95" t="s">
        <v>300</v>
      </c>
      <c r="D95">
        <v>28</v>
      </c>
      <c r="E95" t="s">
        <v>38</v>
      </c>
      <c r="F95" t="str">
        <f t="shared" si="9"/>
        <v>Female</v>
      </c>
      <c r="G95" s="1">
        <v>45938</v>
      </c>
      <c r="H95" s="1">
        <v>45787</v>
      </c>
      <c r="I95" t="s">
        <v>301</v>
      </c>
      <c r="J95" t="str">
        <f t="shared" si="10"/>
        <v>Brenda Castro</v>
      </c>
      <c r="K95" t="s">
        <v>24</v>
      </c>
      <c r="L95" t="str">
        <f t="shared" si="11"/>
        <v>Neurology</v>
      </c>
      <c r="M95" t="s">
        <v>302</v>
      </c>
      <c r="N95" t="str">
        <f t="shared" si="12"/>
        <v>EUR</v>
      </c>
      <c r="O95">
        <f t="shared" si="13"/>
        <v>235.69</v>
      </c>
      <c r="P95" cm="1">
        <f t="array" ref="P95">_xlfn.IFS(N95="USD",O95*1,N95="GBP",O95*1.27,N95="EUR",O95*1.09,N95="INR",O95*0.012,N95="N/A","N/A")</f>
        <v>256.90210000000002</v>
      </c>
      <c r="Q95" t="s">
        <v>30</v>
      </c>
      <c r="R95" t="str" cm="1">
        <f t="array" ref="R95">_xlfn.IFS(Q95="Y","Yes", Q95="Yes","Yes", Q95="N","No", Q95="No","No", Q95=1,"N/A", Q95=0,"N/A", TRUE,"")</f>
        <v>No</v>
      </c>
      <c r="S95">
        <f t="shared" si="14"/>
        <v>13</v>
      </c>
      <c r="T95">
        <f t="shared" si="15"/>
        <v>1</v>
      </c>
      <c r="U95" t="str" cm="1">
        <f t="array" ref="U95">_xlfn.IFS(D95&lt;40,"Young Adult",AND(D95&gt;=40,D95&lt;65),"Middle Aged", D95&gt;=65,"Elderly")</f>
        <v>Young Adult</v>
      </c>
    </row>
    <row r="96" spans="1:21" x14ac:dyDescent="0.2">
      <c r="A96">
        <v>1058</v>
      </c>
      <c r="B96">
        <f t="shared" si="8"/>
        <v>95</v>
      </c>
      <c r="C96" t="s">
        <v>303</v>
      </c>
      <c r="D96">
        <v>18</v>
      </c>
      <c r="E96" t="s">
        <v>38</v>
      </c>
      <c r="F96" t="str">
        <f t="shared" si="9"/>
        <v>Female</v>
      </c>
      <c r="G96" s="1">
        <v>46057</v>
      </c>
      <c r="H96" s="1">
        <v>45636</v>
      </c>
      <c r="I96" t="s">
        <v>304</v>
      </c>
      <c r="J96" t="str">
        <f t="shared" si="10"/>
        <v>Tyler Carter</v>
      </c>
      <c r="K96" t="s">
        <v>28</v>
      </c>
      <c r="L96" t="str">
        <f t="shared" si="11"/>
        <v>General</v>
      </c>
      <c r="M96" t="s">
        <v>305</v>
      </c>
      <c r="N96" t="str">
        <f t="shared" si="12"/>
        <v>EUR</v>
      </c>
      <c r="O96">
        <f t="shared" si="13"/>
        <v>428.75</v>
      </c>
      <c r="P96" cm="1">
        <f t="array" ref="P96">_xlfn.IFS(N96="USD",O96*1,N96="GBP",O96*1.27,N96="EUR",O96*1.09,N96="INR",O96*0.012,N96="N/A","N/A")</f>
        <v>467.33750000000003</v>
      </c>
      <c r="Q96" t="s">
        <v>30</v>
      </c>
      <c r="R96" t="str" cm="1">
        <f t="array" ref="R96">_xlfn.IFS(Q96="Y","Yes", Q96="Yes","Yes", Q96="N","No", Q96="No","No", Q96=1,"N/A", Q96=0,"N/A", TRUE,"")</f>
        <v>No</v>
      </c>
      <c r="S96">
        <f t="shared" si="14"/>
        <v>17</v>
      </c>
      <c r="T96">
        <f t="shared" si="15"/>
        <v>1</v>
      </c>
      <c r="U96" t="str" cm="1">
        <f t="array" ref="U96">_xlfn.IFS(D96&lt;40,"Young Adult",AND(D96&gt;=40,D96&lt;65),"Middle Aged", D96&gt;=65,"Elderly")</f>
        <v>Young Adult</v>
      </c>
    </row>
    <row r="97" spans="1:21" x14ac:dyDescent="0.2">
      <c r="A97">
        <v>1040</v>
      </c>
      <c r="B97">
        <f t="shared" si="8"/>
        <v>96</v>
      </c>
      <c r="C97" t="s">
        <v>306</v>
      </c>
      <c r="D97">
        <v>34</v>
      </c>
      <c r="E97" t="s">
        <v>2937</v>
      </c>
      <c r="F97" t="str">
        <f t="shared" si="9"/>
        <v>N/A</v>
      </c>
      <c r="G97" s="1">
        <v>45961</v>
      </c>
      <c r="H97" s="1">
        <v>45735</v>
      </c>
      <c r="I97" t="s">
        <v>307</v>
      </c>
      <c r="J97" t="str">
        <f t="shared" si="10"/>
        <v>Wayne Graham</v>
      </c>
      <c r="K97" t="s">
        <v>24</v>
      </c>
      <c r="L97" t="str">
        <f t="shared" si="11"/>
        <v>Neurology</v>
      </c>
      <c r="M97" t="s">
        <v>308</v>
      </c>
      <c r="N97" t="str">
        <f t="shared" si="12"/>
        <v>USD</v>
      </c>
      <c r="O97">
        <f t="shared" si="13"/>
        <v>142.32</v>
      </c>
      <c r="P97" cm="1">
        <f t="array" ref="P97">_xlfn.IFS(N97="USD",O97*1,N97="GBP",O97*1.27,N97="EUR",O97*1.09,N97="INR",O97*0.012,N97="N/A","N/A")</f>
        <v>142.32</v>
      </c>
      <c r="Q97">
        <v>0</v>
      </c>
      <c r="R97" t="str" cm="1">
        <f t="array" ref="R97">_xlfn.IFS(Q97="Y","Yes", Q97="Yes","Yes", Q97="N","No", Q97="No","No", Q97=1,"N/A", Q97=0,"N/A", TRUE,"")</f>
        <v>N/A</v>
      </c>
      <c r="S97">
        <f t="shared" si="14"/>
        <v>13</v>
      </c>
      <c r="T97">
        <f t="shared" si="15"/>
        <v>1</v>
      </c>
      <c r="U97" t="str" cm="1">
        <f t="array" ref="U97">_xlfn.IFS(D97&lt;40,"Young Adult",AND(D97&gt;=40,D97&lt;65),"Middle Aged", D97&gt;=65,"Elderly")</f>
        <v>Young Adult</v>
      </c>
    </row>
    <row r="98" spans="1:21" x14ac:dyDescent="0.2">
      <c r="A98">
        <v>1018</v>
      </c>
      <c r="B98">
        <f t="shared" si="8"/>
        <v>97</v>
      </c>
      <c r="C98" t="s">
        <v>309</v>
      </c>
      <c r="D98">
        <v>34</v>
      </c>
      <c r="E98" t="s">
        <v>38</v>
      </c>
      <c r="F98" t="str">
        <f t="shared" si="9"/>
        <v>Female</v>
      </c>
      <c r="G98" s="1">
        <v>46016</v>
      </c>
      <c r="H98" s="1">
        <v>45547</v>
      </c>
      <c r="I98" t="s">
        <v>310</v>
      </c>
      <c r="J98" t="str">
        <f t="shared" si="10"/>
        <v>Kyle Russell</v>
      </c>
      <c r="K98" t="s">
        <v>13</v>
      </c>
      <c r="L98" t="str">
        <f t="shared" si="11"/>
        <v>Cardiology</v>
      </c>
      <c r="M98" t="s">
        <v>311</v>
      </c>
      <c r="N98" t="str">
        <f t="shared" si="12"/>
        <v>GBP</v>
      </c>
      <c r="O98">
        <f t="shared" si="13"/>
        <v>109.31</v>
      </c>
      <c r="P98" cm="1">
        <f t="array" ref="P98">_xlfn.IFS(N98="USD",O98*1,N98="GBP",O98*1.27,N98="EUR",O98*1.09,N98="INR",O98*0.012,N98="N/A","N/A")</f>
        <v>138.8237</v>
      </c>
      <c r="Q98" t="s">
        <v>30</v>
      </c>
      <c r="R98" t="str" cm="1">
        <f t="array" ref="R98">_xlfn.IFS(Q98="Y","Yes", Q98="Yes","Yes", Q98="N","No", Q98="No","No", Q98=1,"N/A", Q98=0,"N/A", TRUE,"")</f>
        <v>No</v>
      </c>
      <c r="S98">
        <f t="shared" si="14"/>
        <v>14</v>
      </c>
      <c r="T98">
        <f t="shared" si="15"/>
        <v>1</v>
      </c>
      <c r="U98" t="str" cm="1">
        <f t="array" ref="U98">_xlfn.IFS(D98&lt;40,"Young Adult",AND(D98&gt;=40,D98&lt;65),"Middle Aged", D98&gt;=65,"Elderly")</f>
        <v>Young Adult</v>
      </c>
    </row>
    <row r="99" spans="1:21" x14ac:dyDescent="0.2">
      <c r="A99">
        <v>1052</v>
      </c>
      <c r="B99">
        <f t="shared" si="8"/>
        <v>98</v>
      </c>
      <c r="C99" t="s">
        <v>312</v>
      </c>
      <c r="D99">
        <v>60</v>
      </c>
      <c r="E99" t="s">
        <v>38</v>
      </c>
      <c r="F99" t="str">
        <f t="shared" si="9"/>
        <v>Female</v>
      </c>
      <c r="G99" s="1">
        <v>45968</v>
      </c>
      <c r="H99" s="1">
        <v>45532</v>
      </c>
      <c r="I99" t="s">
        <v>313</v>
      </c>
      <c r="J99" t="str">
        <f t="shared" si="10"/>
        <v>Kristopher Collier</v>
      </c>
      <c r="K99" t="s">
        <v>28</v>
      </c>
      <c r="L99" t="str">
        <f t="shared" si="11"/>
        <v>General</v>
      </c>
      <c r="N99" t="str">
        <f t="shared" si="12"/>
        <v>N/A</v>
      </c>
      <c r="O99" t="str">
        <f t="shared" si="13"/>
        <v/>
      </c>
      <c r="P99" t="str" cm="1">
        <f t="array" ref="P99">_xlfn.IFS(N99="USD",O99*1,N99="GBP",O99*1.27,N99="EUR",O99*1.09,N99="INR",O99*0.012,N99="N/A","N/A")</f>
        <v>N/A</v>
      </c>
      <c r="Q99" t="s">
        <v>20</v>
      </c>
      <c r="R99" t="str" cm="1">
        <f t="array" ref="R99">_xlfn.IFS(Q99="Y","Yes", Q99="Yes","Yes", Q99="N","No", Q99="No","No", Q99=1,"N/A", Q99=0,"N/A", TRUE,"")</f>
        <v>Yes</v>
      </c>
      <c r="S99">
        <f t="shared" si="14"/>
        <v>8</v>
      </c>
      <c r="T99">
        <f t="shared" si="15"/>
        <v>1</v>
      </c>
      <c r="U99" t="str" cm="1">
        <f t="array" ref="U99">_xlfn.IFS(D99&lt;40,"Young Adult",AND(D99&gt;=40,D99&lt;65),"Middle Aged", D99&gt;=65,"Elderly")</f>
        <v>Middle Aged</v>
      </c>
    </row>
    <row r="100" spans="1:21" x14ac:dyDescent="0.2">
      <c r="A100">
        <v>1031</v>
      </c>
      <c r="B100">
        <f t="shared" si="8"/>
        <v>99</v>
      </c>
      <c r="C100" t="s">
        <v>314</v>
      </c>
      <c r="D100">
        <v>65</v>
      </c>
      <c r="E100" t="s">
        <v>38</v>
      </c>
      <c r="F100" t="str">
        <f t="shared" si="9"/>
        <v>Female</v>
      </c>
      <c r="G100" s="1">
        <v>45816</v>
      </c>
      <c r="H100" s="1">
        <v>45671</v>
      </c>
      <c r="I100" t="s">
        <v>315</v>
      </c>
      <c r="J100" t="str">
        <f t="shared" si="10"/>
        <v>Robert Mitchell</v>
      </c>
      <c r="K100" t="s">
        <v>28</v>
      </c>
      <c r="L100" t="str">
        <f t="shared" si="11"/>
        <v>General</v>
      </c>
      <c r="M100" t="s">
        <v>316</v>
      </c>
      <c r="N100" t="str">
        <f t="shared" si="12"/>
        <v>USD</v>
      </c>
      <c r="O100">
        <f t="shared" si="13"/>
        <v>325.25</v>
      </c>
      <c r="P100" cm="1">
        <f t="array" ref="P100">_xlfn.IFS(N100="USD",O100*1,N100="GBP",O100*1.27,N100="EUR",O100*1.09,N100="INR",O100*0.012,N100="N/A","N/A")</f>
        <v>325.25</v>
      </c>
      <c r="Q100">
        <v>0</v>
      </c>
      <c r="R100" t="str" cm="1">
        <f t="array" ref="R100">_xlfn.IFS(Q100="Y","Yes", Q100="Yes","Yes", Q100="N","No", Q100="No","No", Q100=1,"N/A", Q100=0,"N/A", TRUE,"")</f>
        <v>N/A</v>
      </c>
      <c r="S100">
        <f t="shared" si="14"/>
        <v>13</v>
      </c>
      <c r="T100">
        <f t="shared" si="15"/>
        <v>1</v>
      </c>
      <c r="U100" t="str" cm="1">
        <f t="array" ref="U100">_xlfn.IFS(D100&lt;40,"Young Adult",AND(D100&gt;=40,D100&lt;65),"Middle Aged", D100&gt;=65,"Elderly")</f>
        <v>Elderly</v>
      </c>
    </row>
    <row r="101" spans="1:21" x14ac:dyDescent="0.2">
      <c r="A101">
        <v>1028</v>
      </c>
      <c r="B101">
        <f t="shared" si="8"/>
        <v>100</v>
      </c>
      <c r="C101" t="s">
        <v>317</v>
      </c>
      <c r="D101">
        <v>21</v>
      </c>
      <c r="E101" t="s">
        <v>38</v>
      </c>
      <c r="F101" t="str">
        <f t="shared" si="9"/>
        <v>Female</v>
      </c>
      <c r="G101" s="1">
        <v>45968</v>
      </c>
      <c r="H101" s="1">
        <v>45865</v>
      </c>
      <c r="I101" t="s">
        <v>318</v>
      </c>
      <c r="J101" t="str">
        <f t="shared" si="10"/>
        <v>Rita Smith</v>
      </c>
      <c r="K101" t="s">
        <v>24</v>
      </c>
      <c r="L101" t="str">
        <f t="shared" si="11"/>
        <v>Neurology</v>
      </c>
      <c r="M101" t="s">
        <v>319</v>
      </c>
      <c r="N101" t="str">
        <f t="shared" si="12"/>
        <v>GBP</v>
      </c>
      <c r="O101">
        <f t="shared" si="13"/>
        <v>111.92</v>
      </c>
      <c r="P101" cm="1">
        <f t="array" ref="P101">_xlfn.IFS(N101="USD",O101*1,N101="GBP",O101*1.27,N101="EUR",O101*1.09,N101="INR",O101*0.012,N101="N/A","N/A")</f>
        <v>142.13839999999999</v>
      </c>
      <c r="Q101" t="s">
        <v>60</v>
      </c>
      <c r="R101" t="str" cm="1">
        <f t="array" ref="R101">_xlfn.IFS(Q101="Y","Yes", Q101="Yes","Yes", Q101="N","No", Q101="No","No", Q101=1,"N/A", Q101=0,"N/A", TRUE,"")</f>
        <v>No</v>
      </c>
      <c r="S101">
        <f t="shared" si="14"/>
        <v>8</v>
      </c>
      <c r="T101">
        <f t="shared" si="15"/>
        <v>1</v>
      </c>
      <c r="U101" t="str" cm="1">
        <f t="array" ref="U101">_xlfn.IFS(D101&lt;40,"Young Adult",AND(D101&gt;=40,D101&lt;65),"Middle Aged", D101&gt;=65,"Elderly")</f>
        <v>Young Adult</v>
      </c>
    </row>
    <row r="102" spans="1:21" x14ac:dyDescent="0.2">
      <c r="A102">
        <v>1089</v>
      </c>
      <c r="B102">
        <f t="shared" si="8"/>
        <v>101</v>
      </c>
      <c r="C102" t="s">
        <v>320</v>
      </c>
      <c r="D102">
        <v>56</v>
      </c>
      <c r="E102" t="s">
        <v>71</v>
      </c>
      <c r="F102" t="str">
        <f t="shared" si="9"/>
        <v>Male</v>
      </c>
      <c r="G102" s="1">
        <v>46071</v>
      </c>
      <c r="H102" s="1">
        <v>45634</v>
      </c>
      <c r="I102" t="s">
        <v>321</v>
      </c>
      <c r="J102" t="str">
        <f t="shared" si="10"/>
        <v>Anthony Cruz</v>
      </c>
      <c r="K102" t="s">
        <v>18</v>
      </c>
      <c r="L102" t="str">
        <f t="shared" si="11"/>
        <v>Orthopedics</v>
      </c>
      <c r="M102" t="s">
        <v>322</v>
      </c>
      <c r="N102" t="str">
        <f t="shared" si="12"/>
        <v>USD</v>
      </c>
      <c r="O102">
        <f t="shared" si="13"/>
        <v>347.68</v>
      </c>
      <c r="P102" cm="1">
        <f t="array" ref="P102">_xlfn.IFS(N102="USD",O102*1,N102="GBP",O102*1.27,N102="EUR",O102*1.09,N102="INR",O102*0.012,N102="N/A","N/A")</f>
        <v>347.68</v>
      </c>
      <c r="Q102">
        <v>1</v>
      </c>
      <c r="R102" t="str" cm="1">
        <f t="array" ref="R102">_xlfn.IFS(Q102="Y","Yes", Q102="Yes","Yes", Q102="N","No", Q102="No","No", Q102=1,"N/A", Q102=0,"N/A", TRUE,"")</f>
        <v>N/A</v>
      </c>
      <c r="S102">
        <f t="shared" si="14"/>
        <v>16</v>
      </c>
      <c r="T102">
        <f t="shared" si="15"/>
        <v>1</v>
      </c>
      <c r="U102" t="str" cm="1">
        <f t="array" ref="U102">_xlfn.IFS(D102&lt;40,"Young Adult",AND(D102&gt;=40,D102&lt;65),"Middle Aged", D102&gt;=65,"Elderly")</f>
        <v>Middle Aged</v>
      </c>
    </row>
    <row r="103" spans="1:21" x14ac:dyDescent="0.2">
      <c r="A103">
        <v>1092</v>
      </c>
      <c r="B103">
        <f t="shared" si="8"/>
        <v>102</v>
      </c>
      <c r="C103" t="s">
        <v>323</v>
      </c>
      <c r="D103">
        <v>40</v>
      </c>
      <c r="E103" t="s">
        <v>38</v>
      </c>
      <c r="F103" t="str">
        <f t="shared" si="9"/>
        <v>Female</v>
      </c>
      <c r="G103" s="1">
        <v>46063</v>
      </c>
      <c r="H103" s="1">
        <v>46009</v>
      </c>
      <c r="I103" t="s">
        <v>324</v>
      </c>
      <c r="J103" t="str">
        <f t="shared" si="10"/>
        <v>Derrick Salazar</v>
      </c>
      <c r="K103" t="s">
        <v>24</v>
      </c>
      <c r="L103" t="str">
        <f t="shared" si="11"/>
        <v>Neurology</v>
      </c>
      <c r="M103" t="s">
        <v>325</v>
      </c>
      <c r="N103" t="str">
        <f t="shared" si="12"/>
        <v>GBP</v>
      </c>
      <c r="O103">
        <f t="shared" si="13"/>
        <v>59.67</v>
      </c>
      <c r="P103" cm="1">
        <f t="array" ref="P103">_xlfn.IFS(N103="USD",O103*1,N103="GBP",O103*1.27,N103="EUR",O103*1.09,N103="INR",O103*0.012,N103="N/A","N/A")</f>
        <v>75.780900000000003</v>
      </c>
      <c r="Q103" t="s">
        <v>36</v>
      </c>
      <c r="R103" t="str" cm="1">
        <f t="array" ref="R103">_xlfn.IFS(Q103="Y","Yes", Q103="Yes","Yes", Q103="N","No", Q103="No","No", Q103=1,"N/A", Q103=0,"N/A", TRUE,"")</f>
        <v>Yes</v>
      </c>
      <c r="S103">
        <f t="shared" si="14"/>
        <v>11</v>
      </c>
      <c r="T103">
        <f t="shared" si="15"/>
        <v>1</v>
      </c>
      <c r="U103" t="str" cm="1">
        <f t="array" ref="U103">_xlfn.IFS(D103&lt;40,"Young Adult",AND(D103&gt;=40,D103&lt;65),"Middle Aged", D103&gt;=65,"Elderly")</f>
        <v>Middle Aged</v>
      </c>
    </row>
    <row r="104" spans="1:21" x14ac:dyDescent="0.2">
      <c r="A104">
        <v>1088</v>
      </c>
      <c r="B104">
        <f t="shared" si="8"/>
        <v>103</v>
      </c>
      <c r="C104" t="s">
        <v>326</v>
      </c>
      <c r="D104">
        <v>60</v>
      </c>
      <c r="E104" t="s">
        <v>2937</v>
      </c>
      <c r="F104" t="str">
        <f t="shared" si="9"/>
        <v>N/A</v>
      </c>
      <c r="G104" s="1">
        <v>46100</v>
      </c>
      <c r="H104" s="1">
        <v>45583</v>
      </c>
      <c r="I104" t="s">
        <v>327</v>
      </c>
      <c r="J104" t="str">
        <f t="shared" si="10"/>
        <v>Theresa Lee</v>
      </c>
      <c r="K104" t="s">
        <v>28</v>
      </c>
      <c r="L104" t="str">
        <f t="shared" si="11"/>
        <v>General</v>
      </c>
      <c r="M104" t="s">
        <v>328</v>
      </c>
      <c r="N104" t="str">
        <f t="shared" si="12"/>
        <v>INR</v>
      </c>
      <c r="O104">
        <f t="shared" si="13"/>
        <v>123.03</v>
      </c>
      <c r="P104" cm="1">
        <f t="array" ref="P104">_xlfn.IFS(N104="USD",O104*1,N104="GBP",O104*1.27,N104="EUR",O104*1.09,N104="INR",O104*0.012,N104="N/A","N/A")</f>
        <v>1.4763600000000001</v>
      </c>
      <c r="Q104" t="s">
        <v>36</v>
      </c>
      <c r="R104" t="str" cm="1">
        <f t="array" ref="R104">_xlfn.IFS(Q104="Y","Yes", Q104="Yes","Yes", Q104="N","No", Q104="No","No", Q104=1,"N/A", Q104=0,"N/A", TRUE,"")</f>
        <v>Yes</v>
      </c>
      <c r="S104">
        <f t="shared" si="14"/>
        <v>16</v>
      </c>
      <c r="T104">
        <f t="shared" si="15"/>
        <v>1</v>
      </c>
      <c r="U104" t="str" cm="1">
        <f t="array" ref="U104">_xlfn.IFS(D104&lt;40,"Young Adult",AND(D104&gt;=40,D104&lt;65),"Middle Aged", D104&gt;=65,"Elderly")</f>
        <v>Middle Aged</v>
      </c>
    </row>
    <row r="105" spans="1:21" x14ac:dyDescent="0.2">
      <c r="A105">
        <v>1058</v>
      </c>
      <c r="B105">
        <f t="shared" si="8"/>
        <v>104</v>
      </c>
      <c r="C105" t="s">
        <v>329</v>
      </c>
      <c r="D105">
        <v>24</v>
      </c>
      <c r="E105" t="s">
        <v>38</v>
      </c>
      <c r="F105" t="str">
        <f t="shared" si="9"/>
        <v>Female</v>
      </c>
      <c r="G105" s="1">
        <v>46069</v>
      </c>
      <c r="H105" s="1">
        <v>45895</v>
      </c>
      <c r="I105" t="s">
        <v>330</v>
      </c>
      <c r="J105" t="str">
        <f t="shared" si="10"/>
        <v>Lynn Jones</v>
      </c>
      <c r="K105" t="s">
        <v>28</v>
      </c>
      <c r="L105" t="str">
        <f t="shared" si="11"/>
        <v>General</v>
      </c>
      <c r="M105" t="s">
        <v>331</v>
      </c>
      <c r="N105" t="str">
        <f t="shared" si="12"/>
        <v>INR</v>
      </c>
      <c r="O105">
        <f t="shared" si="13"/>
        <v>420.58</v>
      </c>
      <c r="P105" cm="1">
        <f t="array" ref="P105">_xlfn.IFS(N105="USD",O105*1,N105="GBP",O105*1.27,N105="EUR",O105*1.09,N105="INR",O105*0.012,N105="N/A","N/A")</f>
        <v>5.0469600000000003</v>
      </c>
      <c r="Q105">
        <v>0</v>
      </c>
      <c r="R105" t="str" cm="1">
        <f t="array" ref="R105">_xlfn.IFS(Q105="Y","Yes", Q105="Yes","Yes", Q105="N","No", Q105="No","No", Q105=1,"N/A", Q105=0,"N/A", TRUE,"")</f>
        <v>N/A</v>
      </c>
      <c r="S105">
        <f t="shared" si="14"/>
        <v>17</v>
      </c>
      <c r="T105">
        <f t="shared" si="15"/>
        <v>1</v>
      </c>
      <c r="U105" t="str" cm="1">
        <f t="array" ref="U105">_xlfn.IFS(D105&lt;40,"Young Adult",AND(D105&gt;=40,D105&lt;65),"Middle Aged", D105&gt;=65,"Elderly")</f>
        <v>Young Adult</v>
      </c>
    </row>
    <row r="106" spans="1:21" x14ac:dyDescent="0.2">
      <c r="A106">
        <v>1078</v>
      </c>
      <c r="B106">
        <f t="shared" si="8"/>
        <v>105</v>
      </c>
      <c r="C106" t="s">
        <v>332</v>
      </c>
      <c r="D106">
        <v>69</v>
      </c>
      <c r="E106" t="s">
        <v>2937</v>
      </c>
      <c r="F106" t="str">
        <f t="shared" si="9"/>
        <v>N/A</v>
      </c>
      <c r="G106" s="1">
        <v>45988</v>
      </c>
      <c r="H106" s="1">
        <v>45430</v>
      </c>
      <c r="I106" t="s">
        <v>333</v>
      </c>
      <c r="J106" t="str">
        <f t="shared" si="10"/>
        <v>Desiree Giles</v>
      </c>
      <c r="K106" t="s">
        <v>18</v>
      </c>
      <c r="L106" t="str">
        <f t="shared" si="11"/>
        <v>Orthopedics</v>
      </c>
      <c r="M106" t="s">
        <v>334</v>
      </c>
      <c r="N106" t="str">
        <f t="shared" si="12"/>
        <v>EUR</v>
      </c>
      <c r="O106">
        <f t="shared" si="13"/>
        <v>351.17</v>
      </c>
      <c r="P106" cm="1">
        <f t="array" ref="P106">_xlfn.IFS(N106="USD",O106*1,N106="GBP",O106*1.27,N106="EUR",O106*1.09,N106="INR",O106*0.012,N106="N/A","N/A")</f>
        <v>382.77530000000007</v>
      </c>
      <c r="Q106" t="s">
        <v>30</v>
      </c>
      <c r="R106" t="str" cm="1">
        <f t="array" ref="R106">_xlfn.IFS(Q106="Y","Yes", Q106="Yes","Yes", Q106="N","No", Q106="No","No", Q106=1,"N/A", Q106=0,"N/A", TRUE,"")</f>
        <v>No</v>
      </c>
      <c r="S106">
        <f t="shared" si="14"/>
        <v>8</v>
      </c>
      <c r="T106">
        <f t="shared" si="15"/>
        <v>1</v>
      </c>
      <c r="U106" t="str" cm="1">
        <f t="array" ref="U106">_xlfn.IFS(D106&lt;40,"Young Adult",AND(D106&gt;=40,D106&lt;65),"Middle Aged", D106&gt;=65,"Elderly")</f>
        <v>Elderly</v>
      </c>
    </row>
    <row r="107" spans="1:21" x14ac:dyDescent="0.2">
      <c r="A107">
        <v>1027</v>
      </c>
      <c r="B107">
        <f t="shared" si="8"/>
        <v>106</v>
      </c>
      <c r="C107" t="s">
        <v>335</v>
      </c>
      <c r="D107">
        <v>32</v>
      </c>
      <c r="E107" t="s">
        <v>16</v>
      </c>
      <c r="F107" t="str">
        <f t="shared" si="9"/>
        <v>Female</v>
      </c>
      <c r="G107" s="1">
        <v>46083</v>
      </c>
      <c r="H107" s="1">
        <v>46008</v>
      </c>
      <c r="I107" t="s">
        <v>336</v>
      </c>
      <c r="J107" t="str">
        <f t="shared" si="10"/>
        <v>Nicholas Mcneil</v>
      </c>
      <c r="K107" t="s">
        <v>13</v>
      </c>
      <c r="L107" t="str">
        <f t="shared" si="11"/>
        <v>Cardiology</v>
      </c>
      <c r="M107" t="s">
        <v>337</v>
      </c>
      <c r="N107" t="str">
        <f t="shared" si="12"/>
        <v>GBP</v>
      </c>
      <c r="O107">
        <f t="shared" si="13"/>
        <v>125.31</v>
      </c>
      <c r="P107" cm="1">
        <f t="array" ref="P107">_xlfn.IFS(N107="USD",O107*1,N107="GBP",O107*1.27,N107="EUR",O107*1.09,N107="INR",O107*0.012,N107="N/A","N/A")</f>
        <v>159.1437</v>
      </c>
      <c r="Q107">
        <v>1</v>
      </c>
      <c r="R107" t="str" cm="1">
        <f t="array" ref="R107">_xlfn.IFS(Q107="Y","Yes", Q107="Yes","Yes", Q107="N","No", Q107="No","No", Q107=1,"N/A", Q107=0,"N/A", TRUE,"")</f>
        <v>N/A</v>
      </c>
      <c r="S107">
        <f t="shared" si="14"/>
        <v>12</v>
      </c>
      <c r="T107">
        <f t="shared" si="15"/>
        <v>1</v>
      </c>
      <c r="U107" t="str" cm="1">
        <f t="array" ref="U107">_xlfn.IFS(D107&lt;40,"Young Adult",AND(D107&gt;=40,D107&lt;65),"Middle Aged", D107&gt;=65,"Elderly")</f>
        <v>Young Adult</v>
      </c>
    </row>
    <row r="108" spans="1:21" x14ac:dyDescent="0.2">
      <c r="A108">
        <v>1062</v>
      </c>
      <c r="B108">
        <f t="shared" si="8"/>
        <v>107</v>
      </c>
      <c r="C108" t="s">
        <v>338</v>
      </c>
      <c r="D108">
        <v>60</v>
      </c>
      <c r="E108" t="s">
        <v>51</v>
      </c>
      <c r="F108" t="str">
        <f t="shared" si="9"/>
        <v>Male</v>
      </c>
      <c r="G108" s="1">
        <v>46049</v>
      </c>
      <c r="H108" s="1">
        <v>46040</v>
      </c>
      <c r="I108" t="s">
        <v>339</v>
      </c>
      <c r="J108" t="str">
        <f t="shared" si="10"/>
        <v>Paul Blackburn</v>
      </c>
      <c r="K108" t="s">
        <v>13</v>
      </c>
      <c r="L108" t="str">
        <f t="shared" si="11"/>
        <v>Cardiology</v>
      </c>
      <c r="M108" t="s">
        <v>340</v>
      </c>
      <c r="N108" t="str">
        <f t="shared" si="12"/>
        <v>EUR</v>
      </c>
      <c r="O108">
        <f t="shared" si="13"/>
        <v>253.42</v>
      </c>
      <c r="P108" cm="1">
        <f t="array" ref="P108">_xlfn.IFS(N108="USD",O108*1,N108="GBP",O108*1.27,N108="EUR",O108*1.09,N108="INR",O108*0.012,N108="N/A","N/A")</f>
        <v>276.2278</v>
      </c>
      <c r="Q108" t="s">
        <v>30</v>
      </c>
      <c r="R108" t="str" cm="1">
        <f t="array" ref="R108">_xlfn.IFS(Q108="Y","Yes", Q108="Yes","Yes", Q108="N","No", Q108="No","No", Q108=1,"N/A", Q108=0,"N/A", TRUE,"")</f>
        <v>No</v>
      </c>
      <c r="S108">
        <f t="shared" si="14"/>
        <v>6</v>
      </c>
      <c r="T108">
        <f t="shared" si="15"/>
        <v>1</v>
      </c>
      <c r="U108" t="str" cm="1">
        <f t="array" ref="U108">_xlfn.IFS(D108&lt;40,"Young Adult",AND(D108&gt;=40,D108&lt;65),"Middle Aged", D108&gt;=65,"Elderly")</f>
        <v>Middle Aged</v>
      </c>
    </row>
    <row r="109" spans="1:21" x14ac:dyDescent="0.2">
      <c r="A109">
        <v>1015</v>
      </c>
      <c r="B109">
        <f t="shared" si="8"/>
        <v>108</v>
      </c>
      <c r="C109" t="s">
        <v>341</v>
      </c>
      <c r="D109">
        <v>68</v>
      </c>
      <c r="E109" t="s">
        <v>16</v>
      </c>
      <c r="F109" t="str">
        <f t="shared" si="9"/>
        <v>Female</v>
      </c>
      <c r="G109" s="1">
        <v>45998</v>
      </c>
      <c r="H109" s="1">
        <v>45740</v>
      </c>
      <c r="I109" t="s">
        <v>342</v>
      </c>
      <c r="J109" t="str">
        <f t="shared" si="10"/>
        <v>Elizabeth Obrien</v>
      </c>
      <c r="K109" t="s">
        <v>18</v>
      </c>
      <c r="L109" t="str">
        <f t="shared" si="11"/>
        <v>Orthopedics</v>
      </c>
      <c r="M109" t="s">
        <v>343</v>
      </c>
      <c r="N109" t="str">
        <f t="shared" si="12"/>
        <v>EUR</v>
      </c>
      <c r="O109">
        <f t="shared" si="13"/>
        <v>359.78</v>
      </c>
      <c r="P109" cm="1">
        <f t="array" ref="P109">_xlfn.IFS(N109="USD",O109*1,N109="GBP",O109*1.27,N109="EUR",O109*1.09,N109="INR",O109*0.012,N109="N/A","N/A")</f>
        <v>392.16019999999997</v>
      </c>
      <c r="Q109" t="s">
        <v>20</v>
      </c>
      <c r="R109" t="str" cm="1">
        <f t="array" ref="R109">_xlfn.IFS(Q109="Y","Yes", Q109="Yes","Yes", Q109="N","No", Q109="No","No", Q109=1,"N/A", Q109=0,"N/A", TRUE,"")</f>
        <v>Yes</v>
      </c>
      <c r="S109">
        <f t="shared" si="14"/>
        <v>17</v>
      </c>
      <c r="T109">
        <f t="shared" si="15"/>
        <v>1</v>
      </c>
      <c r="U109" t="str" cm="1">
        <f t="array" ref="U109">_xlfn.IFS(D109&lt;40,"Young Adult",AND(D109&gt;=40,D109&lt;65),"Middle Aged", D109&gt;=65,"Elderly")</f>
        <v>Elderly</v>
      </c>
    </row>
    <row r="110" spans="1:21" x14ac:dyDescent="0.2">
      <c r="A110">
        <v>1018</v>
      </c>
      <c r="B110">
        <f t="shared" si="8"/>
        <v>109</v>
      </c>
      <c r="C110" t="s">
        <v>344</v>
      </c>
      <c r="D110">
        <v>53</v>
      </c>
      <c r="E110" t="s">
        <v>2937</v>
      </c>
      <c r="F110" t="str">
        <f t="shared" si="9"/>
        <v>N/A</v>
      </c>
      <c r="G110" s="1">
        <v>45941</v>
      </c>
      <c r="H110" s="1">
        <v>45381</v>
      </c>
      <c r="I110" t="s">
        <v>345</v>
      </c>
      <c r="J110" t="str">
        <f t="shared" si="10"/>
        <v>Kayla Stein</v>
      </c>
      <c r="K110" t="s">
        <v>24</v>
      </c>
      <c r="L110" t="str">
        <f t="shared" si="11"/>
        <v>Neurology</v>
      </c>
      <c r="M110" t="s">
        <v>346</v>
      </c>
      <c r="N110" t="str">
        <f t="shared" si="12"/>
        <v>USD</v>
      </c>
      <c r="O110">
        <f t="shared" si="13"/>
        <v>277.20999999999998</v>
      </c>
      <c r="P110" cm="1">
        <f t="array" ref="P110">_xlfn.IFS(N110="USD",O110*1,N110="GBP",O110*1.27,N110="EUR",O110*1.09,N110="INR",O110*0.012,N110="N/A","N/A")</f>
        <v>277.20999999999998</v>
      </c>
      <c r="Q110" t="s">
        <v>36</v>
      </c>
      <c r="R110" t="str" cm="1">
        <f t="array" ref="R110">_xlfn.IFS(Q110="Y","Yes", Q110="Yes","Yes", Q110="N","No", Q110="No","No", Q110=1,"N/A", Q110=0,"N/A", TRUE,"")</f>
        <v>Yes</v>
      </c>
      <c r="S110">
        <f t="shared" si="14"/>
        <v>14</v>
      </c>
      <c r="T110">
        <f t="shared" si="15"/>
        <v>1</v>
      </c>
      <c r="U110" t="str" cm="1">
        <f t="array" ref="U110">_xlfn.IFS(D110&lt;40,"Young Adult",AND(D110&gt;=40,D110&lt;65),"Middle Aged", D110&gt;=65,"Elderly")</f>
        <v>Middle Aged</v>
      </c>
    </row>
    <row r="111" spans="1:21" x14ac:dyDescent="0.2">
      <c r="A111">
        <v>1061</v>
      </c>
      <c r="B111">
        <f t="shared" si="8"/>
        <v>110</v>
      </c>
      <c r="C111" t="s">
        <v>347</v>
      </c>
      <c r="D111">
        <v>18</v>
      </c>
      <c r="E111" t="s">
        <v>51</v>
      </c>
      <c r="F111" t="str">
        <f t="shared" si="9"/>
        <v>Male</v>
      </c>
      <c r="G111" s="1">
        <v>46103</v>
      </c>
      <c r="H111" s="1">
        <v>45570</v>
      </c>
      <c r="I111" t="s">
        <v>348</v>
      </c>
      <c r="J111" t="str">
        <f t="shared" si="10"/>
        <v>Andrew Gray</v>
      </c>
      <c r="K111" t="s">
        <v>24</v>
      </c>
      <c r="L111" t="str">
        <f t="shared" si="11"/>
        <v>Neurology</v>
      </c>
      <c r="M111" t="s">
        <v>349</v>
      </c>
      <c r="N111" t="str">
        <f t="shared" si="12"/>
        <v>GBP</v>
      </c>
      <c r="O111">
        <f t="shared" si="13"/>
        <v>84.69</v>
      </c>
      <c r="P111" cm="1">
        <f t="array" ref="P111">_xlfn.IFS(N111="USD",O111*1,N111="GBP",O111*1.27,N111="EUR",O111*1.09,N111="INR",O111*0.012,N111="N/A","N/A")</f>
        <v>107.55629999999999</v>
      </c>
      <c r="Q111" t="s">
        <v>30</v>
      </c>
      <c r="R111" t="str" cm="1">
        <f t="array" ref="R111">_xlfn.IFS(Q111="Y","Yes", Q111="Yes","Yes", Q111="N","No", Q111="No","No", Q111=1,"N/A", Q111=0,"N/A", TRUE,"")</f>
        <v>No</v>
      </c>
      <c r="S111">
        <f t="shared" si="14"/>
        <v>8</v>
      </c>
      <c r="T111">
        <f t="shared" si="15"/>
        <v>1</v>
      </c>
      <c r="U111" t="str" cm="1">
        <f t="array" ref="U111">_xlfn.IFS(D111&lt;40,"Young Adult",AND(D111&gt;=40,D111&lt;65),"Middle Aged", D111&gt;=65,"Elderly")</f>
        <v>Young Adult</v>
      </c>
    </row>
    <row r="112" spans="1:21" x14ac:dyDescent="0.2">
      <c r="A112">
        <v>1013</v>
      </c>
      <c r="B112">
        <f t="shared" si="8"/>
        <v>111</v>
      </c>
      <c r="C112" t="s">
        <v>350</v>
      </c>
      <c r="D112">
        <v>60</v>
      </c>
      <c r="E112" t="s">
        <v>2937</v>
      </c>
      <c r="F112" t="str">
        <f t="shared" si="9"/>
        <v>N/A</v>
      </c>
      <c r="G112" s="1">
        <v>45759</v>
      </c>
      <c r="H112" s="1">
        <v>45680</v>
      </c>
      <c r="I112" t="s">
        <v>351</v>
      </c>
      <c r="J112" t="str">
        <f t="shared" si="10"/>
        <v>Ashley Flowers</v>
      </c>
      <c r="K112" t="s">
        <v>24</v>
      </c>
      <c r="L112" t="str">
        <f t="shared" si="11"/>
        <v>Neurology</v>
      </c>
      <c r="M112" t="s">
        <v>352</v>
      </c>
      <c r="N112" t="str">
        <f t="shared" si="12"/>
        <v>EUR</v>
      </c>
      <c r="O112">
        <f t="shared" si="13"/>
        <v>96.94</v>
      </c>
      <c r="P112" cm="1">
        <f t="array" ref="P112">_xlfn.IFS(N112="USD",O112*1,N112="GBP",O112*1.27,N112="EUR",O112*1.09,N112="INR",O112*0.012,N112="N/A","N/A")</f>
        <v>105.66460000000001</v>
      </c>
      <c r="Q112" t="s">
        <v>36</v>
      </c>
      <c r="R112" t="str" cm="1">
        <f t="array" ref="R112">_xlfn.IFS(Q112="Y","Yes", Q112="Yes","Yes", Q112="N","No", Q112="No","No", Q112=1,"N/A", Q112=0,"N/A", TRUE,"")</f>
        <v>Yes</v>
      </c>
      <c r="S112">
        <f t="shared" si="14"/>
        <v>10</v>
      </c>
      <c r="T112">
        <f t="shared" si="15"/>
        <v>1</v>
      </c>
      <c r="U112" t="str" cm="1">
        <f t="array" ref="U112">_xlfn.IFS(D112&lt;40,"Young Adult",AND(D112&gt;=40,D112&lt;65),"Middle Aged", D112&gt;=65,"Elderly")</f>
        <v>Middle Aged</v>
      </c>
    </row>
    <row r="113" spans="1:21" x14ac:dyDescent="0.2">
      <c r="A113">
        <v>1087</v>
      </c>
      <c r="B113">
        <f t="shared" si="8"/>
        <v>112</v>
      </c>
      <c r="C113" t="s">
        <v>353</v>
      </c>
      <c r="D113">
        <v>72</v>
      </c>
      <c r="E113" t="s">
        <v>38</v>
      </c>
      <c r="F113" t="str">
        <f t="shared" si="9"/>
        <v>Female</v>
      </c>
      <c r="G113" s="1">
        <v>45834</v>
      </c>
      <c r="H113" s="1">
        <v>45796</v>
      </c>
      <c r="I113" t="s">
        <v>354</v>
      </c>
      <c r="J113" t="str">
        <f t="shared" si="10"/>
        <v>Nicole Chandler</v>
      </c>
      <c r="K113" t="s">
        <v>28</v>
      </c>
      <c r="L113" t="str">
        <f t="shared" si="11"/>
        <v>General</v>
      </c>
      <c r="M113" t="s">
        <v>355</v>
      </c>
      <c r="N113" t="str">
        <f t="shared" si="12"/>
        <v>INR</v>
      </c>
      <c r="O113">
        <f t="shared" si="13"/>
        <v>205.35</v>
      </c>
      <c r="P113" cm="1">
        <f t="array" ref="P113">_xlfn.IFS(N113="USD",O113*1,N113="GBP",O113*1.27,N113="EUR",O113*1.09,N113="INR",O113*0.012,N113="N/A","N/A")</f>
        <v>2.4641999999999999</v>
      </c>
      <c r="Q113">
        <v>1</v>
      </c>
      <c r="R113" t="str" cm="1">
        <f t="array" ref="R113">_xlfn.IFS(Q113="Y","Yes", Q113="Yes","Yes", Q113="N","No", Q113="No","No", Q113=1,"N/A", Q113=0,"N/A", TRUE,"")</f>
        <v>N/A</v>
      </c>
      <c r="S113">
        <f t="shared" si="14"/>
        <v>8</v>
      </c>
      <c r="T113">
        <f t="shared" si="15"/>
        <v>1</v>
      </c>
      <c r="U113" t="str" cm="1">
        <f t="array" ref="U113">_xlfn.IFS(D113&lt;40,"Young Adult",AND(D113&gt;=40,D113&lt;65),"Middle Aged", D113&gt;=65,"Elderly")</f>
        <v>Elderly</v>
      </c>
    </row>
    <row r="114" spans="1:21" x14ac:dyDescent="0.2">
      <c r="A114">
        <v>1090</v>
      </c>
      <c r="B114">
        <f t="shared" si="8"/>
        <v>113</v>
      </c>
      <c r="C114" t="s">
        <v>356</v>
      </c>
      <c r="D114">
        <v>63</v>
      </c>
      <c r="E114" t="s">
        <v>16</v>
      </c>
      <c r="F114" t="str">
        <f t="shared" si="9"/>
        <v>Female</v>
      </c>
      <c r="G114" s="1">
        <v>46019</v>
      </c>
      <c r="H114" s="1">
        <v>46013</v>
      </c>
      <c r="I114" t="s">
        <v>357</v>
      </c>
      <c r="J114" t="str">
        <f t="shared" si="10"/>
        <v>Morgan Green</v>
      </c>
      <c r="K114" t="s">
        <v>24</v>
      </c>
      <c r="L114" t="str">
        <f t="shared" si="11"/>
        <v>Neurology</v>
      </c>
      <c r="M114" t="s">
        <v>358</v>
      </c>
      <c r="N114" t="str">
        <f t="shared" si="12"/>
        <v>INR</v>
      </c>
      <c r="O114">
        <f t="shared" si="13"/>
        <v>155.41999999999999</v>
      </c>
      <c r="P114" cm="1">
        <f t="array" ref="P114">_xlfn.IFS(N114="USD",O114*1,N114="GBP",O114*1.27,N114="EUR",O114*1.09,N114="INR",O114*0.012,N114="N/A","N/A")</f>
        <v>1.8650399999999998</v>
      </c>
      <c r="Q114" t="s">
        <v>20</v>
      </c>
      <c r="R114" t="str" cm="1">
        <f t="array" ref="R114">_xlfn.IFS(Q114="Y","Yes", Q114="Yes","Yes", Q114="N","No", Q114="No","No", Q114=1,"N/A", Q114=0,"N/A", TRUE,"")</f>
        <v>Yes</v>
      </c>
      <c r="S114">
        <f t="shared" si="14"/>
        <v>8</v>
      </c>
      <c r="T114">
        <f t="shared" si="15"/>
        <v>1</v>
      </c>
      <c r="U114" t="str" cm="1">
        <f t="array" ref="U114">_xlfn.IFS(D114&lt;40,"Young Adult",AND(D114&gt;=40,D114&lt;65),"Middle Aged", D114&gt;=65,"Elderly")</f>
        <v>Middle Aged</v>
      </c>
    </row>
    <row r="115" spans="1:21" x14ac:dyDescent="0.2">
      <c r="A115">
        <v>1086</v>
      </c>
      <c r="B115">
        <f t="shared" si="8"/>
        <v>114</v>
      </c>
      <c r="C115" t="s">
        <v>359</v>
      </c>
      <c r="D115">
        <v>80</v>
      </c>
      <c r="E115" t="s">
        <v>38</v>
      </c>
      <c r="F115" t="str">
        <f t="shared" si="9"/>
        <v>Female</v>
      </c>
      <c r="G115" s="1">
        <v>45992</v>
      </c>
      <c r="H115" s="1">
        <v>45593</v>
      </c>
      <c r="I115" t="s">
        <v>360</v>
      </c>
      <c r="J115" t="str">
        <f t="shared" si="10"/>
        <v>Nancy Hernandez</v>
      </c>
      <c r="K115" t="s">
        <v>18</v>
      </c>
      <c r="L115" t="str">
        <f t="shared" si="11"/>
        <v>Orthopedics</v>
      </c>
      <c r="M115" t="s">
        <v>361</v>
      </c>
      <c r="N115" t="str">
        <f t="shared" si="12"/>
        <v>USD</v>
      </c>
      <c r="O115">
        <f t="shared" si="13"/>
        <v>493</v>
      </c>
      <c r="P115" cm="1">
        <f t="array" ref="P115">_xlfn.IFS(N115="USD",O115*1,N115="GBP",O115*1.27,N115="EUR",O115*1.09,N115="INR",O115*0.012,N115="N/A","N/A")</f>
        <v>493</v>
      </c>
      <c r="Q115" t="s">
        <v>36</v>
      </c>
      <c r="R115" t="str" cm="1">
        <f t="array" ref="R115">_xlfn.IFS(Q115="Y","Yes", Q115="Yes","Yes", Q115="N","No", Q115="No","No", Q115=1,"N/A", Q115=0,"N/A", TRUE,"")</f>
        <v>Yes</v>
      </c>
      <c r="S115">
        <f t="shared" si="14"/>
        <v>9</v>
      </c>
      <c r="T115">
        <f t="shared" si="15"/>
        <v>1</v>
      </c>
      <c r="U115" t="str" cm="1">
        <f t="array" ref="U115">_xlfn.IFS(D115&lt;40,"Young Adult",AND(D115&gt;=40,D115&lt;65),"Middle Aged", D115&gt;=65,"Elderly")</f>
        <v>Elderly</v>
      </c>
    </row>
    <row r="116" spans="1:21" x14ac:dyDescent="0.2">
      <c r="A116">
        <v>1047</v>
      </c>
      <c r="B116">
        <f t="shared" si="8"/>
        <v>115</v>
      </c>
      <c r="C116" t="s">
        <v>362</v>
      </c>
      <c r="D116">
        <v>39</v>
      </c>
      <c r="E116" t="s">
        <v>22</v>
      </c>
      <c r="F116" t="str">
        <f t="shared" si="9"/>
        <v>Male</v>
      </c>
      <c r="G116" s="1">
        <v>45983</v>
      </c>
      <c r="H116" s="1">
        <v>45610</v>
      </c>
      <c r="I116" t="s">
        <v>363</v>
      </c>
      <c r="J116" t="str">
        <f t="shared" si="10"/>
        <v>William Cochran</v>
      </c>
      <c r="K116" t="s">
        <v>24</v>
      </c>
      <c r="L116" t="str">
        <f t="shared" si="11"/>
        <v>Neurology</v>
      </c>
      <c r="M116" t="s">
        <v>364</v>
      </c>
      <c r="N116" t="str">
        <f t="shared" si="12"/>
        <v>USD</v>
      </c>
      <c r="O116">
        <f t="shared" si="13"/>
        <v>243.15</v>
      </c>
      <c r="P116" cm="1">
        <f t="array" ref="P116">_xlfn.IFS(N116="USD",O116*1,N116="GBP",O116*1.27,N116="EUR",O116*1.09,N116="INR",O116*0.012,N116="N/A","N/A")</f>
        <v>243.15</v>
      </c>
      <c r="Q116">
        <v>0</v>
      </c>
      <c r="R116" t="str" cm="1">
        <f t="array" ref="R116">_xlfn.IFS(Q116="Y","Yes", Q116="Yes","Yes", Q116="N","No", Q116="No","No", Q116=1,"N/A", Q116=0,"N/A", TRUE,"")</f>
        <v>N/A</v>
      </c>
      <c r="S116">
        <f t="shared" si="14"/>
        <v>17</v>
      </c>
      <c r="T116">
        <f t="shared" si="15"/>
        <v>1</v>
      </c>
      <c r="U116" t="str" cm="1">
        <f t="array" ref="U116">_xlfn.IFS(D116&lt;40,"Young Adult",AND(D116&gt;=40,D116&lt;65),"Middle Aged", D116&gt;=65,"Elderly")</f>
        <v>Young Adult</v>
      </c>
    </row>
    <row r="117" spans="1:21" x14ac:dyDescent="0.2">
      <c r="A117">
        <v>1014</v>
      </c>
      <c r="B117">
        <f t="shared" si="8"/>
        <v>116</v>
      </c>
      <c r="C117" t="s">
        <v>365</v>
      </c>
      <c r="D117">
        <v>81</v>
      </c>
      <c r="E117" t="s">
        <v>38</v>
      </c>
      <c r="F117" t="str">
        <f t="shared" si="9"/>
        <v>Female</v>
      </c>
      <c r="G117" s="1">
        <v>45809</v>
      </c>
      <c r="H117" s="1">
        <v>45523</v>
      </c>
      <c r="I117" t="s">
        <v>366</v>
      </c>
      <c r="J117" t="str">
        <f t="shared" si="10"/>
        <v>Vanessa Pittman</v>
      </c>
      <c r="K117" t="s">
        <v>13</v>
      </c>
      <c r="L117" t="str">
        <f t="shared" si="11"/>
        <v>Cardiology</v>
      </c>
      <c r="M117" t="s">
        <v>367</v>
      </c>
      <c r="N117" t="str">
        <f t="shared" si="12"/>
        <v>EUR</v>
      </c>
      <c r="O117">
        <f t="shared" si="13"/>
        <v>122.6</v>
      </c>
      <c r="P117" cm="1">
        <f t="array" ref="P117">_xlfn.IFS(N117="USD",O117*1,N117="GBP",O117*1.27,N117="EUR",O117*1.09,N117="INR",O117*0.012,N117="N/A","N/A")</f>
        <v>133.63400000000001</v>
      </c>
      <c r="Q117" t="s">
        <v>60</v>
      </c>
      <c r="R117" t="str" cm="1">
        <f t="array" ref="R117">_xlfn.IFS(Q117="Y","Yes", Q117="Yes","Yes", Q117="N","No", Q117="No","No", Q117=1,"N/A", Q117=0,"N/A", TRUE,"")</f>
        <v>No</v>
      </c>
      <c r="S117">
        <f t="shared" si="14"/>
        <v>10</v>
      </c>
      <c r="T117">
        <f t="shared" si="15"/>
        <v>1</v>
      </c>
      <c r="U117" t="str" cm="1">
        <f t="array" ref="U117">_xlfn.IFS(D117&lt;40,"Young Adult",AND(D117&gt;=40,D117&lt;65),"Middle Aged", D117&gt;=65,"Elderly")</f>
        <v>Elderly</v>
      </c>
    </row>
    <row r="118" spans="1:21" x14ac:dyDescent="0.2">
      <c r="A118">
        <v>1047</v>
      </c>
      <c r="B118">
        <f t="shared" si="8"/>
        <v>117</v>
      </c>
      <c r="C118" t="s">
        <v>368</v>
      </c>
      <c r="D118">
        <v>38</v>
      </c>
      <c r="E118" t="s">
        <v>22</v>
      </c>
      <c r="F118" t="str">
        <f t="shared" si="9"/>
        <v>Male</v>
      </c>
      <c r="G118" s="1">
        <v>46006</v>
      </c>
      <c r="H118" s="1">
        <v>45651</v>
      </c>
      <c r="I118" t="s">
        <v>369</v>
      </c>
      <c r="J118" t="str">
        <f t="shared" si="10"/>
        <v>Melanie Blanchard</v>
      </c>
      <c r="K118" t="s">
        <v>13</v>
      </c>
      <c r="L118" t="str">
        <f t="shared" si="11"/>
        <v>Cardiology</v>
      </c>
      <c r="M118" t="s">
        <v>370</v>
      </c>
      <c r="N118" t="str">
        <f t="shared" si="12"/>
        <v>GBP</v>
      </c>
      <c r="O118">
        <f t="shared" si="13"/>
        <v>100.34</v>
      </c>
      <c r="P118" cm="1">
        <f t="array" ref="P118">_xlfn.IFS(N118="USD",O118*1,N118="GBP",O118*1.27,N118="EUR",O118*1.09,N118="INR",O118*0.012,N118="N/A","N/A")</f>
        <v>127.43180000000001</v>
      </c>
      <c r="Q118" t="s">
        <v>20</v>
      </c>
      <c r="R118" t="str" cm="1">
        <f t="array" ref="R118">_xlfn.IFS(Q118="Y","Yes", Q118="Yes","Yes", Q118="N","No", Q118="No","No", Q118=1,"N/A", Q118=0,"N/A", TRUE,"")</f>
        <v>Yes</v>
      </c>
      <c r="S118">
        <f t="shared" si="14"/>
        <v>17</v>
      </c>
      <c r="T118">
        <f t="shared" si="15"/>
        <v>1</v>
      </c>
      <c r="U118" t="str" cm="1">
        <f t="array" ref="U118">_xlfn.IFS(D118&lt;40,"Young Adult",AND(D118&gt;=40,D118&lt;65),"Middle Aged", D118&gt;=65,"Elderly")</f>
        <v>Young Adult</v>
      </c>
    </row>
    <row r="119" spans="1:21" x14ac:dyDescent="0.2">
      <c r="A119">
        <v>1073</v>
      </c>
      <c r="B119">
        <f t="shared" si="8"/>
        <v>118</v>
      </c>
      <c r="C119" t="s">
        <v>371</v>
      </c>
      <c r="D119">
        <v>38</v>
      </c>
      <c r="E119" t="s">
        <v>2937</v>
      </c>
      <c r="F119" t="str">
        <f t="shared" si="9"/>
        <v>N/A</v>
      </c>
      <c r="G119" s="1">
        <v>45990</v>
      </c>
      <c r="H119" s="1">
        <v>45849</v>
      </c>
      <c r="I119" t="s">
        <v>372</v>
      </c>
      <c r="J119" t="str">
        <f t="shared" si="10"/>
        <v>Breanna Gray</v>
      </c>
      <c r="K119" t="s">
        <v>18</v>
      </c>
      <c r="L119" t="str">
        <f t="shared" si="11"/>
        <v>Orthopedics</v>
      </c>
      <c r="M119" t="s">
        <v>373</v>
      </c>
      <c r="N119" t="str">
        <f t="shared" si="12"/>
        <v>INR</v>
      </c>
      <c r="O119">
        <f t="shared" si="13"/>
        <v>335.07</v>
      </c>
      <c r="P119" cm="1">
        <f t="array" ref="P119">_xlfn.IFS(N119="USD",O119*1,N119="GBP",O119*1.27,N119="EUR",O119*1.09,N119="INR",O119*0.012,N119="N/A","N/A")</f>
        <v>4.0208399999999997</v>
      </c>
      <c r="Q119" t="s">
        <v>60</v>
      </c>
      <c r="R119" t="str" cm="1">
        <f t="array" ref="R119">_xlfn.IFS(Q119="Y","Yes", Q119="Yes","Yes", Q119="N","No", Q119="No","No", Q119=1,"N/A", Q119=0,"N/A", TRUE,"")</f>
        <v>No</v>
      </c>
      <c r="S119">
        <f t="shared" si="14"/>
        <v>11</v>
      </c>
      <c r="T119">
        <f t="shared" si="15"/>
        <v>1</v>
      </c>
      <c r="U119" t="str" cm="1">
        <f t="array" ref="U119">_xlfn.IFS(D119&lt;40,"Young Adult",AND(D119&gt;=40,D119&lt;65),"Middle Aged", D119&gt;=65,"Elderly")</f>
        <v>Young Adult</v>
      </c>
    </row>
    <row r="120" spans="1:21" x14ac:dyDescent="0.2">
      <c r="A120">
        <v>1093</v>
      </c>
      <c r="B120">
        <f t="shared" si="8"/>
        <v>119</v>
      </c>
      <c r="C120" t="s">
        <v>374</v>
      </c>
      <c r="D120">
        <v>79</v>
      </c>
      <c r="E120" t="s">
        <v>38</v>
      </c>
      <c r="F120" t="str">
        <f t="shared" si="9"/>
        <v>Female</v>
      </c>
      <c r="G120" s="1">
        <v>45745</v>
      </c>
      <c r="H120" s="1">
        <v>45470</v>
      </c>
      <c r="I120" t="s">
        <v>375</v>
      </c>
      <c r="J120" t="str">
        <f t="shared" si="10"/>
        <v>George Flores</v>
      </c>
      <c r="K120" t="s">
        <v>18</v>
      </c>
      <c r="L120" t="str">
        <f t="shared" si="11"/>
        <v>Orthopedics</v>
      </c>
      <c r="M120" t="s">
        <v>376</v>
      </c>
      <c r="N120" t="str">
        <f t="shared" si="12"/>
        <v>GBP</v>
      </c>
      <c r="O120">
        <f t="shared" si="13"/>
        <v>154.29</v>
      </c>
      <c r="P120" cm="1">
        <f t="array" ref="P120">_xlfn.IFS(N120="USD",O120*1,N120="GBP",O120*1.27,N120="EUR",O120*1.09,N120="INR",O120*0.012,N120="N/A","N/A")</f>
        <v>195.94829999999999</v>
      </c>
      <c r="Q120" t="s">
        <v>20</v>
      </c>
      <c r="R120" t="str" cm="1">
        <f t="array" ref="R120">_xlfn.IFS(Q120="Y","Yes", Q120="Yes","Yes", Q120="N","No", Q120="No","No", Q120=1,"N/A", Q120=0,"N/A", TRUE,"")</f>
        <v>Yes</v>
      </c>
      <c r="S120">
        <f t="shared" si="14"/>
        <v>11</v>
      </c>
      <c r="T120">
        <f t="shared" si="15"/>
        <v>1</v>
      </c>
      <c r="U120" t="str" cm="1">
        <f t="array" ref="U120">_xlfn.IFS(D120&lt;40,"Young Adult",AND(D120&gt;=40,D120&lt;65),"Middle Aged", D120&gt;=65,"Elderly")</f>
        <v>Elderly</v>
      </c>
    </row>
    <row r="121" spans="1:21" x14ac:dyDescent="0.2">
      <c r="A121">
        <v>1027</v>
      </c>
      <c r="B121">
        <f t="shared" si="8"/>
        <v>120</v>
      </c>
      <c r="C121" t="s">
        <v>377</v>
      </c>
      <c r="D121">
        <v>54</v>
      </c>
      <c r="E121" t="s">
        <v>38</v>
      </c>
      <c r="F121" t="str">
        <f t="shared" si="9"/>
        <v>Female</v>
      </c>
      <c r="G121" s="1">
        <v>46018</v>
      </c>
      <c r="H121" s="1">
        <v>45804</v>
      </c>
      <c r="I121" t="s">
        <v>378</v>
      </c>
      <c r="J121" t="str">
        <f t="shared" si="10"/>
        <v>Jennifer Long Dds</v>
      </c>
      <c r="K121" t="s">
        <v>18</v>
      </c>
      <c r="L121" t="str">
        <f t="shared" si="11"/>
        <v>Orthopedics</v>
      </c>
      <c r="M121" t="s">
        <v>379</v>
      </c>
      <c r="N121" t="str">
        <f t="shared" si="12"/>
        <v>USD</v>
      </c>
      <c r="O121">
        <f t="shared" si="13"/>
        <v>412.07</v>
      </c>
      <c r="P121" cm="1">
        <f t="array" ref="P121">_xlfn.IFS(N121="USD",O121*1,N121="GBP",O121*1.27,N121="EUR",O121*1.09,N121="INR",O121*0.012,N121="N/A","N/A")</f>
        <v>412.07</v>
      </c>
      <c r="Q121">
        <v>0</v>
      </c>
      <c r="R121" t="str" cm="1">
        <f t="array" ref="R121">_xlfn.IFS(Q121="Y","Yes", Q121="Yes","Yes", Q121="N","No", Q121="No","No", Q121=1,"N/A", Q121=0,"N/A", TRUE,"")</f>
        <v>N/A</v>
      </c>
      <c r="S121">
        <f t="shared" si="14"/>
        <v>12</v>
      </c>
      <c r="T121">
        <f t="shared" si="15"/>
        <v>1</v>
      </c>
      <c r="U121" t="str" cm="1">
        <f t="array" ref="U121">_xlfn.IFS(D121&lt;40,"Young Adult",AND(D121&gt;=40,D121&lt;65),"Middle Aged", D121&gt;=65,"Elderly")</f>
        <v>Middle Aged</v>
      </c>
    </row>
    <row r="122" spans="1:21" x14ac:dyDescent="0.2">
      <c r="A122">
        <v>1037</v>
      </c>
      <c r="B122">
        <f t="shared" si="8"/>
        <v>121</v>
      </c>
      <c r="C122" t="s">
        <v>380</v>
      </c>
      <c r="D122">
        <v>22</v>
      </c>
      <c r="E122" t="s">
        <v>38</v>
      </c>
      <c r="F122" t="str">
        <f t="shared" si="9"/>
        <v>Female</v>
      </c>
      <c r="G122" s="1">
        <v>46081</v>
      </c>
      <c r="H122" s="1">
        <v>45738</v>
      </c>
      <c r="I122" t="s">
        <v>381</v>
      </c>
      <c r="J122" t="str">
        <f t="shared" si="10"/>
        <v>Chase Clark</v>
      </c>
      <c r="K122" t="s">
        <v>24</v>
      </c>
      <c r="L122" t="str">
        <f t="shared" si="11"/>
        <v>Neurology</v>
      </c>
      <c r="M122" t="s">
        <v>382</v>
      </c>
      <c r="N122" t="str">
        <f t="shared" si="12"/>
        <v>INR</v>
      </c>
      <c r="O122">
        <f t="shared" si="13"/>
        <v>401.33</v>
      </c>
      <c r="P122" cm="1">
        <f t="array" ref="P122">_xlfn.IFS(N122="USD",O122*1,N122="GBP",O122*1.27,N122="EUR",O122*1.09,N122="INR",O122*0.012,N122="N/A","N/A")</f>
        <v>4.8159599999999996</v>
      </c>
      <c r="Q122">
        <v>1</v>
      </c>
      <c r="R122" t="str" cm="1">
        <f t="array" ref="R122">_xlfn.IFS(Q122="Y","Yes", Q122="Yes","Yes", Q122="N","No", Q122="No","No", Q122=1,"N/A", Q122=0,"N/A", TRUE,"")</f>
        <v>N/A</v>
      </c>
      <c r="S122">
        <f t="shared" si="14"/>
        <v>5</v>
      </c>
      <c r="T122">
        <f t="shared" si="15"/>
        <v>1</v>
      </c>
      <c r="U122" t="str" cm="1">
        <f t="array" ref="U122">_xlfn.IFS(D122&lt;40,"Young Adult",AND(D122&gt;=40,D122&lt;65),"Middle Aged", D122&gt;=65,"Elderly")</f>
        <v>Young Adult</v>
      </c>
    </row>
    <row r="123" spans="1:21" x14ac:dyDescent="0.2">
      <c r="A123">
        <v>1021</v>
      </c>
      <c r="B123">
        <f t="shared" si="8"/>
        <v>122</v>
      </c>
      <c r="C123" t="s">
        <v>383</v>
      </c>
      <c r="D123">
        <v>27</v>
      </c>
      <c r="E123" t="s">
        <v>2937</v>
      </c>
      <c r="F123" t="str">
        <f t="shared" si="9"/>
        <v>N/A</v>
      </c>
      <c r="G123" s="1">
        <v>45781</v>
      </c>
      <c r="H123" s="1">
        <v>45484</v>
      </c>
      <c r="I123" t="s">
        <v>384</v>
      </c>
      <c r="J123" t="str">
        <f t="shared" si="10"/>
        <v>Michael Gillespie</v>
      </c>
      <c r="K123" t="s">
        <v>28</v>
      </c>
      <c r="L123" t="str">
        <f t="shared" si="11"/>
        <v>General</v>
      </c>
      <c r="M123" t="s">
        <v>385</v>
      </c>
      <c r="N123" t="str">
        <f t="shared" si="12"/>
        <v>USD</v>
      </c>
      <c r="O123">
        <f t="shared" si="13"/>
        <v>486.57</v>
      </c>
      <c r="P123" cm="1">
        <f t="array" ref="P123">_xlfn.IFS(N123="USD",O123*1,N123="GBP",O123*1.27,N123="EUR",O123*1.09,N123="INR",O123*0.012,N123="N/A","N/A")</f>
        <v>486.57</v>
      </c>
      <c r="Q123">
        <v>1</v>
      </c>
      <c r="R123" t="str" cm="1">
        <f t="array" ref="R123">_xlfn.IFS(Q123="Y","Yes", Q123="Yes","Yes", Q123="N","No", Q123="No","No", Q123=1,"N/A", Q123=0,"N/A", TRUE,"")</f>
        <v>N/A</v>
      </c>
      <c r="S123">
        <f t="shared" si="14"/>
        <v>16</v>
      </c>
      <c r="T123">
        <f t="shared" si="15"/>
        <v>1</v>
      </c>
      <c r="U123" t="str" cm="1">
        <f t="array" ref="U123">_xlfn.IFS(D123&lt;40,"Young Adult",AND(D123&gt;=40,D123&lt;65),"Middle Aged", D123&gt;=65,"Elderly")</f>
        <v>Young Adult</v>
      </c>
    </row>
    <row r="124" spans="1:21" x14ac:dyDescent="0.2">
      <c r="A124">
        <v>1007</v>
      </c>
      <c r="B124">
        <f t="shared" si="8"/>
        <v>123</v>
      </c>
      <c r="C124" t="s">
        <v>386</v>
      </c>
      <c r="D124">
        <v>20</v>
      </c>
      <c r="E124" t="s">
        <v>51</v>
      </c>
      <c r="F124" t="str">
        <f t="shared" si="9"/>
        <v>Male</v>
      </c>
      <c r="G124" s="1">
        <v>45977</v>
      </c>
      <c r="H124" s="1">
        <v>45918</v>
      </c>
      <c r="I124" t="s">
        <v>387</v>
      </c>
      <c r="J124" t="str">
        <f t="shared" si="10"/>
        <v>Daniel Bradley</v>
      </c>
      <c r="K124" t="s">
        <v>28</v>
      </c>
      <c r="L124" t="str">
        <f t="shared" si="11"/>
        <v>General</v>
      </c>
      <c r="M124" t="s">
        <v>388</v>
      </c>
      <c r="N124" t="str">
        <f t="shared" si="12"/>
        <v>GBP</v>
      </c>
      <c r="O124">
        <f t="shared" si="13"/>
        <v>482.25</v>
      </c>
      <c r="P124" cm="1">
        <f t="array" ref="P124">_xlfn.IFS(N124="USD",O124*1,N124="GBP",O124*1.27,N124="EUR",O124*1.09,N124="INR",O124*0.012,N124="N/A","N/A")</f>
        <v>612.45749999999998</v>
      </c>
      <c r="Q124">
        <v>0</v>
      </c>
      <c r="R124" t="str" cm="1">
        <f t="array" ref="R124">_xlfn.IFS(Q124="Y","Yes", Q124="Yes","Yes", Q124="N","No", Q124="No","No", Q124=1,"N/A", Q124=0,"N/A", TRUE,"")</f>
        <v>N/A</v>
      </c>
      <c r="S124">
        <f t="shared" si="14"/>
        <v>3</v>
      </c>
      <c r="T124">
        <f t="shared" si="15"/>
        <v>1</v>
      </c>
      <c r="U124" t="str" cm="1">
        <f t="array" ref="U124">_xlfn.IFS(D124&lt;40,"Young Adult",AND(D124&gt;=40,D124&lt;65),"Middle Aged", D124&gt;=65,"Elderly")</f>
        <v>Young Adult</v>
      </c>
    </row>
    <row r="125" spans="1:21" x14ac:dyDescent="0.2">
      <c r="A125">
        <v>1043</v>
      </c>
      <c r="B125">
        <f t="shared" si="8"/>
        <v>124</v>
      </c>
      <c r="C125" t="s">
        <v>389</v>
      </c>
      <c r="D125">
        <v>31</v>
      </c>
      <c r="E125" t="s">
        <v>2937</v>
      </c>
      <c r="F125" t="str">
        <f t="shared" si="9"/>
        <v>N/A</v>
      </c>
      <c r="G125" s="1">
        <v>45841</v>
      </c>
      <c r="H125" s="1">
        <v>45773</v>
      </c>
      <c r="I125" t="s">
        <v>390</v>
      </c>
      <c r="J125" t="str">
        <f t="shared" si="10"/>
        <v>Theodore Bean</v>
      </c>
      <c r="K125" t="s">
        <v>18</v>
      </c>
      <c r="L125" t="str">
        <f t="shared" si="11"/>
        <v>Orthopedics</v>
      </c>
      <c r="M125" t="s">
        <v>391</v>
      </c>
      <c r="N125" t="str">
        <f t="shared" si="12"/>
        <v>EUR</v>
      </c>
      <c r="O125">
        <f t="shared" si="13"/>
        <v>255.82</v>
      </c>
      <c r="P125" cm="1">
        <f t="array" ref="P125">_xlfn.IFS(N125="USD",O125*1,N125="GBP",O125*1.27,N125="EUR",O125*1.09,N125="INR",O125*0.012,N125="N/A","N/A")</f>
        <v>278.84379999999999</v>
      </c>
      <c r="Q125" t="s">
        <v>60</v>
      </c>
      <c r="R125" t="str" cm="1">
        <f t="array" ref="R125">_xlfn.IFS(Q125="Y","Yes", Q125="Yes","Yes", Q125="N","No", Q125="No","No", Q125=1,"N/A", Q125=0,"N/A", TRUE,"")</f>
        <v>No</v>
      </c>
      <c r="S125">
        <f t="shared" si="14"/>
        <v>12</v>
      </c>
      <c r="T125">
        <f t="shared" si="15"/>
        <v>1</v>
      </c>
      <c r="U125" t="str" cm="1">
        <f t="array" ref="U125">_xlfn.IFS(D125&lt;40,"Young Adult",AND(D125&gt;=40,D125&lt;65),"Middle Aged", D125&gt;=65,"Elderly")</f>
        <v>Young Adult</v>
      </c>
    </row>
    <row r="126" spans="1:21" x14ac:dyDescent="0.2">
      <c r="A126">
        <v>1081</v>
      </c>
      <c r="B126">
        <f t="shared" si="8"/>
        <v>125</v>
      </c>
      <c r="C126" t="s">
        <v>392</v>
      </c>
      <c r="D126">
        <v>86</v>
      </c>
      <c r="E126" t="s">
        <v>2937</v>
      </c>
      <c r="F126" t="str">
        <f t="shared" si="9"/>
        <v>N/A</v>
      </c>
      <c r="G126" s="1">
        <v>45861</v>
      </c>
      <c r="H126" s="1">
        <v>45769</v>
      </c>
      <c r="I126" t="s">
        <v>393</v>
      </c>
      <c r="J126" t="str">
        <f t="shared" si="10"/>
        <v>Michael Bond</v>
      </c>
      <c r="K126" t="s">
        <v>28</v>
      </c>
      <c r="L126" t="str">
        <f t="shared" si="11"/>
        <v>General</v>
      </c>
      <c r="M126" t="s">
        <v>394</v>
      </c>
      <c r="N126" t="str">
        <f t="shared" si="12"/>
        <v>EUR</v>
      </c>
      <c r="O126">
        <f t="shared" si="13"/>
        <v>258.12</v>
      </c>
      <c r="P126" cm="1">
        <f t="array" ref="P126">_xlfn.IFS(N126="USD",O126*1,N126="GBP",O126*1.27,N126="EUR",O126*1.09,N126="INR",O126*0.012,N126="N/A","N/A")</f>
        <v>281.35080000000005</v>
      </c>
      <c r="Q126" t="s">
        <v>30</v>
      </c>
      <c r="R126" t="str" cm="1">
        <f t="array" ref="R126">_xlfn.IFS(Q126="Y","Yes", Q126="Yes","Yes", Q126="N","No", Q126="No","No", Q126=1,"N/A", Q126=0,"N/A", TRUE,"")</f>
        <v>No</v>
      </c>
      <c r="S126">
        <f t="shared" si="14"/>
        <v>9</v>
      </c>
      <c r="T126">
        <f t="shared" si="15"/>
        <v>1</v>
      </c>
      <c r="U126" t="str" cm="1">
        <f t="array" ref="U126">_xlfn.IFS(D126&lt;40,"Young Adult",AND(D126&gt;=40,D126&lt;65),"Middle Aged", D126&gt;=65,"Elderly")</f>
        <v>Elderly</v>
      </c>
    </row>
    <row r="127" spans="1:21" x14ac:dyDescent="0.2">
      <c r="A127">
        <v>1053</v>
      </c>
      <c r="B127">
        <f t="shared" si="8"/>
        <v>126</v>
      </c>
      <c r="C127" t="s">
        <v>395</v>
      </c>
      <c r="D127">
        <v>81</v>
      </c>
      <c r="E127" t="s">
        <v>2937</v>
      </c>
      <c r="F127" t="str">
        <f t="shared" si="9"/>
        <v>N/A</v>
      </c>
      <c r="G127" s="1">
        <v>45770</v>
      </c>
      <c r="H127" s="1">
        <v>45656</v>
      </c>
      <c r="I127" t="s">
        <v>396</v>
      </c>
      <c r="J127" t="str">
        <f t="shared" si="10"/>
        <v>Steve Bush</v>
      </c>
      <c r="K127" t="s">
        <v>28</v>
      </c>
      <c r="L127" t="str">
        <f t="shared" si="11"/>
        <v>General</v>
      </c>
      <c r="M127" t="s">
        <v>397</v>
      </c>
      <c r="N127" t="str">
        <f t="shared" si="12"/>
        <v>USD</v>
      </c>
      <c r="O127">
        <f t="shared" si="13"/>
        <v>162.94</v>
      </c>
      <c r="P127" cm="1">
        <f t="array" ref="P127">_xlfn.IFS(N127="USD",O127*1,N127="GBP",O127*1.27,N127="EUR",O127*1.09,N127="INR",O127*0.012,N127="N/A","N/A")</f>
        <v>162.94</v>
      </c>
      <c r="Q127" t="s">
        <v>60</v>
      </c>
      <c r="R127" t="str" cm="1">
        <f t="array" ref="R127">_xlfn.IFS(Q127="Y","Yes", Q127="Yes","Yes", Q127="N","No", Q127="No","No", Q127=1,"N/A", Q127=0,"N/A", TRUE,"")</f>
        <v>No</v>
      </c>
      <c r="S127">
        <f t="shared" si="14"/>
        <v>14</v>
      </c>
      <c r="T127">
        <f t="shared" si="15"/>
        <v>1</v>
      </c>
      <c r="U127" t="str" cm="1">
        <f t="array" ref="U127">_xlfn.IFS(D127&lt;40,"Young Adult",AND(D127&gt;=40,D127&lt;65),"Middle Aged", D127&gt;=65,"Elderly")</f>
        <v>Elderly</v>
      </c>
    </row>
    <row r="128" spans="1:21" x14ac:dyDescent="0.2">
      <c r="A128">
        <v>1035</v>
      </c>
      <c r="B128">
        <f t="shared" si="8"/>
        <v>127</v>
      </c>
      <c r="C128" t="s">
        <v>398</v>
      </c>
      <c r="D128">
        <v>58</v>
      </c>
      <c r="E128" t="s">
        <v>22</v>
      </c>
      <c r="F128" t="str">
        <f t="shared" si="9"/>
        <v>Male</v>
      </c>
      <c r="G128" s="1">
        <v>46045</v>
      </c>
      <c r="H128" s="1">
        <v>45396</v>
      </c>
      <c r="I128" t="s">
        <v>399</v>
      </c>
      <c r="J128" t="str">
        <f t="shared" si="10"/>
        <v>Penny Freeman</v>
      </c>
      <c r="K128" t="s">
        <v>13</v>
      </c>
      <c r="L128" t="str">
        <f t="shared" si="11"/>
        <v>Cardiology</v>
      </c>
      <c r="M128" t="s">
        <v>400</v>
      </c>
      <c r="N128" t="str">
        <f t="shared" si="12"/>
        <v>GBP</v>
      </c>
      <c r="O128">
        <f t="shared" si="13"/>
        <v>153.05000000000001</v>
      </c>
      <c r="P128" cm="1">
        <f t="array" ref="P128">_xlfn.IFS(N128="USD",O128*1,N128="GBP",O128*1.27,N128="EUR",O128*1.09,N128="INR",O128*0.012,N128="N/A","N/A")</f>
        <v>194.37350000000001</v>
      </c>
      <c r="Q128" t="s">
        <v>20</v>
      </c>
      <c r="R128" t="str" cm="1">
        <f t="array" ref="R128">_xlfn.IFS(Q128="Y","Yes", Q128="Yes","Yes", Q128="N","No", Q128="No","No", Q128=1,"N/A", Q128=0,"N/A", TRUE,"")</f>
        <v>Yes</v>
      </c>
      <c r="S128">
        <f t="shared" si="14"/>
        <v>9</v>
      </c>
      <c r="T128">
        <f t="shared" si="15"/>
        <v>1</v>
      </c>
      <c r="U128" t="str" cm="1">
        <f t="array" ref="U128">_xlfn.IFS(D128&lt;40,"Young Adult",AND(D128&gt;=40,D128&lt;65),"Middle Aged", D128&gt;=65,"Elderly")</f>
        <v>Middle Aged</v>
      </c>
    </row>
    <row r="129" spans="1:21" x14ac:dyDescent="0.2">
      <c r="A129">
        <v>1036</v>
      </c>
      <c r="B129">
        <f t="shared" si="8"/>
        <v>128</v>
      </c>
      <c r="C129" t="s">
        <v>401</v>
      </c>
      <c r="D129">
        <v>38</v>
      </c>
      <c r="E129" t="s">
        <v>2937</v>
      </c>
      <c r="F129" t="str">
        <f t="shared" si="9"/>
        <v>N/A</v>
      </c>
      <c r="G129" s="1">
        <v>45742</v>
      </c>
      <c r="H129" s="1">
        <v>45718</v>
      </c>
      <c r="I129" t="s">
        <v>402</v>
      </c>
      <c r="J129" t="str">
        <f t="shared" si="10"/>
        <v>Willie Williams</v>
      </c>
      <c r="K129" t="s">
        <v>13</v>
      </c>
      <c r="L129" t="str">
        <f t="shared" si="11"/>
        <v>Cardiology</v>
      </c>
      <c r="M129" t="s">
        <v>403</v>
      </c>
      <c r="N129" t="str">
        <f t="shared" si="12"/>
        <v>GBP</v>
      </c>
      <c r="O129">
        <f t="shared" si="13"/>
        <v>114.64</v>
      </c>
      <c r="P129" cm="1">
        <f t="array" ref="P129">_xlfn.IFS(N129="USD",O129*1,N129="GBP",O129*1.27,N129="EUR",O129*1.09,N129="INR",O129*0.012,N129="N/A","N/A")</f>
        <v>145.59280000000001</v>
      </c>
      <c r="Q129" t="s">
        <v>60</v>
      </c>
      <c r="R129" t="str" cm="1">
        <f t="array" ref="R129">_xlfn.IFS(Q129="Y","Yes", Q129="Yes","Yes", Q129="N","No", Q129="No","No", Q129=1,"N/A", Q129=0,"N/A", TRUE,"")</f>
        <v>No</v>
      </c>
      <c r="S129">
        <f t="shared" si="14"/>
        <v>14</v>
      </c>
      <c r="T129">
        <f t="shared" si="15"/>
        <v>1</v>
      </c>
      <c r="U129" t="str" cm="1">
        <f t="array" ref="U129">_xlfn.IFS(D129&lt;40,"Young Adult",AND(D129&gt;=40,D129&lt;65),"Middle Aged", D129&gt;=65,"Elderly")</f>
        <v>Young Adult</v>
      </c>
    </row>
    <row r="130" spans="1:21" x14ac:dyDescent="0.2">
      <c r="A130">
        <v>1052</v>
      </c>
      <c r="B130">
        <f t="shared" si="8"/>
        <v>129</v>
      </c>
      <c r="C130" t="s">
        <v>404</v>
      </c>
      <c r="D130">
        <v>22</v>
      </c>
      <c r="E130" t="s">
        <v>38</v>
      </c>
      <c r="F130" t="str">
        <f t="shared" si="9"/>
        <v>Female</v>
      </c>
      <c r="G130" s="1">
        <v>45954</v>
      </c>
      <c r="H130" s="1">
        <v>45663</v>
      </c>
      <c r="I130" t="s">
        <v>405</v>
      </c>
      <c r="J130" t="str">
        <f t="shared" si="10"/>
        <v>Douglas Ford</v>
      </c>
      <c r="K130" t="s">
        <v>18</v>
      </c>
      <c r="L130" t="str">
        <f t="shared" si="11"/>
        <v>Orthopedics</v>
      </c>
      <c r="M130" t="s">
        <v>406</v>
      </c>
      <c r="N130" t="str">
        <f t="shared" si="12"/>
        <v>GBP</v>
      </c>
      <c r="O130">
        <f t="shared" si="13"/>
        <v>381.62</v>
      </c>
      <c r="P130" cm="1">
        <f t="array" ref="P130">_xlfn.IFS(N130="USD",O130*1,N130="GBP",O130*1.27,N130="EUR",O130*1.09,N130="INR",O130*0.012,N130="N/A","N/A")</f>
        <v>484.6574</v>
      </c>
      <c r="Q130">
        <v>0</v>
      </c>
      <c r="R130" t="str" cm="1">
        <f t="array" ref="R130">_xlfn.IFS(Q130="Y","Yes", Q130="Yes","Yes", Q130="N","No", Q130="No","No", Q130=1,"N/A", Q130=0,"N/A", TRUE,"")</f>
        <v>N/A</v>
      </c>
      <c r="S130">
        <f t="shared" si="14"/>
        <v>8</v>
      </c>
      <c r="T130">
        <f t="shared" si="15"/>
        <v>1</v>
      </c>
      <c r="U130" t="str" cm="1">
        <f t="array" ref="U130">_xlfn.IFS(D130&lt;40,"Young Adult",AND(D130&gt;=40,D130&lt;65),"Middle Aged", D130&gt;=65,"Elderly")</f>
        <v>Young Adult</v>
      </c>
    </row>
    <row r="131" spans="1:21" x14ac:dyDescent="0.2">
      <c r="A131">
        <v>1058</v>
      </c>
      <c r="B131">
        <f t="shared" ref="B131:B194" si="16">ROW()-1</f>
        <v>130</v>
      </c>
      <c r="C131" t="s">
        <v>407</v>
      </c>
      <c r="D131">
        <v>83</v>
      </c>
      <c r="E131" t="s">
        <v>38</v>
      </c>
      <c r="F131" t="str">
        <f t="shared" ref="F131:F194" si="17">IF(E131="male","Male",IF(E131="female","Female",IF(E131="F","Female",IF(E131="M","Male",IF(E131="N/A","N/A")))))</f>
        <v>Female</v>
      </c>
      <c r="G131" s="1">
        <v>46009</v>
      </c>
      <c r="H131" s="1">
        <v>45768</v>
      </c>
      <c r="I131" t="s">
        <v>408</v>
      </c>
      <c r="J131" t="str">
        <f t="shared" ref="J131:J194" si="18">PROPER(I131)</f>
        <v>Christopher Ferguson</v>
      </c>
      <c r="K131" t="s">
        <v>24</v>
      </c>
      <c r="L131" t="str">
        <f t="shared" ref="L131:L194" si="19">PROPER(K131)</f>
        <v>Neurology</v>
      </c>
      <c r="M131" t="s">
        <v>409</v>
      </c>
      <c r="N131" t="str">
        <f t="shared" ref="N131:N194" si="20">IF(LEFT(M131,1)="$","USD",IF(LEFT(M131,2)="Rs","INR",IF(LEFT(M131,2)="¬£","GBP",IF(LEFT(M131,3)="‚Ç¨","EUR","N/A"))))</f>
        <v>GBP</v>
      </c>
      <c r="O131">
        <f t="shared" ref="O131:O194" si="21">IFERROR(VALUE(SUBSTITUTE(SUBSTITUTE(SUBSTITUTE(SUBSTITUTE(M131,"$",""), "Rs",""),"¬£",""),"‚Ç¨","")), "")</f>
        <v>215.46</v>
      </c>
      <c r="P131" cm="1">
        <f t="array" ref="P131">_xlfn.IFS(N131="USD",O131*1,N131="GBP",O131*1.27,N131="EUR",O131*1.09,N131="INR",O131*0.012,N131="N/A","N/A")</f>
        <v>273.63420000000002</v>
      </c>
      <c r="Q131" t="s">
        <v>36</v>
      </c>
      <c r="R131" t="str" cm="1">
        <f t="array" ref="R131">_xlfn.IFS(Q131="Y","Yes", Q131="Yes","Yes", Q131="N","No", Q131="No","No", Q131=1,"N/A", Q131=0,"N/A", TRUE,"")</f>
        <v>Yes</v>
      </c>
      <c r="S131">
        <f t="shared" ref="S131:S194" si="22">COUNTIF($A$2:$A$1001, A131)</f>
        <v>17</v>
      </c>
      <c r="T131">
        <f t="shared" ref="T131:T194" si="23">COUNTIFS($A$2:$A$1001, A131, $C$2:$C$1001, C131)</f>
        <v>1</v>
      </c>
      <c r="U131" t="str" cm="1">
        <f t="array" ref="U131">_xlfn.IFS(D131&lt;40,"Young Adult",AND(D131&gt;=40,D131&lt;65),"Middle Aged", D131&gt;=65,"Elderly")</f>
        <v>Elderly</v>
      </c>
    </row>
    <row r="132" spans="1:21" x14ac:dyDescent="0.2">
      <c r="A132">
        <v>1074</v>
      </c>
      <c r="B132">
        <f t="shared" si="16"/>
        <v>131</v>
      </c>
      <c r="C132" t="s">
        <v>410</v>
      </c>
      <c r="D132">
        <v>19</v>
      </c>
      <c r="E132" t="s">
        <v>16</v>
      </c>
      <c r="F132" t="str">
        <f t="shared" si="17"/>
        <v>Female</v>
      </c>
      <c r="G132" s="1">
        <v>45771</v>
      </c>
      <c r="H132" s="1">
        <v>45573</v>
      </c>
      <c r="I132" t="s">
        <v>411</v>
      </c>
      <c r="J132" t="str">
        <f t="shared" si="18"/>
        <v>Gabrielle Collins</v>
      </c>
      <c r="K132" t="s">
        <v>24</v>
      </c>
      <c r="L132" t="str">
        <f t="shared" si="19"/>
        <v>Neurology</v>
      </c>
      <c r="M132" t="s">
        <v>412</v>
      </c>
      <c r="N132" t="str">
        <f t="shared" si="20"/>
        <v>USD</v>
      </c>
      <c r="O132">
        <f t="shared" si="21"/>
        <v>455.75</v>
      </c>
      <c r="P132" cm="1">
        <f t="array" ref="P132">_xlfn.IFS(N132="USD",O132*1,N132="GBP",O132*1.27,N132="EUR",O132*1.09,N132="INR",O132*0.012,N132="N/A","N/A")</f>
        <v>455.75</v>
      </c>
      <c r="Q132">
        <v>0</v>
      </c>
      <c r="R132" t="str" cm="1">
        <f t="array" ref="R132">_xlfn.IFS(Q132="Y","Yes", Q132="Yes","Yes", Q132="N","No", Q132="No","No", Q132=1,"N/A", Q132=0,"N/A", TRUE,"")</f>
        <v>N/A</v>
      </c>
      <c r="S132">
        <f t="shared" si="22"/>
        <v>17</v>
      </c>
      <c r="T132">
        <f t="shared" si="23"/>
        <v>1</v>
      </c>
      <c r="U132" t="str" cm="1">
        <f t="array" ref="U132">_xlfn.IFS(D132&lt;40,"Young Adult",AND(D132&gt;=40,D132&lt;65),"Middle Aged", D132&gt;=65,"Elderly")</f>
        <v>Young Adult</v>
      </c>
    </row>
    <row r="133" spans="1:21" x14ac:dyDescent="0.2">
      <c r="A133">
        <v>1018</v>
      </c>
      <c r="B133">
        <f t="shared" si="16"/>
        <v>132</v>
      </c>
      <c r="C133" t="s">
        <v>413</v>
      </c>
      <c r="D133">
        <v>54</v>
      </c>
      <c r="E133" t="s">
        <v>16</v>
      </c>
      <c r="F133" t="str">
        <f t="shared" si="17"/>
        <v>Female</v>
      </c>
      <c r="G133" s="1">
        <v>46106</v>
      </c>
      <c r="H133" s="1">
        <v>45540</v>
      </c>
      <c r="I133" t="s">
        <v>414</v>
      </c>
      <c r="J133" t="str">
        <f t="shared" si="18"/>
        <v>Anne Watkins</v>
      </c>
      <c r="K133" t="s">
        <v>28</v>
      </c>
      <c r="L133" t="str">
        <f t="shared" si="19"/>
        <v>General</v>
      </c>
      <c r="M133" t="s">
        <v>415</v>
      </c>
      <c r="N133" t="str">
        <f t="shared" si="20"/>
        <v>GBP</v>
      </c>
      <c r="O133">
        <f t="shared" si="21"/>
        <v>325.97000000000003</v>
      </c>
      <c r="P133" cm="1">
        <f t="array" ref="P133">_xlfn.IFS(N133="USD",O133*1,N133="GBP",O133*1.27,N133="EUR",O133*1.09,N133="INR",O133*0.012,N133="N/A","N/A")</f>
        <v>413.98190000000005</v>
      </c>
      <c r="Q133">
        <v>1</v>
      </c>
      <c r="R133" t="str" cm="1">
        <f t="array" ref="R133">_xlfn.IFS(Q133="Y","Yes", Q133="Yes","Yes", Q133="N","No", Q133="No","No", Q133=1,"N/A", Q133=0,"N/A", TRUE,"")</f>
        <v>N/A</v>
      </c>
      <c r="S133">
        <f t="shared" si="22"/>
        <v>14</v>
      </c>
      <c r="T133">
        <f t="shared" si="23"/>
        <v>1</v>
      </c>
      <c r="U133" t="str" cm="1">
        <f t="array" ref="U133">_xlfn.IFS(D133&lt;40,"Young Adult",AND(D133&gt;=40,D133&lt;65),"Middle Aged", D133&gt;=65,"Elderly")</f>
        <v>Middle Aged</v>
      </c>
    </row>
    <row r="134" spans="1:21" x14ac:dyDescent="0.2">
      <c r="A134">
        <v>1033</v>
      </c>
      <c r="B134">
        <f t="shared" si="16"/>
        <v>133</v>
      </c>
      <c r="C134" t="s">
        <v>416</v>
      </c>
      <c r="D134">
        <v>68</v>
      </c>
      <c r="E134" t="s">
        <v>51</v>
      </c>
      <c r="F134" t="str">
        <f t="shared" si="17"/>
        <v>Male</v>
      </c>
      <c r="G134" s="1">
        <v>45958</v>
      </c>
      <c r="H134" s="1">
        <v>45581</v>
      </c>
      <c r="I134" t="s">
        <v>230</v>
      </c>
      <c r="J134" t="str">
        <f t="shared" si="18"/>
        <v>Jennifer Adams</v>
      </c>
      <c r="K134" t="s">
        <v>28</v>
      </c>
      <c r="L134" t="str">
        <f t="shared" si="19"/>
        <v>General</v>
      </c>
      <c r="M134" t="s">
        <v>417</v>
      </c>
      <c r="N134" t="str">
        <f t="shared" si="20"/>
        <v>USD</v>
      </c>
      <c r="O134">
        <f t="shared" si="21"/>
        <v>468.06</v>
      </c>
      <c r="P134" cm="1">
        <f t="array" ref="P134">_xlfn.IFS(N134="USD",O134*1,N134="GBP",O134*1.27,N134="EUR",O134*1.09,N134="INR",O134*0.012,N134="N/A","N/A")</f>
        <v>468.06</v>
      </c>
      <c r="Q134" t="s">
        <v>36</v>
      </c>
      <c r="R134" t="str" cm="1">
        <f t="array" ref="R134">_xlfn.IFS(Q134="Y","Yes", Q134="Yes","Yes", Q134="N","No", Q134="No","No", Q134=1,"N/A", Q134=0,"N/A", TRUE,"")</f>
        <v>Yes</v>
      </c>
      <c r="S134">
        <f t="shared" si="22"/>
        <v>11</v>
      </c>
      <c r="T134">
        <f t="shared" si="23"/>
        <v>1</v>
      </c>
      <c r="U134" t="str" cm="1">
        <f t="array" ref="U134">_xlfn.IFS(D134&lt;40,"Young Adult",AND(D134&gt;=40,D134&lt;65),"Middle Aged", D134&gt;=65,"Elderly")</f>
        <v>Elderly</v>
      </c>
    </row>
    <row r="135" spans="1:21" x14ac:dyDescent="0.2">
      <c r="A135">
        <v>1045</v>
      </c>
      <c r="B135">
        <f t="shared" si="16"/>
        <v>134</v>
      </c>
      <c r="C135" t="s">
        <v>418</v>
      </c>
      <c r="D135">
        <v>55</v>
      </c>
      <c r="E135" t="s">
        <v>38</v>
      </c>
      <c r="F135" t="str">
        <f t="shared" si="17"/>
        <v>Female</v>
      </c>
      <c r="G135" s="1">
        <v>46024</v>
      </c>
      <c r="H135" s="1">
        <v>45393</v>
      </c>
      <c r="I135" t="s">
        <v>419</v>
      </c>
      <c r="J135" t="str">
        <f t="shared" si="18"/>
        <v>Jennifer Russell</v>
      </c>
      <c r="K135" t="s">
        <v>28</v>
      </c>
      <c r="L135" t="str">
        <f t="shared" si="19"/>
        <v>General</v>
      </c>
      <c r="M135" t="s">
        <v>420</v>
      </c>
      <c r="N135" t="str">
        <f t="shared" si="20"/>
        <v>GBP</v>
      </c>
      <c r="O135">
        <f t="shared" si="21"/>
        <v>377.14</v>
      </c>
      <c r="P135" cm="1">
        <f t="array" ref="P135">_xlfn.IFS(N135="USD",O135*1,N135="GBP",O135*1.27,N135="EUR",O135*1.09,N135="INR",O135*0.012,N135="N/A","N/A")</f>
        <v>478.96780000000001</v>
      </c>
      <c r="Q135" t="s">
        <v>36</v>
      </c>
      <c r="R135" t="str" cm="1">
        <f t="array" ref="R135">_xlfn.IFS(Q135="Y","Yes", Q135="Yes","Yes", Q135="N","No", Q135="No","No", Q135=1,"N/A", Q135=0,"N/A", TRUE,"")</f>
        <v>Yes</v>
      </c>
      <c r="S135">
        <f t="shared" si="22"/>
        <v>8</v>
      </c>
      <c r="T135">
        <f t="shared" si="23"/>
        <v>1</v>
      </c>
      <c r="U135" t="str" cm="1">
        <f t="array" ref="U135">_xlfn.IFS(D135&lt;40,"Young Adult",AND(D135&gt;=40,D135&lt;65),"Middle Aged", D135&gt;=65,"Elderly")</f>
        <v>Middle Aged</v>
      </c>
    </row>
    <row r="136" spans="1:21" x14ac:dyDescent="0.2">
      <c r="A136">
        <v>1087</v>
      </c>
      <c r="B136">
        <f t="shared" si="16"/>
        <v>135</v>
      </c>
      <c r="C136" t="s">
        <v>421</v>
      </c>
      <c r="D136">
        <v>80</v>
      </c>
      <c r="E136" t="s">
        <v>2937</v>
      </c>
      <c r="F136" t="str">
        <f t="shared" si="17"/>
        <v>N/A</v>
      </c>
      <c r="G136" s="1">
        <v>46029</v>
      </c>
      <c r="H136" s="1">
        <v>45438</v>
      </c>
      <c r="I136" t="s">
        <v>422</v>
      </c>
      <c r="J136" t="str">
        <f t="shared" si="18"/>
        <v>Cindy Cox</v>
      </c>
      <c r="K136" t="s">
        <v>24</v>
      </c>
      <c r="L136" t="str">
        <f t="shared" si="19"/>
        <v>Neurology</v>
      </c>
      <c r="M136" t="s">
        <v>423</v>
      </c>
      <c r="N136" t="str">
        <f t="shared" si="20"/>
        <v>USD</v>
      </c>
      <c r="O136">
        <f t="shared" si="21"/>
        <v>87.2</v>
      </c>
      <c r="P136" cm="1">
        <f t="array" ref="P136">_xlfn.IFS(N136="USD",O136*1,N136="GBP",O136*1.27,N136="EUR",O136*1.09,N136="INR",O136*0.012,N136="N/A","N/A")</f>
        <v>87.2</v>
      </c>
      <c r="Q136" t="s">
        <v>30</v>
      </c>
      <c r="R136" t="str" cm="1">
        <f t="array" ref="R136">_xlfn.IFS(Q136="Y","Yes", Q136="Yes","Yes", Q136="N","No", Q136="No","No", Q136=1,"N/A", Q136=0,"N/A", TRUE,"")</f>
        <v>No</v>
      </c>
      <c r="S136">
        <f t="shared" si="22"/>
        <v>8</v>
      </c>
      <c r="T136">
        <f t="shared" si="23"/>
        <v>1</v>
      </c>
      <c r="U136" t="str" cm="1">
        <f t="array" ref="U136">_xlfn.IFS(D136&lt;40,"Young Adult",AND(D136&gt;=40,D136&lt;65),"Middle Aged", D136&gt;=65,"Elderly")</f>
        <v>Elderly</v>
      </c>
    </row>
    <row r="137" spans="1:21" x14ac:dyDescent="0.2">
      <c r="A137">
        <v>1043</v>
      </c>
      <c r="B137">
        <f t="shared" si="16"/>
        <v>136</v>
      </c>
      <c r="C137" t="s">
        <v>424</v>
      </c>
      <c r="D137">
        <v>58</v>
      </c>
      <c r="E137" t="s">
        <v>2937</v>
      </c>
      <c r="F137" t="str">
        <f t="shared" si="17"/>
        <v>N/A</v>
      </c>
      <c r="G137" s="1">
        <v>45967</v>
      </c>
      <c r="H137" s="1">
        <v>45792</v>
      </c>
      <c r="I137" t="s">
        <v>425</v>
      </c>
      <c r="J137" t="str">
        <f t="shared" si="18"/>
        <v>Amy Williams</v>
      </c>
      <c r="K137" t="s">
        <v>13</v>
      </c>
      <c r="L137" t="str">
        <f t="shared" si="19"/>
        <v>Cardiology</v>
      </c>
      <c r="M137" t="s">
        <v>426</v>
      </c>
      <c r="N137" t="str">
        <f t="shared" si="20"/>
        <v>USD</v>
      </c>
      <c r="O137">
        <f t="shared" si="21"/>
        <v>226.97</v>
      </c>
      <c r="P137" cm="1">
        <f t="array" ref="P137">_xlfn.IFS(N137="USD",O137*1,N137="GBP",O137*1.27,N137="EUR",O137*1.09,N137="INR",O137*0.012,N137="N/A","N/A")</f>
        <v>226.97</v>
      </c>
      <c r="Q137">
        <v>0</v>
      </c>
      <c r="R137" t="str" cm="1">
        <f t="array" ref="R137">_xlfn.IFS(Q137="Y","Yes", Q137="Yes","Yes", Q137="N","No", Q137="No","No", Q137=1,"N/A", Q137=0,"N/A", TRUE,"")</f>
        <v>N/A</v>
      </c>
      <c r="S137">
        <f t="shared" si="22"/>
        <v>12</v>
      </c>
      <c r="T137">
        <f t="shared" si="23"/>
        <v>1</v>
      </c>
      <c r="U137" t="str" cm="1">
        <f t="array" ref="U137">_xlfn.IFS(D137&lt;40,"Young Adult",AND(D137&gt;=40,D137&lt;65),"Middle Aged", D137&gt;=65,"Elderly")</f>
        <v>Middle Aged</v>
      </c>
    </row>
    <row r="138" spans="1:21" x14ac:dyDescent="0.2">
      <c r="A138">
        <v>1020</v>
      </c>
      <c r="B138">
        <f t="shared" si="16"/>
        <v>137</v>
      </c>
      <c r="C138" t="s">
        <v>427</v>
      </c>
      <c r="D138">
        <v>31</v>
      </c>
      <c r="E138" t="s">
        <v>2937</v>
      </c>
      <c r="F138" t="str">
        <f t="shared" si="17"/>
        <v>N/A</v>
      </c>
      <c r="G138" s="1">
        <v>45929</v>
      </c>
      <c r="H138" s="1">
        <v>45600</v>
      </c>
      <c r="I138" t="s">
        <v>428</v>
      </c>
      <c r="J138" t="str">
        <f t="shared" si="18"/>
        <v>Kimberly Henson</v>
      </c>
      <c r="K138" t="s">
        <v>24</v>
      </c>
      <c r="L138" t="str">
        <f t="shared" si="19"/>
        <v>Neurology</v>
      </c>
      <c r="M138" t="s">
        <v>429</v>
      </c>
      <c r="N138" t="str">
        <f t="shared" si="20"/>
        <v>INR</v>
      </c>
      <c r="O138">
        <f t="shared" si="21"/>
        <v>139.81</v>
      </c>
      <c r="P138" cm="1">
        <f t="array" ref="P138">_xlfn.IFS(N138="USD",O138*1,N138="GBP",O138*1.27,N138="EUR",O138*1.09,N138="INR",O138*0.012,N138="N/A","N/A")</f>
        <v>1.6777200000000001</v>
      </c>
      <c r="Q138" t="s">
        <v>20</v>
      </c>
      <c r="R138" t="str" cm="1">
        <f t="array" ref="R138">_xlfn.IFS(Q138="Y","Yes", Q138="Yes","Yes", Q138="N","No", Q138="No","No", Q138=1,"N/A", Q138=0,"N/A", TRUE,"")</f>
        <v>Yes</v>
      </c>
      <c r="S138">
        <f t="shared" si="22"/>
        <v>10</v>
      </c>
      <c r="T138">
        <f t="shared" si="23"/>
        <v>1</v>
      </c>
      <c r="U138" t="str" cm="1">
        <f t="array" ref="U138">_xlfn.IFS(D138&lt;40,"Young Adult",AND(D138&gt;=40,D138&lt;65),"Middle Aged", D138&gt;=65,"Elderly")</f>
        <v>Young Adult</v>
      </c>
    </row>
    <row r="139" spans="1:21" x14ac:dyDescent="0.2">
      <c r="A139">
        <v>1089</v>
      </c>
      <c r="B139">
        <f t="shared" si="16"/>
        <v>138</v>
      </c>
      <c r="C139" t="s">
        <v>430</v>
      </c>
      <c r="D139">
        <v>73</v>
      </c>
      <c r="E139" t="s">
        <v>16</v>
      </c>
      <c r="F139" t="str">
        <f t="shared" si="17"/>
        <v>Female</v>
      </c>
      <c r="G139" s="1">
        <v>45778</v>
      </c>
      <c r="H139" s="1">
        <v>45498</v>
      </c>
      <c r="I139" t="s">
        <v>431</v>
      </c>
      <c r="J139" t="str">
        <f t="shared" si="18"/>
        <v>Megan Jensen</v>
      </c>
      <c r="K139" t="s">
        <v>13</v>
      </c>
      <c r="L139" t="str">
        <f t="shared" si="19"/>
        <v>Cardiology</v>
      </c>
      <c r="M139" t="s">
        <v>432</v>
      </c>
      <c r="N139" t="str">
        <f t="shared" si="20"/>
        <v>USD</v>
      </c>
      <c r="O139">
        <f t="shared" si="21"/>
        <v>466.08</v>
      </c>
      <c r="P139" cm="1">
        <f t="array" ref="P139">_xlfn.IFS(N139="USD",O139*1,N139="GBP",O139*1.27,N139="EUR",O139*1.09,N139="INR",O139*0.012,N139="N/A","N/A")</f>
        <v>466.08</v>
      </c>
      <c r="Q139" t="s">
        <v>60</v>
      </c>
      <c r="R139" t="str" cm="1">
        <f t="array" ref="R139">_xlfn.IFS(Q139="Y","Yes", Q139="Yes","Yes", Q139="N","No", Q139="No","No", Q139=1,"N/A", Q139=0,"N/A", TRUE,"")</f>
        <v>No</v>
      </c>
      <c r="S139">
        <f t="shared" si="22"/>
        <v>16</v>
      </c>
      <c r="T139">
        <f t="shared" si="23"/>
        <v>1</v>
      </c>
      <c r="U139" t="str" cm="1">
        <f t="array" ref="U139">_xlfn.IFS(D139&lt;40,"Young Adult",AND(D139&gt;=40,D139&lt;65),"Middle Aged", D139&gt;=65,"Elderly")</f>
        <v>Elderly</v>
      </c>
    </row>
    <row r="140" spans="1:21" x14ac:dyDescent="0.2">
      <c r="A140">
        <v>1005</v>
      </c>
      <c r="B140">
        <f t="shared" si="16"/>
        <v>139</v>
      </c>
      <c r="C140" t="s">
        <v>433</v>
      </c>
      <c r="D140">
        <v>63</v>
      </c>
      <c r="E140" t="s">
        <v>2937</v>
      </c>
      <c r="F140" t="str">
        <f t="shared" si="17"/>
        <v>N/A</v>
      </c>
      <c r="G140" s="1">
        <v>45921</v>
      </c>
      <c r="H140" s="1">
        <v>45601</v>
      </c>
      <c r="I140" t="s">
        <v>434</v>
      </c>
      <c r="J140" t="str">
        <f t="shared" si="18"/>
        <v>Joshua Sellers</v>
      </c>
      <c r="K140" t="s">
        <v>13</v>
      </c>
      <c r="L140" t="str">
        <f t="shared" si="19"/>
        <v>Cardiology</v>
      </c>
      <c r="M140" t="s">
        <v>435</v>
      </c>
      <c r="N140" t="str">
        <f t="shared" si="20"/>
        <v>INR</v>
      </c>
      <c r="O140">
        <f t="shared" si="21"/>
        <v>352.03</v>
      </c>
      <c r="P140" cm="1">
        <f t="array" ref="P140">_xlfn.IFS(N140="USD",O140*1,N140="GBP",O140*1.27,N140="EUR",O140*1.09,N140="INR",O140*0.012,N140="N/A","N/A")</f>
        <v>4.2243599999999999</v>
      </c>
      <c r="Q140" t="s">
        <v>20</v>
      </c>
      <c r="R140" t="str" cm="1">
        <f t="array" ref="R140">_xlfn.IFS(Q140="Y","Yes", Q140="Yes","Yes", Q140="N","No", Q140="No","No", Q140=1,"N/A", Q140=0,"N/A", TRUE,"")</f>
        <v>Yes</v>
      </c>
      <c r="S140">
        <f t="shared" si="22"/>
        <v>13</v>
      </c>
      <c r="T140">
        <f t="shared" si="23"/>
        <v>1</v>
      </c>
      <c r="U140" t="str" cm="1">
        <f t="array" ref="U140">_xlfn.IFS(D140&lt;40,"Young Adult",AND(D140&gt;=40,D140&lt;65),"Middle Aged", D140&gt;=65,"Elderly")</f>
        <v>Middle Aged</v>
      </c>
    </row>
    <row r="141" spans="1:21" x14ac:dyDescent="0.2">
      <c r="A141">
        <v>1031</v>
      </c>
      <c r="B141">
        <f t="shared" si="16"/>
        <v>140</v>
      </c>
      <c r="C141" t="s">
        <v>436</v>
      </c>
      <c r="D141">
        <v>49</v>
      </c>
      <c r="E141" t="s">
        <v>38</v>
      </c>
      <c r="F141" t="str">
        <f t="shared" si="17"/>
        <v>Female</v>
      </c>
      <c r="G141" s="1">
        <v>46024</v>
      </c>
      <c r="H141" s="1">
        <v>45990</v>
      </c>
      <c r="I141" t="s">
        <v>437</v>
      </c>
      <c r="J141" t="str">
        <f t="shared" si="18"/>
        <v>Lindsey Fitzpatrick</v>
      </c>
      <c r="K141" t="s">
        <v>24</v>
      </c>
      <c r="L141" t="str">
        <f t="shared" si="19"/>
        <v>Neurology</v>
      </c>
      <c r="M141" t="s">
        <v>438</v>
      </c>
      <c r="N141" t="str">
        <f t="shared" si="20"/>
        <v>USD</v>
      </c>
      <c r="O141">
        <f t="shared" si="21"/>
        <v>461.19</v>
      </c>
      <c r="P141" cm="1">
        <f t="array" ref="P141">_xlfn.IFS(N141="USD",O141*1,N141="GBP",O141*1.27,N141="EUR",O141*1.09,N141="INR",O141*0.012,N141="N/A","N/A")</f>
        <v>461.19</v>
      </c>
      <c r="Q141" t="s">
        <v>60</v>
      </c>
      <c r="R141" t="str" cm="1">
        <f t="array" ref="R141">_xlfn.IFS(Q141="Y","Yes", Q141="Yes","Yes", Q141="N","No", Q141="No","No", Q141=1,"N/A", Q141=0,"N/A", TRUE,"")</f>
        <v>No</v>
      </c>
      <c r="S141">
        <f t="shared" si="22"/>
        <v>13</v>
      </c>
      <c r="T141">
        <f t="shared" si="23"/>
        <v>1</v>
      </c>
      <c r="U141" t="str" cm="1">
        <f t="array" ref="U141">_xlfn.IFS(D141&lt;40,"Young Adult",AND(D141&gt;=40,D141&lt;65),"Middle Aged", D141&gt;=65,"Elderly")</f>
        <v>Middle Aged</v>
      </c>
    </row>
    <row r="142" spans="1:21" x14ac:dyDescent="0.2">
      <c r="A142">
        <v>1069</v>
      </c>
      <c r="B142">
        <f t="shared" si="16"/>
        <v>141</v>
      </c>
      <c r="C142" t="s">
        <v>439</v>
      </c>
      <c r="D142">
        <v>60</v>
      </c>
      <c r="E142" t="s">
        <v>2937</v>
      </c>
      <c r="F142" t="str">
        <f t="shared" si="17"/>
        <v>N/A</v>
      </c>
      <c r="G142" s="1">
        <v>45903</v>
      </c>
      <c r="H142" s="1">
        <v>45870</v>
      </c>
      <c r="I142" t="s">
        <v>440</v>
      </c>
      <c r="J142" t="str">
        <f t="shared" si="18"/>
        <v>Brandon Moore</v>
      </c>
      <c r="K142" t="s">
        <v>28</v>
      </c>
      <c r="L142" t="str">
        <f t="shared" si="19"/>
        <v>General</v>
      </c>
      <c r="N142" t="str">
        <f t="shared" si="20"/>
        <v>N/A</v>
      </c>
      <c r="O142" t="str">
        <f t="shared" si="21"/>
        <v/>
      </c>
      <c r="P142" t="str" cm="1">
        <f t="array" ref="P142">_xlfn.IFS(N142="USD",O142*1,N142="GBP",O142*1.27,N142="EUR",O142*1.09,N142="INR",O142*0.012,N142="N/A","N/A")</f>
        <v>N/A</v>
      </c>
      <c r="Q142" t="s">
        <v>30</v>
      </c>
      <c r="R142" t="str" cm="1">
        <f t="array" ref="R142">_xlfn.IFS(Q142="Y","Yes", Q142="Yes","Yes", Q142="N","No", Q142="No","No", Q142=1,"N/A", Q142=0,"N/A", TRUE,"")</f>
        <v>No</v>
      </c>
      <c r="S142">
        <f t="shared" si="22"/>
        <v>10</v>
      </c>
      <c r="T142">
        <f t="shared" si="23"/>
        <v>1</v>
      </c>
      <c r="U142" t="str" cm="1">
        <f t="array" ref="U142">_xlfn.IFS(D142&lt;40,"Young Adult",AND(D142&gt;=40,D142&lt;65),"Middle Aged", D142&gt;=65,"Elderly")</f>
        <v>Middle Aged</v>
      </c>
    </row>
    <row r="143" spans="1:21" x14ac:dyDescent="0.2">
      <c r="A143">
        <v>1093</v>
      </c>
      <c r="B143">
        <f t="shared" si="16"/>
        <v>142</v>
      </c>
      <c r="C143" t="s">
        <v>441</v>
      </c>
      <c r="D143">
        <v>77</v>
      </c>
      <c r="E143" t="s">
        <v>38</v>
      </c>
      <c r="F143" t="str">
        <f t="shared" si="17"/>
        <v>Female</v>
      </c>
      <c r="G143" s="1">
        <v>46042</v>
      </c>
      <c r="H143" s="1">
        <v>45386</v>
      </c>
      <c r="I143" t="s">
        <v>442</v>
      </c>
      <c r="J143" t="str">
        <f t="shared" si="18"/>
        <v>Cynthia Booker</v>
      </c>
      <c r="K143" t="s">
        <v>24</v>
      </c>
      <c r="L143" t="str">
        <f t="shared" si="19"/>
        <v>Neurology</v>
      </c>
      <c r="M143" t="s">
        <v>443</v>
      </c>
      <c r="N143" t="str">
        <f t="shared" si="20"/>
        <v>GBP</v>
      </c>
      <c r="O143">
        <f t="shared" si="21"/>
        <v>252.22</v>
      </c>
      <c r="P143" cm="1">
        <f t="array" ref="P143">_xlfn.IFS(N143="USD",O143*1,N143="GBP",O143*1.27,N143="EUR",O143*1.09,N143="INR",O143*0.012,N143="N/A","N/A")</f>
        <v>320.31940000000003</v>
      </c>
      <c r="Q143">
        <v>1</v>
      </c>
      <c r="R143" t="str" cm="1">
        <f t="array" ref="R143">_xlfn.IFS(Q143="Y","Yes", Q143="Yes","Yes", Q143="N","No", Q143="No","No", Q143=1,"N/A", Q143=0,"N/A", TRUE,"")</f>
        <v>N/A</v>
      </c>
      <c r="S143">
        <f t="shared" si="22"/>
        <v>11</v>
      </c>
      <c r="T143">
        <f t="shared" si="23"/>
        <v>1</v>
      </c>
      <c r="U143" t="str" cm="1">
        <f t="array" ref="U143">_xlfn.IFS(D143&lt;40,"Young Adult",AND(D143&gt;=40,D143&lt;65),"Middle Aged", D143&gt;=65,"Elderly")</f>
        <v>Elderly</v>
      </c>
    </row>
    <row r="144" spans="1:21" x14ac:dyDescent="0.2">
      <c r="A144">
        <v>1073</v>
      </c>
      <c r="B144">
        <f t="shared" si="16"/>
        <v>143</v>
      </c>
      <c r="C144" t="s">
        <v>444</v>
      </c>
      <c r="D144">
        <v>29</v>
      </c>
      <c r="E144" t="s">
        <v>71</v>
      </c>
      <c r="F144" t="str">
        <f t="shared" si="17"/>
        <v>Male</v>
      </c>
      <c r="G144" s="1">
        <v>45865</v>
      </c>
      <c r="H144" s="1">
        <v>45816</v>
      </c>
      <c r="I144" t="s">
        <v>445</v>
      </c>
      <c r="J144" t="str">
        <f t="shared" si="18"/>
        <v>Jacob Kerr</v>
      </c>
      <c r="K144" t="s">
        <v>28</v>
      </c>
      <c r="L144" t="str">
        <f t="shared" si="19"/>
        <v>General</v>
      </c>
      <c r="M144" t="s">
        <v>446</v>
      </c>
      <c r="N144" t="str">
        <f t="shared" si="20"/>
        <v>GBP</v>
      </c>
      <c r="O144">
        <f t="shared" si="21"/>
        <v>206.74</v>
      </c>
      <c r="P144" cm="1">
        <f t="array" ref="P144">_xlfn.IFS(N144="USD",O144*1,N144="GBP",O144*1.27,N144="EUR",O144*1.09,N144="INR",O144*0.012,N144="N/A","N/A")</f>
        <v>262.5598</v>
      </c>
      <c r="Q144" t="s">
        <v>20</v>
      </c>
      <c r="R144" t="str" cm="1">
        <f t="array" ref="R144">_xlfn.IFS(Q144="Y","Yes", Q144="Yes","Yes", Q144="N","No", Q144="No","No", Q144=1,"N/A", Q144=0,"N/A", TRUE,"")</f>
        <v>Yes</v>
      </c>
      <c r="S144">
        <f t="shared" si="22"/>
        <v>11</v>
      </c>
      <c r="T144">
        <f t="shared" si="23"/>
        <v>1</v>
      </c>
      <c r="U144" t="str" cm="1">
        <f t="array" ref="U144">_xlfn.IFS(D144&lt;40,"Young Adult",AND(D144&gt;=40,D144&lt;65),"Middle Aged", D144&gt;=65,"Elderly")</f>
        <v>Young Adult</v>
      </c>
    </row>
    <row r="145" spans="1:21" x14ac:dyDescent="0.2">
      <c r="A145">
        <v>1040</v>
      </c>
      <c r="B145">
        <f t="shared" si="16"/>
        <v>144</v>
      </c>
      <c r="C145" t="s">
        <v>447</v>
      </c>
      <c r="D145">
        <v>52</v>
      </c>
      <c r="E145" t="s">
        <v>71</v>
      </c>
      <c r="F145" t="str">
        <f t="shared" si="17"/>
        <v>Male</v>
      </c>
      <c r="G145" s="1">
        <v>45795</v>
      </c>
      <c r="H145" s="1">
        <v>45703</v>
      </c>
      <c r="I145" t="s">
        <v>448</v>
      </c>
      <c r="J145" t="str">
        <f t="shared" si="18"/>
        <v>Luke Williams</v>
      </c>
      <c r="K145" t="s">
        <v>13</v>
      </c>
      <c r="L145" t="str">
        <f t="shared" si="19"/>
        <v>Cardiology</v>
      </c>
      <c r="M145" t="s">
        <v>449</v>
      </c>
      <c r="N145" t="str">
        <f t="shared" si="20"/>
        <v>USD</v>
      </c>
      <c r="O145">
        <f t="shared" si="21"/>
        <v>130.69999999999999</v>
      </c>
      <c r="P145" cm="1">
        <f t="array" ref="P145">_xlfn.IFS(N145="USD",O145*1,N145="GBP",O145*1.27,N145="EUR",O145*1.09,N145="INR",O145*0.012,N145="N/A","N/A")</f>
        <v>130.69999999999999</v>
      </c>
      <c r="Q145" t="s">
        <v>60</v>
      </c>
      <c r="R145" t="str" cm="1">
        <f t="array" ref="R145">_xlfn.IFS(Q145="Y","Yes", Q145="Yes","Yes", Q145="N","No", Q145="No","No", Q145=1,"N/A", Q145=0,"N/A", TRUE,"")</f>
        <v>No</v>
      </c>
      <c r="S145">
        <f t="shared" si="22"/>
        <v>13</v>
      </c>
      <c r="T145">
        <f t="shared" si="23"/>
        <v>1</v>
      </c>
      <c r="U145" t="str" cm="1">
        <f t="array" ref="U145">_xlfn.IFS(D145&lt;40,"Young Adult",AND(D145&gt;=40,D145&lt;65),"Middle Aged", D145&gt;=65,"Elderly")</f>
        <v>Middle Aged</v>
      </c>
    </row>
    <row r="146" spans="1:21" x14ac:dyDescent="0.2">
      <c r="A146">
        <v>1066</v>
      </c>
      <c r="B146">
        <f t="shared" si="16"/>
        <v>145</v>
      </c>
      <c r="C146" t="s">
        <v>450</v>
      </c>
      <c r="D146">
        <v>54</v>
      </c>
      <c r="E146" t="s">
        <v>71</v>
      </c>
      <c r="F146" t="str">
        <f t="shared" si="17"/>
        <v>Male</v>
      </c>
      <c r="G146" s="1">
        <v>45881</v>
      </c>
      <c r="H146" s="1">
        <v>45863</v>
      </c>
      <c r="I146" t="s">
        <v>451</v>
      </c>
      <c r="J146" t="str">
        <f t="shared" si="18"/>
        <v>Alison Walters</v>
      </c>
      <c r="K146" t="s">
        <v>28</v>
      </c>
      <c r="L146" t="str">
        <f t="shared" si="19"/>
        <v>General</v>
      </c>
      <c r="M146" t="s">
        <v>452</v>
      </c>
      <c r="N146" t="str">
        <f t="shared" si="20"/>
        <v>GBP</v>
      </c>
      <c r="O146">
        <f t="shared" si="21"/>
        <v>106.33</v>
      </c>
      <c r="P146" cm="1">
        <f t="array" ref="P146">_xlfn.IFS(N146="USD",O146*1,N146="GBP",O146*1.27,N146="EUR",O146*1.09,N146="INR",O146*0.012,N146="N/A","N/A")</f>
        <v>135.03909999999999</v>
      </c>
      <c r="Q146">
        <v>1</v>
      </c>
      <c r="R146" t="str" cm="1">
        <f t="array" ref="R146">_xlfn.IFS(Q146="Y","Yes", Q146="Yes","Yes", Q146="N","No", Q146="No","No", Q146=1,"N/A", Q146=0,"N/A", TRUE,"")</f>
        <v>N/A</v>
      </c>
      <c r="S146">
        <f t="shared" si="22"/>
        <v>11</v>
      </c>
      <c r="T146">
        <f t="shared" si="23"/>
        <v>1</v>
      </c>
      <c r="U146" t="str" cm="1">
        <f t="array" ref="U146">_xlfn.IFS(D146&lt;40,"Young Adult",AND(D146&gt;=40,D146&lt;65),"Middle Aged", D146&gt;=65,"Elderly")</f>
        <v>Middle Aged</v>
      </c>
    </row>
    <row r="147" spans="1:21" x14ac:dyDescent="0.2">
      <c r="A147">
        <v>1047</v>
      </c>
      <c r="B147">
        <f t="shared" si="16"/>
        <v>146</v>
      </c>
      <c r="C147" t="s">
        <v>453</v>
      </c>
      <c r="D147">
        <v>67</v>
      </c>
      <c r="E147" t="s">
        <v>2937</v>
      </c>
      <c r="F147" t="str">
        <f t="shared" si="17"/>
        <v>N/A</v>
      </c>
      <c r="G147" s="1">
        <v>46063</v>
      </c>
      <c r="H147" s="1">
        <v>45464</v>
      </c>
      <c r="I147" t="s">
        <v>454</v>
      </c>
      <c r="J147" t="str">
        <f t="shared" si="18"/>
        <v>Tanya Baxter</v>
      </c>
      <c r="K147" t="s">
        <v>18</v>
      </c>
      <c r="L147" t="str">
        <f t="shared" si="19"/>
        <v>Orthopedics</v>
      </c>
      <c r="N147" t="str">
        <f t="shared" si="20"/>
        <v>N/A</v>
      </c>
      <c r="O147" t="str">
        <f t="shared" si="21"/>
        <v/>
      </c>
      <c r="P147" t="str" cm="1">
        <f t="array" ref="P147">_xlfn.IFS(N147="USD",O147*1,N147="GBP",O147*1.27,N147="EUR",O147*1.09,N147="INR",O147*0.012,N147="N/A","N/A")</f>
        <v>N/A</v>
      </c>
      <c r="Q147" t="s">
        <v>60</v>
      </c>
      <c r="R147" t="str" cm="1">
        <f t="array" ref="R147">_xlfn.IFS(Q147="Y","Yes", Q147="Yes","Yes", Q147="N","No", Q147="No","No", Q147=1,"N/A", Q147=0,"N/A", TRUE,"")</f>
        <v>No</v>
      </c>
      <c r="S147">
        <f t="shared" si="22"/>
        <v>17</v>
      </c>
      <c r="T147">
        <f t="shared" si="23"/>
        <v>1</v>
      </c>
      <c r="U147" t="str" cm="1">
        <f t="array" ref="U147">_xlfn.IFS(D147&lt;40,"Young Adult",AND(D147&gt;=40,D147&lt;65),"Middle Aged", D147&gt;=65,"Elderly")</f>
        <v>Elderly</v>
      </c>
    </row>
    <row r="148" spans="1:21" x14ac:dyDescent="0.2">
      <c r="A148">
        <v>1021</v>
      </c>
      <c r="B148">
        <f t="shared" si="16"/>
        <v>147</v>
      </c>
      <c r="C148" t="s">
        <v>455</v>
      </c>
      <c r="D148">
        <v>38</v>
      </c>
      <c r="E148" t="s">
        <v>38</v>
      </c>
      <c r="F148" t="str">
        <f t="shared" si="17"/>
        <v>Female</v>
      </c>
      <c r="G148" s="1">
        <v>45962</v>
      </c>
      <c r="H148" s="1">
        <v>45437</v>
      </c>
      <c r="I148" t="s">
        <v>456</v>
      </c>
      <c r="J148" t="str">
        <f t="shared" si="18"/>
        <v>Cynthia Brown</v>
      </c>
      <c r="K148" t="s">
        <v>24</v>
      </c>
      <c r="L148" t="str">
        <f t="shared" si="19"/>
        <v>Neurology</v>
      </c>
      <c r="M148" t="s">
        <v>457</v>
      </c>
      <c r="N148" t="str">
        <f t="shared" si="20"/>
        <v>USD</v>
      </c>
      <c r="O148">
        <f t="shared" si="21"/>
        <v>122.56</v>
      </c>
      <c r="P148" cm="1">
        <f t="array" ref="P148">_xlfn.IFS(N148="USD",O148*1,N148="GBP",O148*1.27,N148="EUR",O148*1.09,N148="INR",O148*0.012,N148="N/A","N/A")</f>
        <v>122.56</v>
      </c>
      <c r="Q148" t="s">
        <v>36</v>
      </c>
      <c r="R148" t="str" cm="1">
        <f t="array" ref="R148">_xlfn.IFS(Q148="Y","Yes", Q148="Yes","Yes", Q148="N","No", Q148="No","No", Q148=1,"N/A", Q148=0,"N/A", TRUE,"")</f>
        <v>Yes</v>
      </c>
      <c r="S148">
        <f t="shared" si="22"/>
        <v>16</v>
      </c>
      <c r="T148">
        <f t="shared" si="23"/>
        <v>1</v>
      </c>
      <c r="U148" t="str" cm="1">
        <f t="array" ref="U148">_xlfn.IFS(D148&lt;40,"Young Adult",AND(D148&gt;=40,D148&lt;65),"Middle Aged", D148&gt;=65,"Elderly")</f>
        <v>Young Adult</v>
      </c>
    </row>
    <row r="149" spans="1:21" x14ac:dyDescent="0.2">
      <c r="A149">
        <v>1072</v>
      </c>
      <c r="B149">
        <f t="shared" si="16"/>
        <v>148</v>
      </c>
      <c r="C149" t="s">
        <v>458</v>
      </c>
      <c r="D149">
        <v>37</v>
      </c>
      <c r="E149" t="s">
        <v>51</v>
      </c>
      <c r="F149" t="str">
        <f t="shared" si="17"/>
        <v>Male</v>
      </c>
      <c r="G149" s="1">
        <v>45883</v>
      </c>
      <c r="H149" s="1">
        <v>45880</v>
      </c>
      <c r="I149" t="s">
        <v>459</v>
      </c>
      <c r="J149" t="str">
        <f t="shared" si="18"/>
        <v>Karen Hunt</v>
      </c>
      <c r="K149" t="s">
        <v>13</v>
      </c>
      <c r="L149" t="str">
        <f t="shared" si="19"/>
        <v>Cardiology</v>
      </c>
      <c r="M149" t="s">
        <v>460</v>
      </c>
      <c r="N149" t="str">
        <f t="shared" si="20"/>
        <v>GBP</v>
      </c>
      <c r="O149">
        <f t="shared" si="21"/>
        <v>238.81</v>
      </c>
      <c r="P149" cm="1">
        <f t="array" ref="P149">_xlfn.IFS(N149="USD",O149*1,N149="GBP",O149*1.27,N149="EUR",O149*1.09,N149="INR",O149*0.012,N149="N/A","N/A")</f>
        <v>303.28870000000001</v>
      </c>
      <c r="Q149">
        <v>0</v>
      </c>
      <c r="R149" t="str" cm="1">
        <f t="array" ref="R149">_xlfn.IFS(Q149="Y","Yes", Q149="Yes","Yes", Q149="N","No", Q149="No","No", Q149=1,"N/A", Q149=0,"N/A", TRUE,"")</f>
        <v>N/A</v>
      </c>
      <c r="S149">
        <f t="shared" si="22"/>
        <v>9</v>
      </c>
      <c r="T149">
        <f t="shared" si="23"/>
        <v>1</v>
      </c>
      <c r="U149" t="str" cm="1">
        <f t="array" ref="U149">_xlfn.IFS(D149&lt;40,"Young Adult",AND(D149&gt;=40,D149&lt;65),"Middle Aged", D149&gt;=65,"Elderly")</f>
        <v>Young Adult</v>
      </c>
    </row>
    <row r="150" spans="1:21" x14ac:dyDescent="0.2">
      <c r="A150">
        <v>1011</v>
      </c>
      <c r="B150">
        <f t="shared" si="16"/>
        <v>149</v>
      </c>
      <c r="C150" t="s">
        <v>461</v>
      </c>
      <c r="D150">
        <v>66</v>
      </c>
      <c r="E150" t="s">
        <v>71</v>
      </c>
      <c r="F150" t="str">
        <f t="shared" si="17"/>
        <v>Male</v>
      </c>
      <c r="G150" s="1">
        <v>45776</v>
      </c>
      <c r="H150" s="1">
        <v>45754</v>
      </c>
      <c r="I150" t="s">
        <v>462</v>
      </c>
      <c r="J150" t="str">
        <f t="shared" si="18"/>
        <v>Alec Hill</v>
      </c>
      <c r="K150" t="s">
        <v>28</v>
      </c>
      <c r="L150" t="str">
        <f t="shared" si="19"/>
        <v>General</v>
      </c>
      <c r="M150" t="s">
        <v>463</v>
      </c>
      <c r="N150" t="str">
        <f t="shared" si="20"/>
        <v>INR</v>
      </c>
      <c r="O150">
        <f t="shared" si="21"/>
        <v>413.21</v>
      </c>
      <c r="P150" cm="1">
        <f t="array" ref="P150">_xlfn.IFS(N150="USD",O150*1,N150="GBP",O150*1.27,N150="EUR",O150*1.09,N150="INR",O150*0.012,N150="N/A","N/A")</f>
        <v>4.95852</v>
      </c>
      <c r="Q150">
        <v>1</v>
      </c>
      <c r="R150" t="str" cm="1">
        <f t="array" ref="R150">_xlfn.IFS(Q150="Y","Yes", Q150="Yes","Yes", Q150="N","No", Q150="No","No", Q150=1,"N/A", Q150=0,"N/A", TRUE,"")</f>
        <v>N/A</v>
      </c>
      <c r="S150">
        <f t="shared" si="22"/>
        <v>7</v>
      </c>
      <c r="T150">
        <f t="shared" si="23"/>
        <v>1</v>
      </c>
      <c r="U150" t="str" cm="1">
        <f t="array" ref="U150">_xlfn.IFS(D150&lt;40,"Young Adult",AND(D150&gt;=40,D150&lt;65),"Middle Aged", D150&gt;=65,"Elderly")</f>
        <v>Elderly</v>
      </c>
    </row>
    <row r="151" spans="1:21" x14ac:dyDescent="0.2">
      <c r="A151">
        <v>1097</v>
      </c>
      <c r="B151">
        <f t="shared" si="16"/>
        <v>150</v>
      </c>
      <c r="C151" t="s">
        <v>464</v>
      </c>
      <c r="D151">
        <v>48</v>
      </c>
      <c r="E151" t="s">
        <v>2937</v>
      </c>
      <c r="F151" t="str">
        <f t="shared" si="17"/>
        <v>N/A</v>
      </c>
      <c r="G151" s="1">
        <v>45914</v>
      </c>
      <c r="H151" s="1">
        <v>45624</v>
      </c>
      <c r="I151" t="s">
        <v>465</v>
      </c>
      <c r="J151" t="str">
        <f t="shared" si="18"/>
        <v>Colton Williams</v>
      </c>
      <c r="K151" t="s">
        <v>13</v>
      </c>
      <c r="L151" t="str">
        <f t="shared" si="19"/>
        <v>Cardiology</v>
      </c>
      <c r="M151" t="s">
        <v>466</v>
      </c>
      <c r="N151" t="str">
        <f t="shared" si="20"/>
        <v>EUR</v>
      </c>
      <c r="O151">
        <f t="shared" si="21"/>
        <v>91.87</v>
      </c>
      <c r="P151" cm="1">
        <f t="array" ref="P151">_xlfn.IFS(N151="USD",O151*1,N151="GBP",O151*1.27,N151="EUR",O151*1.09,N151="INR",O151*0.012,N151="N/A","N/A")</f>
        <v>100.13830000000002</v>
      </c>
      <c r="Q151" t="s">
        <v>60</v>
      </c>
      <c r="R151" t="str" cm="1">
        <f t="array" ref="R151">_xlfn.IFS(Q151="Y","Yes", Q151="Yes","Yes", Q151="N","No", Q151="No","No", Q151=1,"N/A", Q151=0,"N/A", TRUE,"")</f>
        <v>No</v>
      </c>
      <c r="S151">
        <f t="shared" si="22"/>
        <v>10</v>
      </c>
      <c r="T151">
        <f t="shared" si="23"/>
        <v>1</v>
      </c>
      <c r="U151" t="str" cm="1">
        <f t="array" ref="U151">_xlfn.IFS(D151&lt;40,"Young Adult",AND(D151&gt;=40,D151&lt;65),"Middle Aged", D151&gt;=65,"Elderly")</f>
        <v>Middle Aged</v>
      </c>
    </row>
    <row r="152" spans="1:21" x14ac:dyDescent="0.2">
      <c r="A152">
        <v>1028</v>
      </c>
      <c r="B152">
        <f t="shared" si="16"/>
        <v>151</v>
      </c>
      <c r="C152" t="s">
        <v>467</v>
      </c>
      <c r="D152">
        <v>56</v>
      </c>
      <c r="E152" t="s">
        <v>51</v>
      </c>
      <c r="F152" t="str">
        <f t="shared" si="17"/>
        <v>Male</v>
      </c>
      <c r="G152" s="1">
        <v>45960</v>
      </c>
      <c r="H152" s="1">
        <v>45430</v>
      </c>
      <c r="I152" t="s">
        <v>468</v>
      </c>
      <c r="J152" t="str">
        <f t="shared" si="18"/>
        <v>Brandy Sutton</v>
      </c>
      <c r="K152" t="s">
        <v>18</v>
      </c>
      <c r="L152" t="str">
        <f t="shared" si="19"/>
        <v>Orthopedics</v>
      </c>
      <c r="M152" t="s">
        <v>469</v>
      </c>
      <c r="N152" t="str">
        <f t="shared" si="20"/>
        <v>EUR</v>
      </c>
      <c r="O152">
        <f t="shared" si="21"/>
        <v>485.5</v>
      </c>
      <c r="P152" cm="1">
        <f t="array" ref="P152">_xlfn.IFS(N152="USD",O152*1,N152="GBP",O152*1.27,N152="EUR",O152*1.09,N152="INR",O152*0.012,N152="N/A","N/A")</f>
        <v>529.19500000000005</v>
      </c>
      <c r="Q152" t="s">
        <v>60</v>
      </c>
      <c r="R152" t="str" cm="1">
        <f t="array" ref="R152">_xlfn.IFS(Q152="Y","Yes", Q152="Yes","Yes", Q152="N","No", Q152="No","No", Q152=1,"N/A", Q152=0,"N/A", TRUE,"")</f>
        <v>No</v>
      </c>
      <c r="S152">
        <f t="shared" si="22"/>
        <v>8</v>
      </c>
      <c r="T152">
        <f t="shared" si="23"/>
        <v>1</v>
      </c>
      <c r="U152" t="str" cm="1">
        <f t="array" ref="U152">_xlfn.IFS(D152&lt;40,"Young Adult",AND(D152&gt;=40,D152&lt;65),"Middle Aged", D152&gt;=65,"Elderly")</f>
        <v>Middle Aged</v>
      </c>
    </row>
    <row r="153" spans="1:21" x14ac:dyDescent="0.2">
      <c r="A153">
        <v>1057</v>
      </c>
      <c r="B153">
        <f t="shared" si="16"/>
        <v>152</v>
      </c>
      <c r="C153" t="s">
        <v>470</v>
      </c>
      <c r="D153">
        <v>32</v>
      </c>
      <c r="E153" t="s">
        <v>71</v>
      </c>
      <c r="F153" t="str">
        <f t="shared" si="17"/>
        <v>Male</v>
      </c>
      <c r="G153" s="1">
        <v>45746</v>
      </c>
      <c r="H153" s="1">
        <v>45415</v>
      </c>
      <c r="I153" t="s">
        <v>471</v>
      </c>
      <c r="J153" t="str">
        <f t="shared" si="18"/>
        <v>Barbara Chavez</v>
      </c>
      <c r="K153" t="s">
        <v>28</v>
      </c>
      <c r="L153" t="str">
        <f t="shared" si="19"/>
        <v>General</v>
      </c>
      <c r="M153" t="s">
        <v>472</v>
      </c>
      <c r="N153" t="str">
        <f t="shared" si="20"/>
        <v>GBP</v>
      </c>
      <c r="O153">
        <f t="shared" si="21"/>
        <v>209.81</v>
      </c>
      <c r="P153" cm="1">
        <f t="array" ref="P153">_xlfn.IFS(N153="USD",O153*1,N153="GBP",O153*1.27,N153="EUR",O153*1.09,N153="INR",O153*0.012,N153="N/A","N/A")</f>
        <v>266.45870000000002</v>
      </c>
      <c r="Q153">
        <v>1</v>
      </c>
      <c r="R153" t="str" cm="1">
        <f t="array" ref="R153">_xlfn.IFS(Q153="Y","Yes", Q153="Yes","Yes", Q153="N","No", Q153="No","No", Q153=1,"N/A", Q153=0,"N/A", TRUE,"")</f>
        <v>N/A</v>
      </c>
      <c r="S153">
        <f t="shared" si="22"/>
        <v>7</v>
      </c>
      <c r="T153">
        <f t="shared" si="23"/>
        <v>1</v>
      </c>
      <c r="U153" t="str" cm="1">
        <f t="array" ref="U153">_xlfn.IFS(D153&lt;40,"Young Adult",AND(D153&gt;=40,D153&lt;65),"Middle Aged", D153&gt;=65,"Elderly")</f>
        <v>Young Adult</v>
      </c>
    </row>
    <row r="154" spans="1:21" x14ac:dyDescent="0.2">
      <c r="A154">
        <v>1002</v>
      </c>
      <c r="B154">
        <f t="shared" si="16"/>
        <v>153</v>
      </c>
      <c r="C154" t="s">
        <v>473</v>
      </c>
      <c r="D154">
        <v>87</v>
      </c>
      <c r="E154" t="s">
        <v>22</v>
      </c>
      <c r="F154" t="str">
        <f t="shared" si="17"/>
        <v>Male</v>
      </c>
      <c r="G154" s="1">
        <v>45755</v>
      </c>
      <c r="H154" s="1">
        <v>45630</v>
      </c>
      <c r="I154" t="s">
        <v>474</v>
      </c>
      <c r="J154" t="str">
        <f t="shared" si="18"/>
        <v>Lisa Ho</v>
      </c>
      <c r="K154" t="s">
        <v>13</v>
      </c>
      <c r="L154" t="str">
        <f t="shared" si="19"/>
        <v>Cardiology</v>
      </c>
      <c r="M154" t="s">
        <v>475</v>
      </c>
      <c r="N154" t="str">
        <f t="shared" si="20"/>
        <v>USD</v>
      </c>
      <c r="O154">
        <f t="shared" si="21"/>
        <v>401.55</v>
      </c>
      <c r="P154" cm="1">
        <f t="array" ref="P154">_xlfn.IFS(N154="USD",O154*1,N154="GBP",O154*1.27,N154="EUR",O154*1.09,N154="INR",O154*0.012,N154="N/A","N/A")</f>
        <v>401.55</v>
      </c>
      <c r="Q154" t="s">
        <v>36</v>
      </c>
      <c r="R154" t="str" cm="1">
        <f t="array" ref="R154">_xlfn.IFS(Q154="Y","Yes", Q154="Yes","Yes", Q154="N","No", Q154="No","No", Q154=1,"N/A", Q154=0,"N/A", TRUE,"")</f>
        <v>Yes</v>
      </c>
      <c r="S154">
        <f t="shared" si="22"/>
        <v>7</v>
      </c>
      <c r="T154">
        <f t="shared" si="23"/>
        <v>1</v>
      </c>
      <c r="U154" t="str" cm="1">
        <f t="array" ref="U154">_xlfn.IFS(D154&lt;40,"Young Adult",AND(D154&gt;=40,D154&lt;65),"Middle Aged", D154&gt;=65,"Elderly")</f>
        <v>Elderly</v>
      </c>
    </row>
    <row r="155" spans="1:21" x14ac:dyDescent="0.2">
      <c r="A155">
        <v>1065</v>
      </c>
      <c r="B155">
        <f t="shared" si="16"/>
        <v>154</v>
      </c>
      <c r="C155" t="s">
        <v>476</v>
      </c>
      <c r="D155">
        <v>18</v>
      </c>
      <c r="E155" t="s">
        <v>2937</v>
      </c>
      <c r="F155" t="str">
        <f t="shared" si="17"/>
        <v>N/A</v>
      </c>
      <c r="G155" s="1">
        <v>45955</v>
      </c>
      <c r="H155" s="1">
        <v>45538</v>
      </c>
      <c r="I155" t="s">
        <v>477</v>
      </c>
      <c r="J155" t="str">
        <f t="shared" si="18"/>
        <v>Lance Smith</v>
      </c>
      <c r="K155" t="s">
        <v>24</v>
      </c>
      <c r="L155" t="str">
        <f t="shared" si="19"/>
        <v>Neurology</v>
      </c>
      <c r="M155" t="s">
        <v>478</v>
      </c>
      <c r="N155" t="str">
        <f t="shared" si="20"/>
        <v>INR</v>
      </c>
      <c r="O155">
        <f t="shared" si="21"/>
        <v>283.3</v>
      </c>
      <c r="P155" cm="1">
        <f t="array" ref="P155">_xlfn.IFS(N155="USD",O155*1,N155="GBP",O155*1.27,N155="EUR",O155*1.09,N155="INR",O155*0.012,N155="N/A","N/A")</f>
        <v>3.3996000000000004</v>
      </c>
      <c r="Q155">
        <v>0</v>
      </c>
      <c r="R155" t="str" cm="1">
        <f t="array" ref="R155">_xlfn.IFS(Q155="Y","Yes", Q155="Yes","Yes", Q155="N","No", Q155="No","No", Q155=1,"N/A", Q155=0,"N/A", TRUE,"")</f>
        <v>N/A</v>
      </c>
      <c r="S155">
        <f t="shared" si="22"/>
        <v>9</v>
      </c>
      <c r="T155">
        <f t="shared" si="23"/>
        <v>1</v>
      </c>
      <c r="U155" t="str" cm="1">
        <f t="array" ref="U155">_xlfn.IFS(D155&lt;40,"Young Adult",AND(D155&gt;=40,D155&lt;65),"Middle Aged", D155&gt;=65,"Elderly")</f>
        <v>Young Adult</v>
      </c>
    </row>
    <row r="156" spans="1:21" x14ac:dyDescent="0.2">
      <c r="A156">
        <v>1026</v>
      </c>
      <c r="B156">
        <f t="shared" si="16"/>
        <v>155</v>
      </c>
      <c r="C156" t="s">
        <v>479</v>
      </c>
      <c r="D156">
        <v>87</v>
      </c>
      <c r="E156" t="s">
        <v>2937</v>
      </c>
      <c r="F156" t="str">
        <f t="shared" si="17"/>
        <v>N/A</v>
      </c>
      <c r="G156" s="1">
        <v>46056</v>
      </c>
      <c r="H156" s="1">
        <v>45850</v>
      </c>
      <c r="I156" t="s">
        <v>480</v>
      </c>
      <c r="J156" t="str">
        <f t="shared" si="18"/>
        <v>Jerry Lopez</v>
      </c>
      <c r="K156" t="s">
        <v>24</v>
      </c>
      <c r="L156" t="str">
        <f t="shared" si="19"/>
        <v>Neurology</v>
      </c>
      <c r="M156" t="s">
        <v>481</v>
      </c>
      <c r="N156" t="str">
        <f t="shared" si="20"/>
        <v>GBP</v>
      </c>
      <c r="O156">
        <f t="shared" si="21"/>
        <v>146.19999999999999</v>
      </c>
      <c r="P156" cm="1">
        <f t="array" ref="P156">_xlfn.IFS(N156="USD",O156*1,N156="GBP",O156*1.27,N156="EUR",O156*1.09,N156="INR",O156*0.012,N156="N/A","N/A")</f>
        <v>185.67399999999998</v>
      </c>
      <c r="Q156" t="s">
        <v>20</v>
      </c>
      <c r="R156" t="str" cm="1">
        <f t="array" ref="R156">_xlfn.IFS(Q156="Y","Yes", Q156="Yes","Yes", Q156="N","No", Q156="No","No", Q156=1,"N/A", Q156=0,"N/A", TRUE,"")</f>
        <v>Yes</v>
      </c>
      <c r="S156">
        <f t="shared" si="22"/>
        <v>10</v>
      </c>
      <c r="T156">
        <f t="shared" si="23"/>
        <v>1</v>
      </c>
      <c r="U156" t="str" cm="1">
        <f t="array" ref="U156">_xlfn.IFS(D156&lt;40,"Young Adult",AND(D156&gt;=40,D156&lt;65),"Middle Aged", D156&gt;=65,"Elderly")</f>
        <v>Elderly</v>
      </c>
    </row>
    <row r="157" spans="1:21" x14ac:dyDescent="0.2">
      <c r="A157">
        <v>1100</v>
      </c>
      <c r="B157">
        <f t="shared" si="16"/>
        <v>156</v>
      </c>
      <c r="C157" t="s">
        <v>482</v>
      </c>
      <c r="D157">
        <v>62</v>
      </c>
      <c r="E157" t="s">
        <v>2937</v>
      </c>
      <c r="F157" t="str">
        <f t="shared" si="17"/>
        <v>N/A</v>
      </c>
      <c r="G157" s="1">
        <v>45750</v>
      </c>
      <c r="H157" s="1">
        <v>45734</v>
      </c>
      <c r="I157" t="s">
        <v>483</v>
      </c>
      <c r="J157" t="str">
        <f t="shared" si="18"/>
        <v>Lori Hall</v>
      </c>
      <c r="K157" t="s">
        <v>18</v>
      </c>
      <c r="L157" t="str">
        <f t="shared" si="19"/>
        <v>Orthopedics</v>
      </c>
      <c r="M157" t="s">
        <v>484</v>
      </c>
      <c r="N157" t="str">
        <f t="shared" si="20"/>
        <v>EUR</v>
      </c>
      <c r="O157">
        <f t="shared" si="21"/>
        <v>211.18</v>
      </c>
      <c r="P157" cm="1">
        <f t="array" ref="P157">_xlfn.IFS(N157="USD",O157*1,N157="GBP",O157*1.27,N157="EUR",O157*1.09,N157="INR",O157*0.012,N157="N/A","N/A")</f>
        <v>230.18620000000001</v>
      </c>
      <c r="Q157" t="s">
        <v>20</v>
      </c>
      <c r="R157" t="str" cm="1">
        <f t="array" ref="R157">_xlfn.IFS(Q157="Y","Yes", Q157="Yes","Yes", Q157="N","No", Q157="No","No", Q157=1,"N/A", Q157=0,"N/A", TRUE,"")</f>
        <v>Yes</v>
      </c>
      <c r="S157">
        <f t="shared" si="22"/>
        <v>8</v>
      </c>
      <c r="T157">
        <f t="shared" si="23"/>
        <v>1</v>
      </c>
      <c r="U157" t="str" cm="1">
        <f t="array" ref="U157">_xlfn.IFS(D157&lt;40,"Young Adult",AND(D157&gt;=40,D157&lt;65),"Middle Aged", D157&gt;=65,"Elderly")</f>
        <v>Middle Aged</v>
      </c>
    </row>
    <row r="158" spans="1:21" x14ac:dyDescent="0.2">
      <c r="A158">
        <v>1066</v>
      </c>
      <c r="B158">
        <f t="shared" si="16"/>
        <v>157</v>
      </c>
      <c r="C158" t="s">
        <v>485</v>
      </c>
      <c r="D158">
        <v>86</v>
      </c>
      <c r="E158" t="s">
        <v>16</v>
      </c>
      <c r="F158" t="str">
        <f t="shared" si="17"/>
        <v>Female</v>
      </c>
      <c r="G158" s="1">
        <v>46071</v>
      </c>
      <c r="H158" s="1">
        <v>45577</v>
      </c>
      <c r="I158" t="s">
        <v>486</v>
      </c>
      <c r="J158" t="str">
        <f t="shared" si="18"/>
        <v>Steven Holland</v>
      </c>
      <c r="K158" t="s">
        <v>13</v>
      </c>
      <c r="L158" t="str">
        <f t="shared" si="19"/>
        <v>Cardiology</v>
      </c>
      <c r="M158" t="s">
        <v>487</v>
      </c>
      <c r="N158" t="str">
        <f t="shared" si="20"/>
        <v>GBP</v>
      </c>
      <c r="O158">
        <f t="shared" si="21"/>
        <v>476.99</v>
      </c>
      <c r="P158" cm="1">
        <f t="array" ref="P158">_xlfn.IFS(N158="USD",O158*1,N158="GBP",O158*1.27,N158="EUR",O158*1.09,N158="INR",O158*0.012,N158="N/A","N/A")</f>
        <v>605.77729999999997</v>
      </c>
      <c r="Q158">
        <v>1</v>
      </c>
      <c r="R158" t="str" cm="1">
        <f t="array" ref="R158">_xlfn.IFS(Q158="Y","Yes", Q158="Yes","Yes", Q158="N","No", Q158="No","No", Q158=1,"N/A", Q158=0,"N/A", TRUE,"")</f>
        <v>N/A</v>
      </c>
      <c r="S158">
        <f t="shared" si="22"/>
        <v>11</v>
      </c>
      <c r="T158">
        <f t="shared" si="23"/>
        <v>1</v>
      </c>
      <c r="U158" t="str" cm="1">
        <f t="array" ref="U158">_xlfn.IFS(D158&lt;40,"Young Adult",AND(D158&gt;=40,D158&lt;65),"Middle Aged", D158&gt;=65,"Elderly")</f>
        <v>Elderly</v>
      </c>
    </row>
    <row r="159" spans="1:21" x14ac:dyDescent="0.2">
      <c r="A159">
        <v>1025</v>
      </c>
      <c r="B159">
        <f t="shared" si="16"/>
        <v>158</v>
      </c>
      <c r="C159" t="s">
        <v>488</v>
      </c>
      <c r="D159">
        <v>25</v>
      </c>
      <c r="E159" t="s">
        <v>51</v>
      </c>
      <c r="F159" t="str">
        <f t="shared" si="17"/>
        <v>Male</v>
      </c>
      <c r="G159" s="1">
        <v>45938</v>
      </c>
      <c r="H159" s="1">
        <v>45740</v>
      </c>
      <c r="I159" t="s">
        <v>489</v>
      </c>
      <c r="J159" t="str">
        <f t="shared" si="18"/>
        <v>Stephanie Wall</v>
      </c>
      <c r="K159" t="s">
        <v>18</v>
      </c>
      <c r="L159" t="str">
        <f t="shared" si="19"/>
        <v>Orthopedics</v>
      </c>
      <c r="M159" t="s">
        <v>490</v>
      </c>
      <c r="N159" t="str">
        <f t="shared" si="20"/>
        <v>USD</v>
      </c>
      <c r="O159">
        <f t="shared" si="21"/>
        <v>248.33</v>
      </c>
      <c r="P159" cm="1">
        <f t="array" ref="P159">_xlfn.IFS(N159="USD",O159*1,N159="GBP",O159*1.27,N159="EUR",O159*1.09,N159="INR",O159*0.012,N159="N/A","N/A")</f>
        <v>248.33</v>
      </c>
      <c r="Q159">
        <v>0</v>
      </c>
      <c r="R159" t="str" cm="1">
        <f t="array" ref="R159">_xlfn.IFS(Q159="Y","Yes", Q159="Yes","Yes", Q159="N","No", Q159="No","No", Q159=1,"N/A", Q159=0,"N/A", TRUE,"")</f>
        <v>N/A</v>
      </c>
      <c r="S159">
        <f t="shared" si="22"/>
        <v>9</v>
      </c>
      <c r="T159">
        <f t="shared" si="23"/>
        <v>1</v>
      </c>
      <c r="U159" t="str" cm="1">
        <f t="array" ref="U159">_xlfn.IFS(D159&lt;40,"Young Adult",AND(D159&gt;=40,D159&lt;65),"Middle Aged", D159&gt;=65,"Elderly")</f>
        <v>Young Adult</v>
      </c>
    </row>
    <row r="160" spans="1:21" x14ac:dyDescent="0.2">
      <c r="A160">
        <v>1038</v>
      </c>
      <c r="B160">
        <f t="shared" si="16"/>
        <v>159</v>
      </c>
      <c r="C160" t="s">
        <v>491</v>
      </c>
      <c r="D160">
        <v>46</v>
      </c>
      <c r="E160" t="s">
        <v>38</v>
      </c>
      <c r="F160" t="str">
        <f t="shared" si="17"/>
        <v>Female</v>
      </c>
      <c r="G160" s="1">
        <v>45904</v>
      </c>
      <c r="H160" s="1">
        <v>45785</v>
      </c>
      <c r="I160" t="s">
        <v>492</v>
      </c>
      <c r="J160" t="str">
        <f t="shared" si="18"/>
        <v>Damon Hayes</v>
      </c>
      <c r="K160" t="s">
        <v>18</v>
      </c>
      <c r="L160" t="str">
        <f t="shared" si="19"/>
        <v>Orthopedics</v>
      </c>
      <c r="M160" t="s">
        <v>493</v>
      </c>
      <c r="N160" t="str">
        <f t="shared" si="20"/>
        <v>GBP</v>
      </c>
      <c r="O160">
        <f t="shared" si="21"/>
        <v>192.67</v>
      </c>
      <c r="P160" cm="1">
        <f t="array" ref="P160">_xlfn.IFS(N160="USD",O160*1,N160="GBP",O160*1.27,N160="EUR",O160*1.09,N160="INR",O160*0.012,N160="N/A","N/A")</f>
        <v>244.6909</v>
      </c>
      <c r="Q160">
        <v>1</v>
      </c>
      <c r="R160" t="str" cm="1">
        <f t="array" ref="R160">_xlfn.IFS(Q160="Y","Yes", Q160="Yes","Yes", Q160="N","No", Q160="No","No", Q160=1,"N/A", Q160=0,"N/A", TRUE,"")</f>
        <v>N/A</v>
      </c>
      <c r="S160">
        <f t="shared" si="22"/>
        <v>10</v>
      </c>
      <c r="T160">
        <f t="shared" si="23"/>
        <v>1</v>
      </c>
      <c r="U160" t="str" cm="1">
        <f t="array" ref="U160">_xlfn.IFS(D160&lt;40,"Young Adult",AND(D160&gt;=40,D160&lt;65),"Middle Aged", D160&gt;=65,"Elderly")</f>
        <v>Middle Aged</v>
      </c>
    </row>
    <row r="161" spans="1:21" x14ac:dyDescent="0.2">
      <c r="A161">
        <v>1038</v>
      </c>
      <c r="B161">
        <f t="shared" si="16"/>
        <v>160</v>
      </c>
      <c r="C161" t="s">
        <v>494</v>
      </c>
      <c r="D161">
        <v>39</v>
      </c>
      <c r="E161" t="s">
        <v>51</v>
      </c>
      <c r="F161" t="str">
        <f t="shared" si="17"/>
        <v>Male</v>
      </c>
      <c r="G161" s="1">
        <v>45953</v>
      </c>
      <c r="H161" s="1">
        <v>45856</v>
      </c>
      <c r="I161" t="s">
        <v>495</v>
      </c>
      <c r="J161" t="str">
        <f t="shared" si="18"/>
        <v>Troy Lynch</v>
      </c>
      <c r="K161" t="s">
        <v>18</v>
      </c>
      <c r="L161" t="str">
        <f t="shared" si="19"/>
        <v>Orthopedics</v>
      </c>
      <c r="N161" t="str">
        <f t="shared" si="20"/>
        <v>N/A</v>
      </c>
      <c r="O161" t="str">
        <f t="shared" si="21"/>
        <v/>
      </c>
      <c r="P161" t="str" cm="1">
        <f t="array" ref="P161">_xlfn.IFS(N161="USD",O161*1,N161="GBP",O161*1.27,N161="EUR",O161*1.09,N161="INR",O161*0.012,N161="N/A","N/A")</f>
        <v>N/A</v>
      </c>
      <c r="Q161">
        <v>0</v>
      </c>
      <c r="R161" t="str" cm="1">
        <f t="array" ref="R161">_xlfn.IFS(Q161="Y","Yes", Q161="Yes","Yes", Q161="N","No", Q161="No","No", Q161=1,"N/A", Q161=0,"N/A", TRUE,"")</f>
        <v>N/A</v>
      </c>
      <c r="S161">
        <f t="shared" si="22"/>
        <v>10</v>
      </c>
      <c r="T161">
        <f t="shared" si="23"/>
        <v>1</v>
      </c>
      <c r="U161" t="str" cm="1">
        <f t="array" ref="U161">_xlfn.IFS(D161&lt;40,"Young Adult",AND(D161&gt;=40,D161&lt;65),"Middle Aged", D161&gt;=65,"Elderly")</f>
        <v>Young Adult</v>
      </c>
    </row>
    <row r="162" spans="1:21" x14ac:dyDescent="0.2">
      <c r="A162">
        <v>1000</v>
      </c>
      <c r="B162">
        <f t="shared" si="16"/>
        <v>161</v>
      </c>
      <c r="C162" t="s">
        <v>496</v>
      </c>
      <c r="D162">
        <v>81</v>
      </c>
      <c r="E162" t="s">
        <v>16</v>
      </c>
      <c r="F162" t="str">
        <f t="shared" si="17"/>
        <v>Female</v>
      </c>
      <c r="G162" s="1">
        <v>45956</v>
      </c>
      <c r="H162" s="1">
        <v>45707</v>
      </c>
      <c r="I162" t="s">
        <v>497</v>
      </c>
      <c r="J162" t="str">
        <f t="shared" si="18"/>
        <v>Brandy Graves</v>
      </c>
      <c r="K162" t="s">
        <v>28</v>
      </c>
      <c r="L162" t="str">
        <f t="shared" si="19"/>
        <v>General</v>
      </c>
      <c r="M162" t="s">
        <v>498</v>
      </c>
      <c r="N162" t="str">
        <f t="shared" si="20"/>
        <v>USD</v>
      </c>
      <c r="O162">
        <f t="shared" si="21"/>
        <v>65.06</v>
      </c>
      <c r="P162" cm="1">
        <f t="array" ref="P162">_xlfn.IFS(N162="USD",O162*1,N162="GBP",O162*1.27,N162="EUR",O162*1.09,N162="INR",O162*0.012,N162="N/A","N/A")</f>
        <v>65.06</v>
      </c>
      <c r="Q162">
        <v>1</v>
      </c>
      <c r="R162" t="str" cm="1">
        <f t="array" ref="R162">_xlfn.IFS(Q162="Y","Yes", Q162="Yes","Yes", Q162="N","No", Q162="No","No", Q162=1,"N/A", Q162=0,"N/A", TRUE,"")</f>
        <v>N/A</v>
      </c>
      <c r="S162">
        <f t="shared" si="22"/>
        <v>3</v>
      </c>
      <c r="T162">
        <f t="shared" si="23"/>
        <v>1</v>
      </c>
      <c r="U162" t="str" cm="1">
        <f t="array" ref="U162">_xlfn.IFS(D162&lt;40,"Young Adult",AND(D162&gt;=40,D162&lt;65),"Middle Aged", D162&gt;=65,"Elderly")</f>
        <v>Elderly</v>
      </c>
    </row>
    <row r="163" spans="1:21" x14ac:dyDescent="0.2">
      <c r="A163">
        <v>1008</v>
      </c>
      <c r="B163">
        <f t="shared" si="16"/>
        <v>162</v>
      </c>
      <c r="C163" t="s">
        <v>499</v>
      </c>
      <c r="D163">
        <v>69</v>
      </c>
      <c r="E163" t="s">
        <v>2937</v>
      </c>
      <c r="F163" t="str">
        <f t="shared" si="17"/>
        <v>N/A</v>
      </c>
      <c r="G163" s="1">
        <v>45785</v>
      </c>
      <c r="H163" s="1">
        <v>45681</v>
      </c>
      <c r="I163" t="s">
        <v>500</v>
      </c>
      <c r="J163" t="str">
        <f t="shared" si="18"/>
        <v>Tammy Watts</v>
      </c>
      <c r="K163" t="s">
        <v>24</v>
      </c>
      <c r="L163" t="str">
        <f t="shared" si="19"/>
        <v>Neurology</v>
      </c>
      <c r="M163" t="s">
        <v>501</v>
      </c>
      <c r="N163" t="str">
        <f t="shared" si="20"/>
        <v>GBP</v>
      </c>
      <c r="O163">
        <f t="shared" si="21"/>
        <v>117.14</v>
      </c>
      <c r="P163" cm="1">
        <f t="array" ref="P163">_xlfn.IFS(N163="USD",O163*1,N163="GBP",O163*1.27,N163="EUR",O163*1.09,N163="INR",O163*0.012,N163="N/A","N/A")</f>
        <v>148.76779999999999</v>
      </c>
      <c r="Q163" t="s">
        <v>36</v>
      </c>
      <c r="R163" t="str" cm="1">
        <f t="array" ref="R163">_xlfn.IFS(Q163="Y","Yes", Q163="Yes","Yes", Q163="N","No", Q163="No","No", Q163=1,"N/A", Q163=0,"N/A", TRUE,"")</f>
        <v>Yes</v>
      </c>
      <c r="S163">
        <f t="shared" si="22"/>
        <v>11</v>
      </c>
      <c r="T163">
        <f t="shared" si="23"/>
        <v>1</v>
      </c>
      <c r="U163" t="str" cm="1">
        <f t="array" ref="U163">_xlfn.IFS(D163&lt;40,"Young Adult",AND(D163&gt;=40,D163&lt;65),"Middle Aged", D163&gt;=65,"Elderly")</f>
        <v>Elderly</v>
      </c>
    </row>
    <row r="164" spans="1:21" x14ac:dyDescent="0.2">
      <c r="A164">
        <v>1078</v>
      </c>
      <c r="B164">
        <f t="shared" si="16"/>
        <v>163</v>
      </c>
      <c r="C164" t="s">
        <v>502</v>
      </c>
      <c r="D164">
        <v>54</v>
      </c>
      <c r="E164" t="s">
        <v>2937</v>
      </c>
      <c r="F164" t="str">
        <f t="shared" si="17"/>
        <v>N/A</v>
      </c>
      <c r="G164" s="1">
        <v>45867</v>
      </c>
      <c r="H164" s="1">
        <v>45449</v>
      </c>
      <c r="I164" t="s">
        <v>503</v>
      </c>
      <c r="J164" t="str">
        <f t="shared" si="18"/>
        <v>Eric Kelly</v>
      </c>
      <c r="K164" t="s">
        <v>24</v>
      </c>
      <c r="L164" t="str">
        <f t="shared" si="19"/>
        <v>Neurology</v>
      </c>
      <c r="M164" t="s">
        <v>504</v>
      </c>
      <c r="N164" t="str">
        <f t="shared" si="20"/>
        <v>INR</v>
      </c>
      <c r="O164">
        <f t="shared" si="21"/>
        <v>433.77</v>
      </c>
      <c r="P164" cm="1">
        <f t="array" ref="P164">_xlfn.IFS(N164="USD",O164*1,N164="GBP",O164*1.27,N164="EUR",O164*1.09,N164="INR",O164*0.012,N164="N/A","N/A")</f>
        <v>5.2052399999999999</v>
      </c>
      <c r="Q164" t="s">
        <v>30</v>
      </c>
      <c r="R164" t="str" cm="1">
        <f t="array" ref="R164">_xlfn.IFS(Q164="Y","Yes", Q164="Yes","Yes", Q164="N","No", Q164="No","No", Q164=1,"N/A", Q164=0,"N/A", TRUE,"")</f>
        <v>No</v>
      </c>
      <c r="S164">
        <f t="shared" si="22"/>
        <v>8</v>
      </c>
      <c r="T164">
        <f t="shared" si="23"/>
        <v>1</v>
      </c>
      <c r="U164" t="str" cm="1">
        <f t="array" ref="U164">_xlfn.IFS(D164&lt;40,"Young Adult",AND(D164&gt;=40,D164&lt;65),"Middle Aged", D164&gt;=65,"Elderly")</f>
        <v>Middle Aged</v>
      </c>
    </row>
    <row r="165" spans="1:21" x14ac:dyDescent="0.2">
      <c r="A165">
        <v>1038</v>
      </c>
      <c r="B165">
        <f t="shared" si="16"/>
        <v>164</v>
      </c>
      <c r="C165" t="s">
        <v>505</v>
      </c>
      <c r="D165">
        <v>79</v>
      </c>
      <c r="E165" t="s">
        <v>16</v>
      </c>
      <c r="F165" t="str">
        <f t="shared" si="17"/>
        <v>Female</v>
      </c>
      <c r="G165" s="1">
        <v>45790</v>
      </c>
      <c r="H165" s="1">
        <v>45537</v>
      </c>
      <c r="I165" t="s">
        <v>506</v>
      </c>
      <c r="J165" t="str">
        <f t="shared" si="18"/>
        <v>David Cole</v>
      </c>
      <c r="K165" t="s">
        <v>18</v>
      </c>
      <c r="L165" t="str">
        <f t="shared" si="19"/>
        <v>Orthopedics</v>
      </c>
      <c r="M165" t="s">
        <v>507</v>
      </c>
      <c r="N165" t="str">
        <f t="shared" si="20"/>
        <v>USD</v>
      </c>
      <c r="O165">
        <f t="shared" si="21"/>
        <v>82.84</v>
      </c>
      <c r="P165" cm="1">
        <f t="array" ref="P165">_xlfn.IFS(N165="USD",O165*1,N165="GBP",O165*1.27,N165="EUR",O165*1.09,N165="INR",O165*0.012,N165="N/A","N/A")</f>
        <v>82.84</v>
      </c>
      <c r="Q165" t="s">
        <v>30</v>
      </c>
      <c r="R165" t="str" cm="1">
        <f t="array" ref="R165">_xlfn.IFS(Q165="Y","Yes", Q165="Yes","Yes", Q165="N","No", Q165="No","No", Q165=1,"N/A", Q165=0,"N/A", TRUE,"")</f>
        <v>No</v>
      </c>
      <c r="S165">
        <f t="shared" si="22"/>
        <v>10</v>
      </c>
      <c r="T165">
        <f t="shared" si="23"/>
        <v>1</v>
      </c>
      <c r="U165" t="str" cm="1">
        <f t="array" ref="U165">_xlfn.IFS(D165&lt;40,"Young Adult",AND(D165&gt;=40,D165&lt;65),"Middle Aged", D165&gt;=65,"Elderly")</f>
        <v>Elderly</v>
      </c>
    </row>
    <row r="166" spans="1:21" x14ac:dyDescent="0.2">
      <c r="A166">
        <v>1082</v>
      </c>
      <c r="B166">
        <f t="shared" si="16"/>
        <v>165</v>
      </c>
      <c r="C166" t="s">
        <v>508</v>
      </c>
      <c r="D166">
        <v>87</v>
      </c>
      <c r="E166" t="s">
        <v>2937</v>
      </c>
      <c r="F166" t="str">
        <f t="shared" si="17"/>
        <v>N/A</v>
      </c>
      <c r="G166" s="1">
        <v>45742</v>
      </c>
      <c r="H166" s="1">
        <v>45377</v>
      </c>
      <c r="I166" t="s">
        <v>509</v>
      </c>
      <c r="J166" t="str">
        <f t="shared" si="18"/>
        <v>Matthew Lopez</v>
      </c>
      <c r="K166" t="s">
        <v>18</v>
      </c>
      <c r="L166" t="str">
        <f t="shared" si="19"/>
        <v>Orthopedics</v>
      </c>
      <c r="M166" t="s">
        <v>510</v>
      </c>
      <c r="N166" t="str">
        <f t="shared" si="20"/>
        <v>INR</v>
      </c>
      <c r="O166">
        <f t="shared" si="21"/>
        <v>216.23</v>
      </c>
      <c r="P166" cm="1">
        <f t="array" ref="P166">_xlfn.IFS(N166="USD",O166*1,N166="GBP",O166*1.27,N166="EUR",O166*1.09,N166="INR",O166*0.012,N166="N/A","N/A")</f>
        <v>2.59476</v>
      </c>
      <c r="Q166" t="s">
        <v>36</v>
      </c>
      <c r="R166" t="str" cm="1">
        <f t="array" ref="R166">_xlfn.IFS(Q166="Y","Yes", Q166="Yes","Yes", Q166="N","No", Q166="No","No", Q166=1,"N/A", Q166=0,"N/A", TRUE,"")</f>
        <v>Yes</v>
      </c>
      <c r="S166">
        <f t="shared" si="22"/>
        <v>14</v>
      </c>
      <c r="T166">
        <f t="shared" si="23"/>
        <v>1</v>
      </c>
      <c r="U166" t="str" cm="1">
        <f t="array" ref="U166">_xlfn.IFS(D166&lt;40,"Young Adult",AND(D166&gt;=40,D166&lt;65),"Middle Aged", D166&gt;=65,"Elderly")</f>
        <v>Elderly</v>
      </c>
    </row>
    <row r="167" spans="1:21" x14ac:dyDescent="0.2">
      <c r="A167">
        <v>1028</v>
      </c>
      <c r="B167">
        <f t="shared" si="16"/>
        <v>166</v>
      </c>
      <c r="C167" t="s">
        <v>511</v>
      </c>
      <c r="D167">
        <v>24</v>
      </c>
      <c r="E167" t="s">
        <v>51</v>
      </c>
      <c r="F167" t="str">
        <f t="shared" si="17"/>
        <v>Male</v>
      </c>
      <c r="G167" s="1">
        <v>46010</v>
      </c>
      <c r="H167" s="1">
        <v>45839</v>
      </c>
      <c r="I167" t="s">
        <v>512</v>
      </c>
      <c r="J167" t="str">
        <f t="shared" si="18"/>
        <v>Jennifer Brooks</v>
      </c>
      <c r="K167" t="s">
        <v>28</v>
      </c>
      <c r="L167" t="str">
        <f t="shared" si="19"/>
        <v>General</v>
      </c>
      <c r="M167" t="s">
        <v>513</v>
      </c>
      <c r="N167" t="str">
        <f t="shared" si="20"/>
        <v>EUR</v>
      </c>
      <c r="O167">
        <f t="shared" si="21"/>
        <v>492.98</v>
      </c>
      <c r="P167" cm="1">
        <f t="array" ref="P167">_xlfn.IFS(N167="USD",O167*1,N167="GBP",O167*1.27,N167="EUR",O167*1.09,N167="INR",O167*0.012,N167="N/A","N/A")</f>
        <v>537.34820000000002</v>
      </c>
      <c r="Q167" t="s">
        <v>36</v>
      </c>
      <c r="R167" t="str" cm="1">
        <f t="array" ref="R167">_xlfn.IFS(Q167="Y","Yes", Q167="Yes","Yes", Q167="N","No", Q167="No","No", Q167=1,"N/A", Q167=0,"N/A", TRUE,"")</f>
        <v>Yes</v>
      </c>
      <c r="S167">
        <f t="shared" si="22"/>
        <v>8</v>
      </c>
      <c r="T167">
        <f t="shared" si="23"/>
        <v>1</v>
      </c>
      <c r="U167" t="str" cm="1">
        <f t="array" ref="U167">_xlfn.IFS(D167&lt;40,"Young Adult",AND(D167&gt;=40,D167&lt;65),"Middle Aged", D167&gt;=65,"Elderly")</f>
        <v>Young Adult</v>
      </c>
    </row>
    <row r="168" spans="1:21" x14ac:dyDescent="0.2">
      <c r="A168">
        <v>1048</v>
      </c>
      <c r="B168">
        <f t="shared" si="16"/>
        <v>167</v>
      </c>
      <c r="C168" t="s">
        <v>514</v>
      </c>
      <c r="D168">
        <v>77</v>
      </c>
      <c r="E168" t="s">
        <v>38</v>
      </c>
      <c r="F168" t="str">
        <f t="shared" si="17"/>
        <v>Female</v>
      </c>
      <c r="G168" s="1">
        <v>45951</v>
      </c>
      <c r="H168" s="1">
        <v>45491</v>
      </c>
      <c r="I168" t="s">
        <v>515</v>
      </c>
      <c r="J168" t="str">
        <f t="shared" si="18"/>
        <v>Amber Little</v>
      </c>
      <c r="K168" t="s">
        <v>28</v>
      </c>
      <c r="L168" t="str">
        <f t="shared" si="19"/>
        <v>General</v>
      </c>
      <c r="M168" t="s">
        <v>516</v>
      </c>
      <c r="N168" t="str">
        <f t="shared" si="20"/>
        <v>INR</v>
      </c>
      <c r="O168">
        <f t="shared" si="21"/>
        <v>280.77</v>
      </c>
      <c r="P168" cm="1">
        <f t="array" ref="P168">_xlfn.IFS(N168="USD",O168*1,N168="GBP",O168*1.27,N168="EUR",O168*1.09,N168="INR",O168*0.012,N168="N/A","N/A")</f>
        <v>3.36924</v>
      </c>
      <c r="Q168" t="s">
        <v>60</v>
      </c>
      <c r="R168" t="str" cm="1">
        <f t="array" ref="R168">_xlfn.IFS(Q168="Y","Yes", Q168="Yes","Yes", Q168="N","No", Q168="No","No", Q168=1,"N/A", Q168=0,"N/A", TRUE,"")</f>
        <v>No</v>
      </c>
      <c r="S168">
        <f t="shared" si="22"/>
        <v>8</v>
      </c>
      <c r="T168">
        <f t="shared" si="23"/>
        <v>1</v>
      </c>
      <c r="U168" t="str" cm="1">
        <f t="array" ref="U168">_xlfn.IFS(D168&lt;40,"Young Adult",AND(D168&gt;=40,D168&lt;65),"Middle Aged", D168&gt;=65,"Elderly")</f>
        <v>Elderly</v>
      </c>
    </row>
    <row r="169" spans="1:21" x14ac:dyDescent="0.2">
      <c r="A169">
        <v>1035</v>
      </c>
      <c r="B169">
        <f t="shared" si="16"/>
        <v>168</v>
      </c>
      <c r="C169" t="s">
        <v>517</v>
      </c>
      <c r="D169">
        <v>60</v>
      </c>
      <c r="E169" t="s">
        <v>2937</v>
      </c>
      <c r="F169" t="str">
        <f t="shared" si="17"/>
        <v>N/A</v>
      </c>
      <c r="G169" s="1">
        <v>45974</v>
      </c>
      <c r="H169" s="1">
        <v>45831</v>
      </c>
      <c r="I169" t="s">
        <v>518</v>
      </c>
      <c r="J169" t="str">
        <f t="shared" si="18"/>
        <v>Robert Martinez</v>
      </c>
      <c r="K169" t="s">
        <v>13</v>
      </c>
      <c r="L169" t="str">
        <f t="shared" si="19"/>
        <v>Cardiology</v>
      </c>
      <c r="M169" t="s">
        <v>519</v>
      </c>
      <c r="N169" t="str">
        <f t="shared" si="20"/>
        <v>USD</v>
      </c>
      <c r="O169">
        <f t="shared" si="21"/>
        <v>99.19</v>
      </c>
      <c r="P169" cm="1">
        <f t="array" ref="P169">_xlfn.IFS(N169="USD",O169*1,N169="GBP",O169*1.27,N169="EUR",O169*1.09,N169="INR",O169*0.012,N169="N/A","N/A")</f>
        <v>99.19</v>
      </c>
      <c r="Q169" t="s">
        <v>60</v>
      </c>
      <c r="R169" t="str" cm="1">
        <f t="array" ref="R169">_xlfn.IFS(Q169="Y","Yes", Q169="Yes","Yes", Q169="N","No", Q169="No","No", Q169=1,"N/A", Q169=0,"N/A", TRUE,"")</f>
        <v>No</v>
      </c>
      <c r="S169">
        <f t="shared" si="22"/>
        <v>9</v>
      </c>
      <c r="T169">
        <f t="shared" si="23"/>
        <v>1</v>
      </c>
      <c r="U169" t="str" cm="1">
        <f t="array" ref="U169">_xlfn.IFS(D169&lt;40,"Young Adult",AND(D169&gt;=40,D169&lt;65),"Middle Aged", D169&gt;=65,"Elderly")</f>
        <v>Middle Aged</v>
      </c>
    </row>
    <row r="170" spans="1:21" x14ac:dyDescent="0.2">
      <c r="A170">
        <v>1010</v>
      </c>
      <c r="B170">
        <f t="shared" si="16"/>
        <v>169</v>
      </c>
      <c r="C170" t="s">
        <v>520</v>
      </c>
      <c r="D170">
        <v>57</v>
      </c>
      <c r="E170" t="s">
        <v>71</v>
      </c>
      <c r="F170" t="str">
        <f t="shared" si="17"/>
        <v>Male</v>
      </c>
      <c r="G170" s="1">
        <v>45802</v>
      </c>
      <c r="H170" s="1">
        <v>45744</v>
      </c>
      <c r="I170" t="s">
        <v>521</v>
      </c>
      <c r="J170" t="str">
        <f t="shared" si="18"/>
        <v>Derrick Cook</v>
      </c>
      <c r="K170" t="s">
        <v>28</v>
      </c>
      <c r="L170" t="str">
        <f t="shared" si="19"/>
        <v>General</v>
      </c>
      <c r="M170" t="s">
        <v>522</v>
      </c>
      <c r="N170" t="str">
        <f t="shared" si="20"/>
        <v>USD</v>
      </c>
      <c r="O170">
        <f t="shared" si="21"/>
        <v>225.83</v>
      </c>
      <c r="P170" cm="1">
        <f t="array" ref="P170">_xlfn.IFS(N170="USD",O170*1,N170="GBP",O170*1.27,N170="EUR",O170*1.09,N170="INR",O170*0.012,N170="N/A","N/A")</f>
        <v>225.83</v>
      </c>
      <c r="Q170" t="s">
        <v>20</v>
      </c>
      <c r="R170" t="str" cm="1">
        <f t="array" ref="R170">_xlfn.IFS(Q170="Y","Yes", Q170="Yes","Yes", Q170="N","No", Q170="No","No", Q170=1,"N/A", Q170=0,"N/A", TRUE,"")</f>
        <v>Yes</v>
      </c>
      <c r="S170">
        <f t="shared" si="22"/>
        <v>10</v>
      </c>
      <c r="T170">
        <f t="shared" si="23"/>
        <v>1</v>
      </c>
      <c r="U170" t="str" cm="1">
        <f t="array" ref="U170">_xlfn.IFS(D170&lt;40,"Young Adult",AND(D170&gt;=40,D170&lt;65),"Middle Aged", D170&gt;=65,"Elderly")</f>
        <v>Middle Aged</v>
      </c>
    </row>
    <row r="171" spans="1:21" x14ac:dyDescent="0.2">
      <c r="A171">
        <v>1043</v>
      </c>
      <c r="B171">
        <f t="shared" si="16"/>
        <v>170</v>
      </c>
      <c r="C171" t="s">
        <v>523</v>
      </c>
      <c r="D171">
        <v>69</v>
      </c>
      <c r="E171" t="s">
        <v>51</v>
      </c>
      <c r="F171" t="str">
        <f t="shared" si="17"/>
        <v>Male</v>
      </c>
      <c r="G171" s="1">
        <v>45783</v>
      </c>
      <c r="H171" s="1">
        <v>45563</v>
      </c>
      <c r="I171" t="s">
        <v>524</v>
      </c>
      <c r="J171" t="str">
        <f t="shared" si="18"/>
        <v>Dustin Jones</v>
      </c>
      <c r="K171" t="s">
        <v>13</v>
      </c>
      <c r="L171" t="str">
        <f t="shared" si="19"/>
        <v>Cardiology</v>
      </c>
      <c r="M171" t="s">
        <v>525</v>
      </c>
      <c r="N171" t="str">
        <f t="shared" si="20"/>
        <v>USD</v>
      </c>
      <c r="O171">
        <f t="shared" si="21"/>
        <v>458.12</v>
      </c>
      <c r="P171" cm="1">
        <f t="array" ref="P171">_xlfn.IFS(N171="USD",O171*1,N171="GBP",O171*1.27,N171="EUR",O171*1.09,N171="INR",O171*0.012,N171="N/A","N/A")</f>
        <v>458.12</v>
      </c>
      <c r="Q171" t="s">
        <v>36</v>
      </c>
      <c r="R171" t="str" cm="1">
        <f t="array" ref="R171">_xlfn.IFS(Q171="Y","Yes", Q171="Yes","Yes", Q171="N","No", Q171="No","No", Q171=1,"N/A", Q171=0,"N/A", TRUE,"")</f>
        <v>Yes</v>
      </c>
      <c r="S171">
        <f t="shared" si="22"/>
        <v>12</v>
      </c>
      <c r="T171">
        <f t="shared" si="23"/>
        <v>1</v>
      </c>
      <c r="U171" t="str" cm="1">
        <f t="array" ref="U171">_xlfn.IFS(D171&lt;40,"Young Adult",AND(D171&gt;=40,D171&lt;65),"Middle Aged", D171&gt;=65,"Elderly")</f>
        <v>Elderly</v>
      </c>
    </row>
    <row r="172" spans="1:21" x14ac:dyDescent="0.2">
      <c r="A172">
        <v>1083</v>
      </c>
      <c r="B172">
        <f t="shared" si="16"/>
        <v>171</v>
      </c>
      <c r="C172" t="s">
        <v>526</v>
      </c>
      <c r="D172">
        <v>58</v>
      </c>
      <c r="E172" t="s">
        <v>22</v>
      </c>
      <c r="F172" t="str">
        <f t="shared" si="17"/>
        <v>Male</v>
      </c>
      <c r="G172" s="1">
        <v>46039</v>
      </c>
      <c r="H172" s="1">
        <v>45859</v>
      </c>
      <c r="I172" t="s">
        <v>527</v>
      </c>
      <c r="J172" t="str">
        <f t="shared" si="18"/>
        <v>Timothy Morgan</v>
      </c>
      <c r="K172" t="s">
        <v>13</v>
      </c>
      <c r="L172" t="str">
        <f t="shared" si="19"/>
        <v>Cardiology</v>
      </c>
      <c r="M172" t="s">
        <v>528</v>
      </c>
      <c r="N172" t="str">
        <f t="shared" si="20"/>
        <v>EUR</v>
      </c>
      <c r="O172">
        <f t="shared" si="21"/>
        <v>244.78</v>
      </c>
      <c r="P172" cm="1">
        <f t="array" ref="P172">_xlfn.IFS(N172="USD",O172*1,N172="GBP",O172*1.27,N172="EUR",O172*1.09,N172="INR",O172*0.012,N172="N/A","N/A")</f>
        <v>266.81020000000001</v>
      </c>
      <c r="Q172" t="s">
        <v>60</v>
      </c>
      <c r="R172" t="str" cm="1">
        <f t="array" ref="R172">_xlfn.IFS(Q172="Y","Yes", Q172="Yes","Yes", Q172="N","No", Q172="No","No", Q172=1,"N/A", Q172=0,"N/A", TRUE,"")</f>
        <v>No</v>
      </c>
      <c r="S172">
        <f t="shared" si="22"/>
        <v>7</v>
      </c>
      <c r="T172">
        <f t="shared" si="23"/>
        <v>1</v>
      </c>
      <c r="U172" t="str" cm="1">
        <f t="array" ref="U172">_xlfn.IFS(D172&lt;40,"Young Adult",AND(D172&gt;=40,D172&lt;65),"Middle Aged", D172&gt;=65,"Elderly")</f>
        <v>Middle Aged</v>
      </c>
    </row>
    <row r="173" spans="1:21" x14ac:dyDescent="0.2">
      <c r="A173">
        <v>1026</v>
      </c>
      <c r="B173">
        <f t="shared" si="16"/>
        <v>172</v>
      </c>
      <c r="C173" t="s">
        <v>529</v>
      </c>
      <c r="D173">
        <v>86</v>
      </c>
      <c r="E173" t="s">
        <v>16</v>
      </c>
      <c r="F173" t="str">
        <f t="shared" si="17"/>
        <v>Female</v>
      </c>
      <c r="G173" s="1">
        <v>46008</v>
      </c>
      <c r="H173" s="1">
        <v>45919</v>
      </c>
      <c r="I173" t="s">
        <v>530</v>
      </c>
      <c r="J173" t="str">
        <f t="shared" si="18"/>
        <v>Stacey Garcia</v>
      </c>
      <c r="K173" t="s">
        <v>18</v>
      </c>
      <c r="L173" t="str">
        <f t="shared" si="19"/>
        <v>Orthopedics</v>
      </c>
      <c r="M173" t="s">
        <v>531</v>
      </c>
      <c r="N173" t="str">
        <f t="shared" si="20"/>
        <v>EUR</v>
      </c>
      <c r="O173">
        <f t="shared" si="21"/>
        <v>330.37</v>
      </c>
      <c r="P173" cm="1">
        <f t="array" ref="P173">_xlfn.IFS(N173="USD",O173*1,N173="GBP",O173*1.27,N173="EUR",O173*1.09,N173="INR",O173*0.012,N173="N/A","N/A")</f>
        <v>360.10330000000005</v>
      </c>
      <c r="Q173">
        <v>0</v>
      </c>
      <c r="R173" t="str" cm="1">
        <f t="array" ref="R173">_xlfn.IFS(Q173="Y","Yes", Q173="Yes","Yes", Q173="N","No", Q173="No","No", Q173=1,"N/A", Q173=0,"N/A", TRUE,"")</f>
        <v>N/A</v>
      </c>
      <c r="S173">
        <f t="shared" si="22"/>
        <v>10</v>
      </c>
      <c r="T173">
        <f t="shared" si="23"/>
        <v>1</v>
      </c>
      <c r="U173" t="str" cm="1">
        <f t="array" ref="U173">_xlfn.IFS(D173&lt;40,"Young Adult",AND(D173&gt;=40,D173&lt;65),"Middle Aged", D173&gt;=65,"Elderly")</f>
        <v>Elderly</v>
      </c>
    </row>
    <row r="174" spans="1:21" x14ac:dyDescent="0.2">
      <c r="A174">
        <v>1046</v>
      </c>
      <c r="B174">
        <f t="shared" si="16"/>
        <v>173</v>
      </c>
      <c r="C174" t="s">
        <v>532</v>
      </c>
      <c r="D174">
        <v>50</v>
      </c>
      <c r="E174" t="s">
        <v>16</v>
      </c>
      <c r="F174" t="str">
        <f t="shared" si="17"/>
        <v>Female</v>
      </c>
      <c r="G174" s="1">
        <v>45994</v>
      </c>
      <c r="H174" s="1">
        <v>45506</v>
      </c>
      <c r="I174" t="s">
        <v>533</v>
      </c>
      <c r="J174" t="str">
        <f t="shared" si="18"/>
        <v>Rachel Richards</v>
      </c>
      <c r="K174" t="s">
        <v>18</v>
      </c>
      <c r="L174" t="str">
        <f t="shared" si="19"/>
        <v>Orthopedics</v>
      </c>
      <c r="M174" t="s">
        <v>534</v>
      </c>
      <c r="N174" t="str">
        <f t="shared" si="20"/>
        <v>GBP</v>
      </c>
      <c r="O174">
        <f t="shared" si="21"/>
        <v>98.14</v>
      </c>
      <c r="P174" cm="1">
        <f t="array" ref="P174">_xlfn.IFS(N174="USD",O174*1,N174="GBP",O174*1.27,N174="EUR",O174*1.09,N174="INR",O174*0.012,N174="N/A","N/A")</f>
        <v>124.6378</v>
      </c>
      <c r="Q174" t="s">
        <v>36</v>
      </c>
      <c r="R174" t="str" cm="1">
        <f t="array" ref="R174">_xlfn.IFS(Q174="Y","Yes", Q174="Yes","Yes", Q174="N","No", Q174="No","No", Q174=1,"N/A", Q174=0,"N/A", TRUE,"")</f>
        <v>Yes</v>
      </c>
      <c r="S174">
        <f t="shared" si="22"/>
        <v>8</v>
      </c>
      <c r="T174">
        <f t="shared" si="23"/>
        <v>1</v>
      </c>
      <c r="U174" t="str" cm="1">
        <f t="array" ref="U174">_xlfn.IFS(D174&lt;40,"Young Adult",AND(D174&gt;=40,D174&lt;65),"Middle Aged", D174&gt;=65,"Elderly")</f>
        <v>Middle Aged</v>
      </c>
    </row>
    <row r="175" spans="1:21" x14ac:dyDescent="0.2">
      <c r="A175">
        <v>1084</v>
      </c>
      <c r="B175">
        <f t="shared" si="16"/>
        <v>174</v>
      </c>
      <c r="C175" t="s">
        <v>535</v>
      </c>
      <c r="D175">
        <v>52</v>
      </c>
      <c r="E175" t="s">
        <v>2937</v>
      </c>
      <c r="F175" t="str">
        <f t="shared" si="17"/>
        <v>N/A</v>
      </c>
      <c r="G175" s="1">
        <v>46019</v>
      </c>
      <c r="H175" s="1">
        <v>45712</v>
      </c>
      <c r="I175" t="s">
        <v>536</v>
      </c>
      <c r="J175" t="str">
        <f t="shared" si="18"/>
        <v>Jason Gill</v>
      </c>
      <c r="K175" t="s">
        <v>28</v>
      </c>
      <c r="L175" t="str">
        <f t="shared" si="19"/>
        <v>General</v>
      </c>
      <c r="M175" t="s">
        <v>537</v>
      </c>
      <c r="N175" t="str">
        <f t="shared" si="20"/>
        <v>GBP</v>
      </c>
      <c r="O175">
        <f t="shared" si="21"/>
        <v>464.69</v>
      </c>
      <c r="P175" cm="1">
        <f t="array" ref="P175">_xlfn.IFS(N175="USD",O175*1,N175="GBP",O175*1.27,N175="EUR",O175*1.09,N175="INR",O175*0.012,N175="N/A","N/A")</f>
        <v>590.15629999999999</v>
      </c>
      <c r="Q175" t="s">
        <v>36</v>
      </c>
      <c r="R175" t="str" cm="1">
        <f t="array" ref="R175">_xlfn.IFS(Q175="Y","Yes", Q175="Yes","Yes", Q175="N","No", Q175="No","No", Q175=1,"N/A", Q175=0,"N/A", TRUE,"")</f>
        <v>Yes</v>
      </c>
      <c r="S175">
        <f t="shared" si="22"/>
        <v>15</v>
      </c>
      <c r="T175">
        <f t="shared" si="23"/>
        <v>1</v>
      </c>
      <c r="U175" t="str" cm="1">
        <f t="array" ref="U175">_xlfn.IFS(D175&lt;40,"Young Adult",AND(D175&gt;=40,D175&lt;65),"Middle Aged", D175&gt;=65,"Elderly")</f>
        <v>Middle Aged</v>
      </c>
    </row>
    <row r="176" spans="1:21" x14ac:dyDescent="0.2">
      <c r="A176">
        <v>1006</v>
      </c>
      <c r="B176">
        <f t="shared" si="16"/>
        <v>175</v>
      </c>
      <c r="C176" t="s">
        <v>538</v>
      </c>
      <c r="D176">
        <v>54</v>
      </c>
      <c r="E176" t="s">
        <v>38</v>
      </c>
      <c r="F176" t="str">
        <f t="shared" si="17"/>
        <v>Female</v>
      </c>
      <c r="G176" s="1">
        <v>46049</v>
      </c>
      <c r="H176" s="1">
        <v>45536</v>
      </c>
      <c r="I176" t="s">
        <v>539</v>
      </c>
      <c r="J176" t="str">
        <f t="shared" si="18"/>
        <v>Jessica Sawyer</v>
      </c>
      <c r="K176" t="s">
        <v>18</v>
      </c>
      <c r="L176" t="str">
        <f t="shared" si="19"/>
        <v>Orthopedics</v>
      </c>
      <c r="M176" t="s">
        <v>540</v>
      </c>
      <c r="N176" t="str">
        <f t="shared" si="20"/>
        <v>GBP</v>
      </c>
      <c r="O176">
        <f t="shared" si="21"/>
        <v>91.65</v>
      </c>
      <c r="P176" cm="1">
        <f t="array" ref="P176">_xlfn.IFS(N176="USD",O176*1,N176="GBP",O176*1.27,N176="EUR",O176*1.09,N176="INR",O176*0.012,N176="N/A","N/A")</f>
        <v>116.39550000000001</v>
      </c>
      <c r="Q176" t="s">
        <v>30</v>
      </c>
      <c r="R176" t="str" cm="1">
        <f t="array" ref="R176">_xlfn.IFS(Q176="Y","Yes", Q176="Yes","Yes", Q176="N","No", Q176="No","No", Q176=1,"N/A", Q176=0,"N/A", TRUE,"")</f>
        <v>No</v>
      </c>
      <c r="S176">
        <f t="shared" si="22"/>
        <v>8</v>
      </c>
      <c r="T176">
        <f t="shared" si="23"/>
        <v>1</v>
      </c>
      <c r="U176" t="str" cm="1">
        <f t="array" ref="U176">_xlfn.IFS(D176&lt;40,"Young Adult",AND(D176&gt;=40,D176&lt;65),"Middle Aged", D176&gt;=65,"Elderly")</f>
        <v>Middle Aged</v>
      </c>
    </row>
    <row r="177" spans="1:21" x14ac:dyDescent="0.2">
      <c r="A177">
        <v>1015</v>
      </c>
      <c r="B177">
        <f t="shared" si="16"/>
        <v>176</v>
      </c>
      <c r="C177" t="s">
        <v>541</v>
      </c>
      <c r="D177">
        <v>43</v>
      </c>
      <c r="E177" t="s">
        <v>2937</v>
      </c>
      <c r="F177" t="str">
        <f t="shared" si="17"/>
        <v>N/A</v>
      </c>
      <c r="G177" s="1">
        <v>45987</v>
      </c>
      <c r="H177" s="1">
        <v>45894</v>
      </c>
      <c r="I177" t="s">
        <v>542</v>
      </c>
      <c r="J177" t="str">
        <f t="shared" si="18"/>
        <v>Tonya Smith</v>
      </c>
      <c r="K177" t="s">
        <v>24</v>
      </c>
      <c r="L177" t="str">
        <f t="shared" si="19"/>
        <v>Neurology</v>
      </c>
      <c r="M177" t="s">
        <v>543</v>
      </c>
      <c r="N177" t="str">
        <f t="shared" si="20"/>
        <v>INR</v>
      </c>
      <c r="O177">
        <f t="shared" si="21"/>
        <v>425.67</v>
      </c>
      <c r="P177" cm="1">
        <f t="array" ref="P177">_xlfn.IFS(N177="USD",O177*1,N177="GBP",O177*1.27,N177="EUR",O177*1.09,N177="INR",O177*0.012,N177="N/A","N/A")</f>
        <v>5.1080399999999999</v>
      </c>
      <c r="Q177" t="s">
        <v>20</v>
      </c>
      <c r="R177" t="str" cm="1">
        <f t="array" ref="R177">_xlfn.IFS(Q177="Y","Yes", Q177="Yes","Yes", Q177="N","No", Q177="No","No", Q177=1,"N/A", Q177=0,"N/A", TRUE,"")</f>
        <v>Yes</v>
      </c>
      <c r="S177">
        <f t="shared" si="22"/>
        <v>17</v>
      </c>
      <c r="T177">
        <f t="shared" si="23"/>
        <v>1</v>
      </c>
      <c r="U177" t="str" cm="1">
        <f t="array" ref="U177">_xlfn.IFS(D177&lt;40,"Young Adult",AND(D177&gt;=40,D177&lt;65),"Middle Aged", D177&gt;=65,"Elderly")</f>
        <v>Middle Aged</v>
      </c>
    </row>
    <row r="178" spans="1:21" x14ac:dyDescent="0.2">
      <c r="A178">
        <v>1091</v>
      </c>
      <c r="B178">
        <f t="shared" si="16"/>
        <v>177</v>
      </c>
      <c r="C178" t="s">
        <v>544</v>
      </c>
      <c r="D178">
        <v>80</v>
      </c>
      <c r="E178" t="s">
        <v>71</v>
      </c>
      <c r="F178" t="str">
        <f t="shared" si="17"/>
        <v>Male</v>
      </c>
      <c r="G178" s="1">
        <v>45913</v>
      </c>
      <c r="H178" s="1">
        <v>45845</v>
      </c>
      <c r="I178" t="s">
        <v>545</v>
      </c>
      <c r="J178" t="str">
        <f t="shared" si="18"/>
        <v>Amber Braun</v>
      </c>
      <c r="K178" t="s">
        <v>13</v>
      </c>
      <c r="L178" t="str">
        <f t="shared" si="19"/>
        <v>Cardiology</v>
      </c>
      <c r="N178" t="str">
        <f t="shared" si="20"/>
        <v>N/A</v>
      </c>
      <c r="O178" t="str">
        <f t="shared" si="21"/>
        <v/>
      </c>
      <c r="P178" t="str" cm="1">
        <f t="array" ref="P178">_xlfn.IFS(N178="USD",O178*1,N178="GBP",O178*1.27,N178="EUR",O178*1.09,N178="INR",O178*0.012,N178="N/A","N/A")</f>
        <v>N/A</v>
      </c>
      <c r="Q178" t="s">
        <v>20</v>
      </c>
      <c r="R178" t="str" cm="1">
        <f t="array" ref="R178">_xlfn.IFS(Q178="Y","Yes", Q178="Yes","Yes", Q178="N","No", Q178="No","No", Q178=1,"N/A", Q178=0,"N/A", TRUE,"")</f>
        <v>Yes</v>
      </c>
      <c r="S178">
        <f t="shared" si="22"/>
        <v>9</v>
      </c>
      <c r="T178">
        <f t="shared" si="23"/>
        <v>1</v>
      </c>
      <c r="U178" t="str" cm="1">
        <f t="array" ref="U178">_xlfn.IFS(D178&lt;40,"Young Adult",AND(D178&gt;=40,D178&lt;65),"Middle Aged", D178&gt;=65,"Elderly")</f>
        <v>Elderly</v>
      </c>
    </row>
    <row r="179" spans="1:21" x14ac:dyDescent="0.2">
      <c r="A179">
        <v>1024</v>
      </c>
      <c r="B179">
        <f t="shared" si="16"/>
        <v>178</v>
      </c>
      <c r="C179" t="s">
        <v>546</v>
      </c>
      <c r="D179">
        <v>34</v>
      </c>
      <c r="E179" t="s">
        <v>22</v>
      </c>
      <c r="F179" t="str">
        <f t="shared" si="17"/>
        <v>Male</v>
      </c>
      <c r="G179" s="1">
        <v>46064</v>
      </c>
      <c r="H179" s="1">
        <v>45650</v>
      </c>
      <c r="I179" t="s">
        <v>547</v>
      </c>
      <c r="J179" t="str">
        <f t="shared" si="18"/>
        <v>Lorraine Schroeder</v>
      </c>
      <c r="K179" t="s">
        <v>18</v>
      </c>
      <c r="L179" t="str">
        <f t="shared" si="19"/>
        <v>Orthopedics</v>
      </c>
      <c r="M179" t="s">
        <v>548</v>
      </c>
      <c r="N179" t="str">
        <f t="shared" si="20"/>
        <v>EUR</v>
      </c>
      <c r="O179">
        <f t="shared" si="21"/>
        <v>140.86000000000001</v>
      </c>
      <c r="P179" cm="1">
        <f t="array" ref="P179">_xlfn.IFS(N179="USD",O179*1,N179="GBP",O179*1.27,N179="EUR",O179*1.09,N179="INR",O179*0.012,N179="N/A","N/A")</f>
        <v>153.53740000000002</v>
      </c>
      <c r="Q179">
        <v>1</v>
      </c>
      <c r="R179" t="str" cm="1">
        <f t="array" ref="R179">_xlfn.IFS(Q179="Y","Yes", Q179="Yes","Yes", Q179="N","No", Q179="No","No", Q179=1,"N/A", Q179=0,"N/A", TRUE,"")</f>
        <v>N/A</v>
      </c>
      <c r="S179">
        <f t="shared" si="22"/>
        <v>12</v>
      </c>
      <c r="T179">
        <f t="shared" si="23"/>
        <v>1</v>
      </c>
      <c r="U179" t="str" cm="1">
        <f t="array" ref="U179">_xlfn.IFS(D179&lt;40,"Young Adult",AND(D179&gt;=40,D179&lt;65),"Middle Aged", D179&gt;=65,"Elderly")</f>
        <v>Young Adult</v>
      </c>
    </row>
    <row r="180" spans="1:21" x14ac:dyDescent="0.2">
      <c r="A180">
        <v>1033</v>
      </c>
      <c r="B180">
        <f t="shared" si="16"/>
        <v>179</v>
      </c>
      <c r="C180" t="s">
        <v>549</v>
      </c>
      <c r="D180">
        <v>87</v>
      </c>
      <c r="E180" t="s">
        <v>38</v>
      </c>
      <c r="F180" t="str">
        <f t="shared" si="17"/>
        <v>Female</v>
      </c>
      <c r="G180" s="1">
        <v>45753</v>
      </c>
      <c r="H180" s="1">
        <v>45506</v>
      </c>
      <c r="I180" t="s">
        <v>550</v>
      </c>
      <c r="J180" t="str">
        <f t="shared" si="18"/>
        <v>Christina Price</v>
      </c>
      <c r="K180" t="s">
        <v>18</v>
      </c>
      <c r="L180" t="str">
        <f t="shared" si="19"/>
        <v>Orthopedics</v>
      </c>
      <c r="M180" t="s">
        <v>551</v>
      </c>
      <c r="N180" t="str">
        <f t="shared" si="20"/>
        <v>USD</v>
      </c>
      <c r="O180">
        <f t="shared" si="21"/>
        <v>446.06</v>
      </c>
      <c r="P180" cm="1">
        <f t="array" ref="P180">_xlfn.IFS(N180="USD",O180*1,N180="GBP",O180*1.27,N180="EUR",O180*1.09,N180="INR",O180*0.012,N180="N/A","N/A")</f>
        <v>446.06</v>
      </c>
      <c r="Q180" t="s">
        <v>60</v>
      </c>
      <c r="R180" t="str" cm="1">
        <f t="array" ref="R180">_xlfn.IFS(Q180="Y","Yes", Q180="Yes","Yes", Q180="N","No", Q180="No","No", Q180=1,"N/A", Q180=0,"N/A", TRUE,"")</f>
        <v>No</v>
      </c>
      <c r="S180">
        <f t="shared" si="22"/>
        <v>11</v>
      </c>
      <c r="T180">
        <f t="shared" si="23"/>
        <v>1</v>
      </c>
      <c r="U180" t="str" cm="1">
        <f t="array" ref="U180">_xlfn.IFS(D180&lt;40,"Young Adult",AND(D180&gt;=40,D180&lt;65),"Middle Aged", D180&gt;=65,"Elderly")</f>
        <v>Elderly</v>
      </c>
    </row>
    <row r="181" spans="1:21" x14ac:dyDescent="0.2">
      <c r="A181">
        <v>1010</v>
      </c>
      <c r="B181">
        <f t="shared" si="16"/>
        <v>180</v>
      </c>
      <c r="C181" t="s">
        <v>552</v>
      </c>
      <c r="D181">
        <v>21</v>
      </c>
      <c r="E181" t="s">
        <v>16</v>
      </c>
      <c r="F181" t="str">
        <f t="shared" si="17"/>
        <v>Female</v>
      </c>
      <c r="G181" s="1">
        <v>46065</v>
      </c>
      <c r="H181" s="1">
        <v>45695</v>
      </c>
      <c r="I181" t="s">
        <v>553</v>
      </c>
      <c r="J181" t="str">
        <f t="shared" si="18"/>
        <v>Carrie Larsen</v>
      </c>
      <c r="K181" t="s">
        <v>24</v>
      </c>
      <c r="L181" t="str">
        <f t="shared" si="19"/>
        <v>Neurology</v>
      </c>
      <c r="M181" t="s">
        <v>554</v>
      </c>
      <c r="N181" t="str">
        <f t="shared" si="20"/>
        <v>GBP</v>
      </c>
      <c r="O181">
        <f t="shared" si="21"/>
        <v>138.59</v>
      </c>
      <c r="P181" cm="1">
        <f t="array" ref="P181">_xlfn.IFS(N181="USD",O181*1,N181="GBP",O181*1.27,N181="EUR",O181*1.09,N181="INR",O181*0.012,N181="N/A","N/A")</f>
        <v>176.0093</v>
      </c>
      <c r="Q181" t="s">
        <v>20</v>
      </c>
      <c r="R181" t="str" cm="1">
        <f t="array" ref="R181">_xlfn.IFS(Q181="Y","Yes", Q181="Yes","Yes", Q181="N","No", Q181="No","No", Q181=1,"N/A", Q181=0,"N/A", TRUE,"")</f>
        <v>Yes</v>
      </c>
      <c r="S181">
        <f t="shared" si="22"/>
        <v>10</v>
      </c>
      <c r="T181">
        <f t="shared" si="23"/>
        <v>1</v>
      </c>
      <c r="U181" t="str" cm="1">
        <f t="array" ref="U181">_xlfn.IFS(D181&lt;40,"Young Adult",AND(D181&gt;=40,D181&lt;65),"Middle Aged", D181&gt;=65,"Elderly")</f>
        <v>Young Adult</v>
      </c>
    </row>
    <row r="182" spans="1:21" x14ac:dyDescent="0.2">
      <c r="A182">
        <v>1082</v>
      </c>
      <c r="B182">
        <f t="shared" si="16"/>
        <v>181</v>
      </c>
      <c r="C182" t="s">
        <v>555</v>
      </c>
      <c r="D182">
        <v>37</v>
      </c>
      <c r="E182" t="s">
        <v>22</v>
      </c>
      <c r="F182" t="str">
        <f t="shared" si="17"/>
        <v>Male</v>
      </c>
      <c r="G182" s="1">
        <v>45978</v>
      </c>
      <c r="H182" s="1">
        <v>45664</v>
      </c>
      <c r="I182" t="s">
        <v>556</v>
      </c>
      <c r="J182" t="str">
        <f t="shared" si="18"/>
        <v>Ashlee Romero</v>
      </c>
      <c r="K182" t="s">
        <v>18</v>
      </c>
      <c r="L182" t="str">
        <f t="shared" si="19"/>
        <v>Orthopedics</v>
      </c>
      <c r="M182" t="s">
        <v>557</v>
      </c>
      <c r="N182" t="str">
        <f t="shared" si="20"/>
        <v>GBP</v>
      </c>
      <c r="O182">
        <f t="shared" si="21"/>
        <v>448.6</v>
      </c>
      <c r="P182" cm="1">
        <f t="array" ref="P182">_xlfn.IFS(N182="USD",O182*1,N182="GBP",O182*1.27,N182="EUR",O182*1.09,N182="INR",O182*0.012,N182="N/A","N/A")</f>
        <v>569.72200000000009</v>
      </c>
      <c r="Q182">
        <v>0</v>
      </c>
      <c r="R182" t="str" cm="1">
        <f t="array" ref="R182">_xlfn.IFS(Q182="Y","Yes", Q182="Yes","Yes", Q182="N","No", Q182="No","No", Q182=1,"N/A", Q182=0,"N/A", TRUE,"")</f>
        <v>N/A</v>
      </c>
      <c r="S182">
        <f t="shared" si="22"/>
        <v>14</v>
      </c>
      <c r="T182">
        <f t="shared" si="23"/>
        <v>1</v>
      </c>
      <c r="U182" t="str" cm="1">
        <f t="array" ref="U182">_xlfn.IFS(D182&lt;40,"Young Adult",AND(D182&gt;=40,D182&lt;65),"Middle Aged", D182&gt;=65,"Elderly")</f>
        <v>Young Adult</v>
      </c>
    </row>
    <row r="183" spans="1:21" x14ac:dyDescent="0.2">
      <c r="A183">
        <v>1096</v>
      </c>
      <c r="B183">
        <f t="shared" si="16"/>
        <v>182</v>
      </c>
      <c r="C183" t="s">
        <v>558</v>
      </c>
      <c r="D183">
        <v>42</v>
      </c>
      <c r="E183" t="s">
        <v>51</v>
      </c>
      <c r="F183" t="str">
        <f t="shared" si="17"/>
        <v>Male</v>
      </c>
      <c r="G183" s="1">
        <v>45881</v>
      </c>
      <c r="H183" s="1">
        <v>45543</v>
      </c>
      <c r="I183" t="s">
        <v>559</v>
      </c>
      <c r="J183" t="str">
        <f t="shared" si="18"/>
        <v>Andrew Meadows</v>
      </c>
      <c r="K183" t="s">
        <v>24</v>
      </c>
      <c r="L183" t="str">
        <f t="shared" si="19"/>
        <v>Neurology</v>
      </c>
      <c r="M183" t="s">
        <v>560</v>
      </c>
      <c r="N183" t="str">
        <f t="shared" si="20"/>
        <v>EUR</v>
      </c>
      <c r="O183">
        <f t="shared" si="21"/>
        <v>150.94</v>
      </c>
      <c r="P183" cm="1">
        <f t="array" ref="P183">_xlfn.IFS(N183="USD",O183*1,N183="GBP",O183*1.27,N183="EUR",O183*1.09,N183="INR",O183*0.012,N183="N/A","N/A")</f>
        <v>164.52460000000002</v>
      </c>
      <c r="Q183" t="s">
        <v>30</v>
      </c>
      <c r="R183" t="str" cm="1">
        <f t="array" ref="R183">_xlfn.IFS(Q183="Y","Yes", Q183="Yes","Yes", Q183="N","No", Q183="No","No", Q183=1,"N/A", Q183=0,"N/A", TRUE,"")</f>
        <v>No</v>
      </c>
      <c r="S183">
        <f t="shared" si="22"/>
        <v>4</v>
      </c>
      <c r="T183">
        <f t="shared" si="23"/>
        <v>1</v>
      </c>
      <c r="U183" t="str" cm="1">
        <f t="array" ref="U183">_xlfn.IFS(D183&lt;40,"Young Adult",AND(D183&gt;=40,D183&lt;65),"Middle Aged", D183&gt;=65,"Elderly")</f>
        <v>Middle Aged</v>
      </c>
    </row>
    <row r="184" spans="1:21" x14ac:dyDescent="0.2">
      <c r="A184">
        <v>1011</v>
      </c>
      <c r="B184">
        <f t="shared" si="16"/>
        <v>183</v>
      </c>
      <c r="C184" t="s">
        <v>561</v>
      </c>
      <c r="D184">
        <v>53</v>
      </c>
      <c r="E184" t="s">
        <v>2937</v>
      </c>
      <c r="F184" t="str">
        <f t="shared" si="17"/>
        <v>N/A</v>
      </c>
      <c r="G184" s="1">
        <v>45956</v>
      </c>
      <c r="H184" s="1">
        <v>45914</v>
      </c>
      <c r="I184" t="s">
        <v>562</v>
      </c>
      <c r="J184" t="str">
        <f t="shared" si="18"/>
        <v>Ryan Marsh</v>
      </c>
      <c r="K184" t="s">
        <v>24</v>
      </c>
      <c r="L184" t="str">
        <f t="shared" si="19"/>
        <v>Neurology</v>
      </c>
      <c r="M184" t="s">
        <v>563</v>
      </c>
      <c r="N184" t="str">
        <f t="shared" si="20"/>
        <v>EUR</v>
      </c>
      <c r="O184">
        <f t="shared" si="21"/>
        <v>339.19</v>
      </c>
      <c r="P184" cm="1">
        <f t="array" ref="P184">_xlfn.IFS(N184="USD",O184*1,N184="GBP",O184*1.27,N184="EUR",O184*1.09,N184="INR",O184*0.012,N184="N/A","N/A")</f>
        <v>369.71710000000002</v>
      </c>
      <c r="Q184">
        <v>0</v>
      </c>
      <c r="R184" t="str" cm="1">
        <f t="array" ref="R184">_xlfn.IFS(Q184="Y","Yes", Q184="Yes","Yes", Q184="N","No", Q184="No","No", Q184=1,"N/A", Q184=0,"N/A", TRUE,"")</f>
        <v>N/A</v>
      </c>
      <c r="S184">
        <f t="shared" si="22"/>
        <v>7</v>
      </c>
      <c r="T184">
        <f t="shared" si="23"/>
        <v>1</v>
      </c>
      <c r="U184" t="str" cm="1">
        <f t="array" ref="U184">_xlfn.IFS(D184&lt;40,"Young Adult",AND(D184&gt;=40,D184&lt;65),"Middle Aged", D184&gt;=65,"Elderly")</f>
        <v>Middle Aged</v>
      </c>
    </row>
    <row r="185" spans="1:21" x14ac:dyDescent="0.2">
      <c r="A185">
        <v>1002</v>
      </c>
      <c r="B185">
        <f t="shared" si="16"/>
        <v>184</v>
      </c>
      <c r="C185" t="s">
        <v>564</v>
      </c>
      <c r="D185">
        <v>35</v>
      </c>
      <c r="E185" t="s">
        <v>2937</v>
      </c>
      <c r="F185" t="str">
        <f t="shared" si="17"/>
        <v>N/A</v>
      </c>
      <c r="G185" s="1">
        <v>45925</v>
      </c>
      <c r="H185" s="1">
        <v>45436</v>
      </c>
      <c r="I185" t="s">
        <v>565</v>
      </c>
      <c r="J185" t="str">
        <f t="shared" si="18"/>
        <v>Debra Castillo</v>
      </c>
      <c r="K185" t="s">
        <v>24</v>
      </c>
      <c r="L185" t="str">
        <f t="shared" si="19"/>
        <v>Neurology</v>
      </c>
      <c r="M185" t="s">
        <v>566</v>
      </c>
      <c r="N185" t="str">
        <f t="shared" si="20"/>
        <v>EUR</v>
      </c>
      <c r="O185">
        <f t="shared" si="21"/>
        <v>187.28</v>
      </c>
      <c r="P185" cm="1">
        <f t="array" ref="P185">_xlfn.IFS(N185="USD",O185*1,N185="GBP",O185*1.27,N185="EUR",O185*1.09,N185="INR",O185*0.012,N185="N/A","N/A")</f>
        <v>204.13520000000003</v>
      </c>
      <c r="Q185" t="s">
        <v>20</v>
      </c>
      <c r="R185" t="str" cm="1">
        <f t="array" ref="R185">_xlfn.IFS(Q185="Y","Yes", Q185="Yes","Yes", Q185="N","No", Q185="No","No", Q185=1,"N/A", Q185=0,"N/A", TRUE,"")</f>
        <v>Yes</v>
      </c>
      <c r="S185">
        <f t="shared" si="22"/>
        <v>7</v>
      </c>
      <c r="T185">
        <f t="shared" si="23"/>
        <v>1</v>
      </c>
      <c r="U185" t="str" cm="1">
        <f t="array" ref="U185">_xlfn.IFS(D185&lt;40,"Young Adult",AND(D185&gt;=40,D185&lt;65),"Middle Aged", D185&gt;=65,"Elderly")</f>
        <v>Young Adult</v>
      </c>
    </row>
    <row r="186" spans="1:21" x14ac:dyDescent="0.2">
      <c r="A186">
        <v>1016</v>
      </c>
      <c r="B186">
        <f t="shared" si="16"/>
        <v>185</v>
      </c>
      <c r="C186" t="s">
        <v>567</v>
      </c>
      <c r="D186">
        <v>44</v>
      </c>
      <c r="E186" t="s">
        <v>51</v>
      </c>
      <c r="F186" t="str">
        <f t="shared" si="17"/>
        <v>Male</v>
      </c>
      <c r="G186" s="1">
        <v>45830</v>
      </c>
      <c r="H186" s="1">
        <v>45461</v>
      </c>
      <c r="I186" t="s">
        <v>568</v>
      </c>
      <c r="J186" t="str">
        <f t="shared" si="18"/>
        <v>Karen White</v>
      </c>
      <c r="K186" t="s">
        <v>18</v>
      </c>
      <c r="L186" t="str">
        <f t="shared" si="19"/>
        <v>Orthopedics</v>
      </c>
      <c r="M186" t="s">
        <v>569</v>
      </c>
      <c r="N186" t="str">
        <f t="shared" si="20"/>
        <v>EUR</v>
      </c>
      <c r="O186">
        <f t="shared" si="21"/>
        <v>157.66</v>
      </c>
      <c r="P186" cm="1">
        <f t="array" ref="P186">_xlfn.IFS(N186="USD",O186*1,N186="GBP",O186*1.27,N186="EUR",O186*1.09,N186="INR",O186*0.012,N186="N/A","N/A")</f>
        <v>171.8494</v>
      </c>
      <c r="Q186">
        <v>1</v>
      </c>
      <c r="R186" t="str" cm="1">
        <f t="array" ref="R186">_xlfn.IFS(Q186="Y","Yes", Q186="Yes","Yes", Q186="N","No", Q186="No","No", Q186=1,"N/A", Q186=0,"N/A", TRUE,"")</f>
        <v>N/A</v>
      </c>
      <c r="S186">
        <f t="shared" si="22"/>
        <v>15</v>
      </c>
      <c r="T186">
        <f t="shared" si="23"/>
        <v>1</v>
      </c>
      <c r="U186" t="str" cm="1">
        <f t="array" ref="U186">_xlfn.IFS(D186&lt;40,"Young Adult",AND(D186&gt;=40,D186&lt;65),"Middle Aged", D186&gt;=65,"Elderly")</f>
        <v>Middle Aged</v>
      </c>
    </row>
    <row r="187" spans="1:21" x14ac:dyDescent="0.2">
      <c r="A187">
        <v>1077</v>
      </c>
      <c r="B187">
        <f t="shared" si="16"/>
        <v>186</v>
      </c>
      <c r="C187" t="s">
        <v>570</v>
      </c>
      <c r="D187">
        <v>83</v>
      </c>
      <c r="E187" t="s">
        <v>71</v>
      </c>
      <c r="F187" t="str">
        <f t="shared" si="17"/>
        <v>Male</v>
      </c>
      <c r="G187" s="1">
        <v>45790</v>
      </c>
      <c r="H187" s="1">
        <v>45716</v>
      </c>
      <c r="I187" t="s">
        <v>133</v>
      </c>
      <c r="J187" t="str">
        <f t="shared" si="18"/>
        <v>John Yang</v>
      </c>
      <c r="K187" t="s">
        <v>28</v>
      </c>
      <c r="L187" t="str">
        <f t="shared" si="19"/>
        <v>General</v>
      </c>
      <c r="M187" t="s">
        <v>571</v>
      </c>
      <c r="N187" t="str">
        <f t="shared" si="20"/>
        <v>INR</v>
      </c>
      <c r="O187">
        <f t="shared" si="21"/>
        <v>69.97</v>
      </c>
      <c r="P187" cm="1">
        <f t="array" ref="P187">_xlfn.IFS(N187="USD",O187*1,N187="GBP",O187*1.27,N187="EUR",O187*1.09,N187="INR",O187*0.012,N187="N/A","N/A")</f>
        <v>0.83964000000000005</v>
      </c>
      <c r="Q187" t="s">
        <v>36</v>
      </c>
      <c r="R187" t="str" cm="1">
        <f t="array" ref="R187">_xlfn.IFS(Q187="Y","Yes", Q187="Yes","Yes", Q187="N","No", Q187="No","No", Q187=1,"N/A", Q187=0,"N/A", TRUE,"")</f>
        <v>Yes</v>
      </c>
      <c r="S187">
        <f t="shared" si="22"/>
        <v>10</v>
      </c>
      <c r="T187">
        <f t="shared" si="23"/>
        <v>1</v>
      </c>
      <c r="U187" t="str" cm="1">
        <f t="array" ref="U187">_xlfn.IFS(D187&lt;40,"Young Adult",AND(D187&gt;=40,D187&lt;65),"Middle Aged", D187&gt;=65,"Elderly")</f>
        <v>Elderly</v>
      </c>
    </row>
    <row r="188" spans="1:21" x14ac:dyDescent="0.2">
      <c r="A188">
        <v>1026</v>
      </c>
      <c r="B188">
        <f t="shared" si="16"/>
        <v>187</v>
      </c>
      <c r="C188" t="s">
        <v>572</v>
      </c>
      <c r="D188">
        <v>25</v>
      </c>
      <c r="E188" t="s">
        <v>38</v>
      </c>
      <c r="F188" t="str">
        <f t="shared" si="17"/>
        <v>Female</v>
      </c>
      <c r="G188" s="1">
        <v>45845</v>
      </c>
      <c r="H188" s="1">
        <v>45449</v>
      </c>
      <c r="I188" t="s">
        <v>573</v>
      </c>
      <c r="J188" t="str">
        <f t="shared" si="18"/>
        <v>Christopher Hayes</v>
      </c>
      <c r="K188" t="s">
        <v>28</v>
      </c>
      <c r="L188" t="str">
        <f t="shared" si="19"/>
        <v>General</v>
      </c>
      <c r="M188" t="s">
        <v>574</v>
      </c>
      <c r="N188" t="str">
        <f t="shared" si="20"/>
        <v>GBP</v>
      </c>
      <c r="O188">
        <f t="shared" si="21"/>
        <v>490.55</v>
      </c>
      <c r="P188" cm="1">
        <f t="array" ref="P188">_xlfn.IFS(N188="USD",O188*1,N188="GBP",O188*1.27,N188="EUR",O188*1.09,N188="INR",O188*0.012,N188="N/A","N/A")</f>
        <v>622.99850000000004</v>
      </c>
      <c r="Q188" t="s">
        <v>20</v>
      </c>
      <c r="R188" t="str" cm="1">
        <f t="array" ref="R188">_xlfn.IFS(Q188="Y","Yes", Q188="Yes","Yes", Q188="N","No", Q188="No","No", Q188=1,"N/A", Q188=0,"N/A", TRUE,"")</f>
        <v>Yes</v>
      </c>
      <c r="S188">
        <f t="shared" si="22"/>
        <v>10</v>
      </c>
      <c r="T188">
        <f t="shared" si="23"/>
        <v>1</v>
      </c>
      <c r="U188" t="str" cm="1">
        <f t="array" ref="U188">_xlfn.IFS(D188&lt;40,"Young Adult",AND(D188&gt;=40,D188&lt;65),"Middle Aged", D188&gt;=65,"Elderly")</f>
        <v>Young Adult</v>
      </c>
    </row>
    <row r="189" spans="1:21" x14ac:dyDescent="0.2">
      <c r="A189">
        <v>1052</v>
      </c>
      <c r="B189">
        <f t="shared" si="16"/>
        <v>188</v>
      </c>
      <c r="C189" t="s">
        <v>575</v>
      </c>
      <c r="D189">
        <v>59</v>
      </c>
      <c r="E189" t="s">
        <v>2937</v>
      </c>
      <c r="F189" t="str">
        <f t="shared" si="17"/>
        <v>N/A</v>
      </c>
      <c r="G189" s="1">
        <v>46095</v>
      </c>
      <c r="H189" s="1">
        <v>45683</v>
      </c>
      <c r="I189" t="s">
        <v>576</v>
      </c>
      <c r="J189" t="str">
        <f t="shared" si="18"/>
        <v>Kyle Dawson</v>
      </c>
      <c r="K189" t="s">
        <v>18</v>
      </c>
      <c r="L189" t="str">
        <f t="shared" si="19"/>
        <v>Orthopedics</v>
      </c>
      <c r="M189" t="s">
        <v>577</v>
      </c>
      <c r="N189" t="str">
        <f t="shared" si="20"/>
        <v>EUR</v>
      </c>
      <c r="O189">
        <f t="shared" si="21"/>
        <v>315.64</v>
      </c>
      <c r="P189" cm="1">
        <f t="array" ref="P189">_xlfn.IFS(N189="USD",O189*1,N189="GBP",O189*1.27,N189="EUR",O189*1.09,N189="INR",O189*0.012,N189="N/A","N/A")</f>
        <v>344.04759999999999</v>
      </c>
      <c r="Q189" t="s">
        <v>60</v>
      </c>
      <c r="R189" t="str" cm="1">
        <f t="array" ref="R189">_xlfn.IFS(Q189="Y","Yes", Q189="Yes","Yes", Q189="N","No", Q189="No","No", Q189=1,"N/A", Q189=0,"N/A", TRUE,"")</f>
        <v>No</v>
      </c>
      <c r="S189">
        <f t="shared" si="22"/>
        <v>8</v>
      </c>
      <c r="T189">
        <f t="shared" si="23"/>
        <v>1</v>
      </c>
      <c r="U189" t="str" cm="1">
        <f t="array" ref="U189">_xlfn.IFS(D189&lt;40,"Young Adult",AND(D189&gt;=40,D189&lt;65),"Middle Aged", D189&gt;=65,"Elderly")</f>
        <v>Middle Aged</v>
      </c>
    </row>
    <row r="190" spans="1:21" x14ac:dyDescent="0.2">
      <c r="A190">
        <v>1040</v>
      </c>
      <c r="B190">
        <f t="shared" si="16"/>
        <v>189</v>
      </c>
      <c r="C190" t="s">
        <v>578</v>
      </c>
      <c r="D190">
        <v>33</v>
      </c>
      <c r="E190" t="s">
        <v>38</v>
      </c>
      <c r="F190" t="str">
        <f t="shared" si="17"/>
        <v>Female</v>
      </c>
      <c r="G190" s="1">
        <v>46041</v>
      </c>
      <c r="H190" s="1">
        <v>45381</v>
      </c>
      <c r="I190" t="s">
        <v>579</v>
      </c>
      <c r="J190" t="str">
        <f t="shared" si="18"/>
        <v>Molly Warner</v>
      </c>
      <c r="K190" t="s">
        <v>28</v>
      </c>
      <c r="L190" t="str">
        <f t="shared" si="19"/>
        <v>General</v>
      </c>
      <c r="M190" t="s">
        <v>580</v>
      </c>
      <c r="N190" t="str">
        <f t="shared" si="20"/>
        <v>GBP</v>
      </c>
      <c r="O190">
        <f t="shared" si="21"/>
        <v>231.08</v>
      </c>
      <c r="P190" cm="1">
        <f t="array" ref="P190">_xlfn.IFS(N190="USD",O190*1,N190="GBP",O190*1.27,N190="EUR",O190*1.09,N190="INR",O190*0.012,N190="N/A","N/A")</f>
        <v>293.47160000000002</v>
      </c>
      <c r="Q190">
        <v>1</v>
      </c>
      <c r="R190" t="str" cm="1">
        <f t="array" ref="R190">_xlfn.IFS(Q190="Y","Yes", Q190="Yes","Yes", Q190="N","No", Q190="No","No", Q190=1,"N/A", Q190=0,"N/A", TRUE,"")</f>
        <v>N/A</v>
      </c>
      <c r="S190">
        <f t="shared" si="22"/>
        <v>13</v>
      </c>
      <c r="T190">
        <f t="shared" si="23"/>
        <v>1</v>
      </c>
      <c r="U190" t="str" cm="1">
        <f t="array" ref="U190">_xlfn.IFS(D190&lt;40,"Young Adult",AND(D190&gt;=40,D190&lt;65),"Middle Aged", D190&gt;=65,"Elderly")</f>
        <v>Young Adult</v>
      </c>
    </row>
    <row r="191" spans="1:21" x14ac:dyDescent="0.2">
      <c r="A191">
        <v>1068</v>
      </c>
      <c r="B191">
        <f t="shared" si="16"/>
        <v>190</v>
      </c>
      <c r="C191" t="s">
        <v>581</v>
      </c>
      <c r="D191">
        <v>29</v>
      </c>
      <c r="E191" t="s">
        <v>51</v>
      </c>
      <c r="F191" t="str">
        <f t="shared" si="17"/>
        <v>Male</v>
      </c>
      <c r="G191" s="1">
        <v>45804</v>
      </c>
      <c r="H191" s="1">
        <v>45588</v>
      </c>
      <c r="I191" t="s">
        <v>582</v>
      </c>
      <c r="J191" t="str">
        <f t="shared" si="18"/>
        <v>Michelle Ortega</v>
      </c>
      <c r="K191" t="s">
        <v>28</v>
      </c>
      <c r="L191" t="str">
        <f t="shared" si="19"/>
        <v>General</v>
      </c>
      <c r="M191" t="s">
        <v>583</v>
      </c>
      <c r="N191" t="str">
        <f t="shared" si="20"/>
        <v>USD</v>
      </c>
      <c r="O191">
        <f t="shared" si="21"/>
        <v>429.14</v>
      </c>
      <c r="P191" cm="1">
        <f t="array" ref="P191">_xlfn.IFS(N191="USD",O191*1,N191="GBP",O191*1.27,N191="EUR",O191*1.09,N191="INR",O191*0.012,N191="N/A","N/A")</f>
        <v>429.14</v>
      </c>
      <c r="Q191" t="s">
        <v>36</v>
      </c>
      <c r="R191" t="str" cm="1">
        <f t="array" ref="R191">_xlfn.IFS(Q191="Y","Yes", Q191="Yes","Yes", Q191="N","No", Q191="No","No", Q191=1,"N/A", Q191=0,"N/A", TRUE,"")</f>
        <v>Yes</v>
      </c>
      <c r="S191">
        <f t="shared" si="22"/>
        <v>14</v>
      </c>
      <c r="T191">
        <f t="shared" si="23"/>
        <v>1</v>
      </c>
      <c r="U191" t="str" cm="1">
        <f t="array" ref="U191">_xlfn.IFS(D191&lt;40,"Young Adult",AND(D191&gt;=40,D191&lt;65),"Middle Aged", D191&gt;=65,"Elderly")</f>
        <v>Young Adult</v>
      </c>
    </row>
    <row r="192" spans="1:21" x14ac:dyDescent="0.2">
      <c r="A192">
        <v>1013</v>
      </c>
      <c r="B192">
        <f t="shared" si="16"/>
        <v>191</v>
      </c>
      <c r="C192" t="s">
        <v>584</v>
      </c>
      <c r="D192">
        <v>25</v>
      </c>
      <c r="E192" t="s">
        <v>22</v>
      </c>
      <c r="F192" t="str">
        <f t="shared" si="17"/>
        <v>Male</v>
      </c>
      <c r="G192" s="1">
        <v>45962</v>
      </c>
      <c r="H192" s="1">
        <v>45502</v>
      </c>
      <c r="I192" t="s">
        <v>585</v>
      </c>
      <c r="J192" t="str">
        <f t="shared" si="18"/>
        <v>Shelby Brown</v>
      </c>
      <c r="K192" t="s">
        <v>18</v>
      </c>
      <c r="L192" t="str">
        <f t="shared" si="19"/>
        <v>Orthopedics</v>
      </c>
      <c r="M192" t="s">
        <v>586</v>
      </c>
      <c r="N192" t="str">
        <f t="shared" si="20"/>
        <v>INR</v>
      </c>
      <c r="O192">
        <f t="shared" si="21"/>
        <v>93.12</v>
      </c>
      <c r="P192" cm="1">
        <f t="array" ref="P192">_xlfn.IFS(N192="USD",O192*1,N192="GBP",O192*1.27,N192="EUR",O192*1.09,N192="INR",O192*0.012,N192="N/A","N/A")</f>
        <v>1.11744</v>
      </c>
      <c r="Q192" t="s">
        <v>30</v>
      </c>
      <c r="R192" t="str" cm="1">
        <f t="array" ref="R192">_xlfn.IFS(Q192="Y","Yes", Q192="Yes","Yes", Q192="N","No", Q192="No","No", Q192=1,"N/A", Q192=0,"N/A", TRUE,"")</f>
        <v>No</v>
      </c>
      <c r="S192">
        <f t="shared" si="22"/>
        <v>10</v>
      </c>
      <c r="T192">
        <f t="shared" si="23"/>
        <v>1</v>
      </c>
      <c r="U192" t="str" cm="1">
        <f t="array" ref="U192">_xlfn.IFS(D192&lt;40,"Young Adult",AND(D192&gt;=40,D192&lt;65),"Middle Aged", D192&gt;=65,"Elderly")</f>
        <v>Young Adult</v>
      </c>
    </row>
    <row r="193" spans="1:21" x14ac:dyDescent="0.2">
      <c r="A193">
        <v>1024</v>
      </c>
      <c r="B193">
        <f t="shared" si="16"/>
        <v>192</v>
      </c>
      <c r="C193" t="s">
        <v>587</v>
      </c>
      <c r="D193">
        <v>33</v>
      </c>
      <c r="E193" t="s">
        <v>2937</v>
      </c>
      <c r="F193" t="str">
        <f t="shared" si="17"/>
        <v>N/A</v>
      </c>
      <c r="G193" s="1">
        <v>46075</v>
      </c>
      <c r="H193" s="1">
        <v>45919</v>
      </c>
      <c r="I193" t="s">
        <v>588</v>
      </c>
      <c r="J193" t="str">
        <f t="shared" si="18"/>
        <v>Allison Smith</v>
      </c>
      <c r="K193" t="s">
        <v>18</v>
      </c>
      <c r="L193" t="str">
        <f t="shared" si="19"/>
        <v>Orthopedics</v>
      </c>
      <c r="M193" t="s">
        <v>589</v>
      </c>
      <c r="N193" t="str">
        <f t="shared" si="20"/>
        <v>GBP</v>
      </c>
      <c r="O193">
        <f t="shared" si="21"/>
        <v>461.81</v>
      </c>
      <c r="P193" cm="1">
        <f t="array" ref="P193">_xlfn.IFS(N193="USD",O193*1,N193="GBP",O193*1.27,N193="EUR",O193*1.09,N193="INR",O193*0.012,N193="N/A","N/A")</f>
        <v>586.49869999999999</v>
      </c>
      <c r="Q193" t="s">
        <v>20</v>
      </c>
      <c r="R193" t="str" cm="1">
        <f t="array" ref="R193">_xlfn.IFS(Q193="Y","Yes", Q193="Yes","Yes", Q193="N","No", Q193="No","No", Q193=1,"N/A", Q193=0,"N/A", TRUE,"")</f>
        <v>Yes</v>
      </c>
      <c r="S193">
        <f t="shared" si="22"/>
        <v>12</v>
      </c>
      <c r="T193">
        <f t="shared" si="23"/>
        <v>1</v>
      </c>
      <c r="U193" t="str" cm="1">
        <f t="array" ref="U193">_xlfn.IFS(D193&lt;40,"Young Adult",AND(D193&gt;=40,D193&lt;65),"Middle Aged", D193&gt;=65,"Elderly")</f>
        <v>Young Adult</v>
      </c>
    </row>
    <row r="194" spans="1:21" x14ac:dyDescent="0.2">
      <c r="A194">
        <v>1033</v>
      </c>
      <c r="B194">
        <f t="shared" si="16"/>
        <v>193</v>
      </c>
      <c r="C194" t="s">
        <v>590</v>
      </c>
      <c r="D194">
        <v>56</v>
      </c>
      <c r="E194" t="s">
        <v>2937</v>
      </c>
      <c r="F194" t="str">
        <f t="shared" si="17"/>
        <v>N/A</v>
      </c>
      <c r="G194" s="1">
        <v>45968</v>
      </c>
      <c r="H194" s="1">
        <v>45632</v>
      </c>
      <c r="I194" t="s">
        <v>591</v>
      </c>
      <c r="J194" t="str">
        <f t="shared" si="18"/>
        <v>Matthew Garrett</v>
      </c>
      <c r="K194" t="s">
        <v>18</v>
      </c>
      <c r="L194" t="str">
        <f t="shared" si="19"/>
        <v>Orthopedics</v>
      </c>
      <c r="M194" t="s">
        <v>592</v>
      </c>
      <c r="N194" t="str">
        <f t="shared" si="20"/>
        <v>EUR</v>
      </c>
      <c r="O194">
        <f t="shared" si="21"/>
        <v>130.72</v>
      </c>
      <c r="P194" cm="1">
        <f t="array" ref="P194">_xlfn.IFS(N194="USD",O194*1,N194="GBP",O194*1.27,N194="EUR",O194*1.09,N194="INR",O194*0.012,N194="N/A","N/A")</f>
        <v>142.48480000000001</v>
      </c>
      <c r="Q194" t="s">
        <v>36</v>
      </c>
      <c r="R194" t="str" cm="1">
        <f t="array" ref="R194">_xlfn.IFS(Q194="Y","Yes", Q194="Yes","Yes", Q194="N","No", Q194="No","No", Q194=1,"N/A", Q194=0,"N/A", TRUE,"")</f>
        <v>Yes</v>
      </c>
      <c r="S194">
        <f t="shared" si="22"/>
        <v>11</v>
      </c>
      <c r="T194">
        <f t="shared" si="23"/>
        <v>1</v>
      </c>
      <c r="U194" t="str" cm="1">
        <f t="array" ref="U194">_xlfn.IFS(D194&lt;40,"Young Adult",AND(D194&gt;=40,D194&lt;65),"Middle Aged", D194&gt;=65,"Elderly")</f>
        <v>Middle Aged</v>
      </c>
    </row>
    <row r="195" spans="1:21" x14ac:dyDescent="0.2">
      <c r="A195">
        <v>1067</v>
      </c>
      <c r="B195">
        <f t="shared" ref="B195:B258" si="24">ROW()-1</f>
        <v>194</v>
      </c>
      <c r="C195" t="s">
        <v>593</v>
      </c>
      <c r="D195">
        <v>85</v>
      </c>
      <c r="E195" t="s">
        <v>71</v>
      </c>
      <c r="F195" t="str">
        <f t="shared" ref="F195:F258" si="25">IF(E195="male","Male",IF(E195="female","Female",IF(E195="F","Female",IF(E195="M","Male",IF(E195="N/A","N/A")))))</f>
        <v>Male</v>
      </c>
      <c r="G195" s="1">
        <v>45955</v>
      </c>
      <c r="H195" s="1">
        <v>45709</v>
      </c>
      <c r="I195" t="s">
        <v>594</v>
      </c>
      <c r="J195" t="str">
        <f t="shared" ref="J195:J258" si="26">PROPER(I195)</f>
        <v>Jason Gallagher</v>
      </c>
      <c r="K195" t="s">
        <v>18</v>
      </c>
      <c r="L195" t="str">
        <f t="shared" ref="L195:L258" si="27">PROPER(K195)</f>
        <v>Orthopedics</v>
      </c>
      <c r="M195" t="s">
        <v>595</v>
      </c>
      <c r="N195" t="str">
        <f t="shared" ref="N195:N258" si="28">IF(LEFT(M195,1)="$","USD",IF(LEFT(M195,2)="Rs","INR",IF(LEFT(M195,2)="¬£","GBP",IF(LEFT(M195,3)="‚Ç¨","EUR","N/A"))))</f>
        <v>INR</v>
      </c>
      <c r="O195">
        <f t="shared" ref="O195:O258" si="29">IFERROR(VALUE(SUBSTITUTE(SUBSTITUTE(SUBSTITUTE(SUBSTITUTE(M195,"$",""), "Rs",""),"¬£",""),"‚Ç¨","")), "")</f>
        <v>85.63</v>
      </c>
      <c r="P195" cm="1">
        <f t="array" ref="P195">_xlfn.IFS(N195="USD",O195*1,N195="GBP",O195*1.27,N195="EUR",O195*1.09,N195="INR",O195*0.012,N195="N/A","N/A")</f>
        <v>1.02756</v>
      </c>
      <c r="Q195" t="s">
        <v>20</v>
      </c>
      <c r="R195" t="str" cm="1">
        <f t="array" ref="R195">_xlfn.IFS(Q195="Y","Yes", Q195="Yes","Yes", Q195="N","No", Q195="No","No", Q195=1,"N/A", Q195=0,"N/A", TRUE,"")</f>
        <v>Yes</v>
      </c>
      <c r="S195">
        <f t="shared" ref="S195:S258" si="30">COUNTIF($A$2:$A$1001, A195)</f>
        <v>9</v>
      </c>
      <c r="T195">
        <f t="shared" ref="T195:T258" si="31">COUNTIFS($A$2:$A$1001, A195, $C$2:$C$1001, C195)</f>
        <v>1</v>
      </c>
      <c r="U195" t="str" cm="1">
        <f t="array" ref="U195">_xlfn.IFS(D195&lt;40,"Young Adult",AND(D195&gt;=40,D195&lt;65),"Middle Aged", D195&gt;=65,"Elderly")</f>
        <v>Elderly</v>
      </c>
    </row>
    <row r="196" spans="1:21" x14ac:dyDescent="0.2">
      <c r="A196">
        <v>1045</v>
      </c>
      <c r="B196">
        <f t="shared" si="24"/>
        <v>195</v>
      </c>
      <c r="C196" t="s">
        <v>596</v>
      </c>
      <c r="D196">
        <v>24</v>
      </c>
      <c r="E196" t="s">
        <v>38</v>
      </c>
      <c r="F196" t="str">
        <f t="shared" si="25"/>
        <v>Female</v>
      </c>
      <c r="G196" s="1">
        <v>45807</v>
      </c>
      <c r="H196" s="1">
        <v>45736</v>
      </c>
      <c r="I196" t="s">
        <v>597</v>
      </c>
      <c r="J196" t="str">
        <f t="shared" si="26"/>
        <v>Alice Lucas</v>
      </c>
      <c r="K196" t="s">
        <v>24</v>
      </c>
      <c r="L196" t="str">
        <f t="shared" si="27"/>
        <v>Neurology</v>
      </c>
      <c r="M196" t="s">
        <v>598</v>
      </c>
      <c r="N196" t="str">
        <f t="shared" si="28"/>
        <v>EUR</v>
      </c>
      <c r="O196">
        <f t="shared" si="29"/>
        <v>394.9</v>
      </c>
      <c r="P196" cm="1">
        <f t="array" ref="P196">_xlfn.IFS(N196="USD",O196*1,N196="GBP",O196*1.27,N196="EUR",O196*1.09,N196="INR",O196*0.012,N196="N/A","N/A")</f>
        <v>430.44100000000003</v>
      </c>
      <c r="Q196" t="s">
        <v>36</v>
      </c>
      <c r="R196" t="str" cm="1">
        <f t="array" ref="R196">_xlfn.IFS(Q196="Y","Yes", Q196="Yes","Yes", Q196="N","No", Q196="No","No", Q196=1,"N/A", Q196=0,"N/A", TRUE,"")</f>
        <v>Yes</v>
      </c>
      <c r="S196">
        <f t="shared" si="30"/>
        <v>8</v>
      </c>
      <c r="T196">
        <f t="shared" si="31"/>
        <v>1</v>
      </c>
      <c r="U196" t="str" cm="1">
        <f t="array" ref="U196">_xlfn.IFS(D196&lt;40,"Young Adult",AND(D196&gt;=40,D196&lt;65),"Middle Aged", D196&gt;=65,"Elderly")</f>
        <v>Young Adult</v>
      </c>
    </row>
    <row r="197" spans="1:21" x14ac:dyDescent="0.2">
      <c r="A197">
        <v>1087</v>
      </c>
      <c r="B197">
        <f t="shared" si="24"/>
        <v>196</v>
      </c>
      <c r="C197" t="s">
        <v>599</v>
      </c>
      <c r="D197">
        <v>31</v>
      </c>
      <c r="E197" t="s">
        <v>2937</v>
      </c>
      <c r="F197" t="str">
        <f t="shared" si="25"/>
        <v>N/A</v>
      </c>
      <c r="G197" s="1">
        <v>45979</v>
      </c>
      <c r="H197" s="1">
        <v>45749</v>
      </c>
      <c r="I197" t="s">
        <v>600</v>
      </c>
      <c r="J197" t="str">
        <f t="shared" si="26"/>
        <v>Kristin Reeves</v>
      </c>
      <c r="K197" t="s">
        <v>28</v>
      </c>
      <c r="L197" t="str">
        <f t="shared" si="27"/>
        <v>General</v>
      </c>
      <c r="N197" t="str">
        <f t="shared" si="28"/>
        <v>N/A</v>
      </c>
      <c r="O197" t="str">
        <f t="shared" si="29"/>
        <v/>
      </c>
      <c r="P197" t="str" cm="1">
        <f t="array" ref="P197">_xlfn.IFS(N197="USD",O197*1,N197="GBP",O197*1.27,N197="EUR",O197*1.09,N197="INR",O197*0.012,N197="N/A","N/A")</f>
        <v>N/A</v>
      </c>
      <c r="Q197" t="s">
        <v>20</v>
      </c>
      <c r="R197" t="str" cm="1">
        <f t="array" ref="R197">_xlfn.IFS(Q197="Y","Yes", Q197="Yes","Yes", Q197="N","No", Q197="No","No", Q197=1,"N/A", Q197=0,"N/A", TRUE,"")</f>
        <v>Yes</v>
      </c>
      <c r="S197">
        <f t="shared" si="30"/>
        <v>8</v>
      </c>
      <c r="T197">
        <f t="shared" si="31"/>
        <v>1</v>
      </c>
      <c r="U197" t="str" cm="1">
        <f t="array" ref="U197">_xlfn.IFS(D197&lt;40,"Young Adult",AND(D197&gt;=40,D197&lt;65),"Middle Aged", D197&gt;=65,"Elderly")</f>
        <v>Young Adult</v>
      </c>
    </row>
    <row r="198" spans="1:21" x14ac:dyDescent="0.2">
      <c r="A198">
        <v>1056</v>
      </c>
      <c r="B198">
        <f t="shared" si="24"/>
        <v>197</v>
      </c>
      <c r="C198" t="s">
        <v>601</v>
      </c>
      <c r="D198">
        <v>24</v>
      </c>
      <c r="E198" t="s">
        <v>16</v>
      </c>
      <c r="F198" t="str">
        <f t="shared" si="25"/>
        <v>Female</v>
      </c>
      <c r="G198" s="1">
        <v>45769</v>
      </c>
      <c r="H198" s="1">
        <v>45740</v>
      </c>
      <c r="I198" t="s">
        <v>602</v>
      </c>
      <c r="J198" t="str">
        <f t="shared" si="26"/>
        <v>John Lyons</v>
      </c>
      <c r="K198" t="s">
        <v>28</v>
      </c>
      <c r="L198" t="str">
        <f t="shared" si="27"/>
        <v>General</v>
      </c>
      <c r="N198" t="str">
        <f t="shared" si="28"/>
        <v>N/A</v>
      </c>
      <c r="O198" t="str">
        <f t="shared" si="29"/>
        <v/>
      </c>
      <c r="P198" t="str" cm="1">
        <f t="array" ref="P198">_xlfn.IFS(N198="USD",O198*1,N198="GBP",O198*1.27,N198="EUR",O198*1.09,N198="INR",O198*0.012,N198="N/A","N/A")</f>
        <v>N/A</v>
      </c>
      <c r="Q198" t="s">
        <v>36</v>
      </c>
      <c r="R198" t="str" cm="1">
        <f t="array" ref="R198">_xlfn.IFS(Q198="Y","Yes", Q198="Yes","Yes", Q198="N","No", Q198="No","No", Q198=1,"N/A", Q198=0,"N/A", TRUE,"")</f>
        <v>Yes</v>
      </c>
      <c r="S198">
        <f t="shared" si="30"/>
        <v>13</v>
      </c>
      <c r="T198">
        <f t="shared" si="31"/>
        <v>1</v>
      </c>
      <c r="U198" t="str" cm="1">
        <f t="array" ref="U198">_xlfn.IFS(D198&lt;40,"Young Adult",AND(D198&gt;=40,D198&lt;65),"Middle Aged", D198&gt;=65,"Elderly")</f>
        <v>Young Adult</v>
      </c>
    </row>
    <row r="199" spans="1:21" x14ac:dyDescent="0.2">
      <c r="A199">
        <v>1053</v>
      </c>
      <c r="B199">
        <f t="shared" si="24"/>
        <v>198</v>
      </c>
      <c r="C199" t="s">
        <v>603</v>
      </c>
      <c r="D199">
        <v>81</v>
      </c>
      <c r="E199" t="s">
        <v>38</v>
      </c>
      <c r="F199" t="str">
        <f t="shared" si="25"/>
        <v>Female</v>
      </c>
      <c r="G199" s="1">
        <v>45760</v>
      </c>
      <c r="H199" s="1">
        <v>45629</v>
      </c>
      <c r="I199" t="s">
        <v>604</v>
      </c>
      <c r="J199" t="str">
        <f t="shared" si="26"/>
        <v>Philip Davis</v>
      </c>
      <c r="K199" t="s">
        <v>13</v>
      </c>
      <c r="L199" t="str">
        <f t="shared" si="27"/>
        <v>Cardiology</v>
      </c>
      <c r="M199" t="s">
        <v>605</v>
      </c>
      <c r="N199" t="str">
        <f t="shared" si="28"/>
        <v>GBP</v>
      </c>
      <c r="O199">
        <f t="shared" si="29"/>
        <v>499.67</v>
      </c>
      <c r="P199" cm="1">
        <f t="array" ref="P199">_xlfn.IFS(N199="USD",O199*1,N199="GBP",O199*1.27,N199="EUR",O199*1.09,N199="INR",O199*0.012,N199="N/A","N/A")</f>
        <v>634.58090000000004</v>
      </c>
      <c r="Q199" t="s">
        <v>20</v>
      </c>
      <c r="R199" t="str" cm="1">
        <f t="array" ref="R199">_xlfn.IFS(Q199="Y","Yes", Q199="Yes","Yes", Q199="N","No", Q199="No","No", Q199=1,"N/A", Q199=0,"N/A", TRUE,"")</f>
        <v>Yes</v>
      </c>
      <c r="S199">
        <f t="shared" si="30"/>
        <v>14</v>
      </c>
      <c r="T199">
        <f t="shared" si="31"/>
        <v>1</v>
      </c>
      <c r="U199" t="str" cm="1">
        <f t="array" ref="U199">_xlfn.IFS(D199&lt;40,"Young Adult",AND(D199&gt;=40,D199&lt;65),"Middle Aged", D199&gt;=65,"Elderly")</f>
        <v>Elderly</v>
      </c>
    </row>
    <row r="200" spans="1:21" x14ac:dyDescent="0.2">
      <c r="A200">
        <v>1059</v>
      </c>
      <c r="B200">
        <f t="shared" si="24"/>
        <v>199</v>
      </c>
      <c r="C200" t="s">
        <v>606</v>
      </c>
      <c r="D200">
        <v>79</v>
      </c>
      <c r="E200" t="s">
        <v>51</v>
      </c>
      <c r="F200" t="str">
        <f t="shared" si="25"/>
        <v>Male</v>
      </c>
      <c r="G200" s="1">
        <v>45893</v>
      </c>
      <c r="H200" s="1">
        <v>45890</v>
      </c>
      <c r="I200" t="s">
        <v>607</v>
      </c>
      <c r="J200" t="str">
        <f t="shared" si="26"/>
        <v>Charles Mcmillan</v>
      </c>
      <c r="K200" t="s">
        <v>18</v>
      </c>
      <c r="L200" t="str">
        <f t="shared" si="27"/>
        <v>Orthopedics</v>
      </c>
      <c r="M200" t="s">
        <v>608</v>
      </c>
      <c r="N200" t="str">
        <f t="shared" si="28"/>
        <v>EUR</v>
      </c>
      <c r="O200">
        <f t="shared" si="29"/>
        <v>66.64</v>
      </c>
      <c r="P200" cm="1">
        <f t="array" ref="P200">_xlfn.IFS(N200="USD",O200*1,N200="GBP",O200*1.27,N200="EUR",O200*1.09,N200="INR",O200*0.012,N200="N/A","N/A")</f>
        <v>72.637600000000006</v>
      </c>
      <c r="Q200" t="s">
        <v>36</v>
      </c>
      <c r="R200" t="str" cm="1">
        <f t="array" ref="R200">_xlfn.IFS(Q200="Y","Yes", Q200="Yes","Yes", Q200="N","No", Q200="No","No", Q200=1,"N/A", Q200=0,"N/A", TRUE,"")</f>
        <v>Yes</v>
      </c>
      <c r="S200">
        <f t="shared" si="30"/>
        <v>13</v>
      </c>
      <c r="T200">
        <f t="shared" si="31"/>
        <v>1</v>
      </c>
      <c r="U200" t="str" cm="1">
        <f t="array" ref="U200">_xlfn.IFS(D200&lt;40,"Young Adult",AND(D200&gt;=40,D200&lt;65),"Middle Aged", D200&gt;=65,"Elderly")</f>
        <v>Elderly</v>
      </c>
    </row>
    <row r="201" spans="1:21" x14ac:dyDescent="0.2">
      <c r="A201">
        <v>1050</v>
      </c>
      <c r="B201">
        <f t="shared" si="24"/>
        <v>200</v>
      </c>
      <c r="C201" t="s">
        <v>609</v>
      </c>
      <c r="D201">
        <v>32</v>
      </c>
      <c r="E201" t="s">
        <v>22</v>
      </c>
      <c r="F201" t="str">
        <f t="shared" si="25"/>
        <v>Male</v>
      </c>
      <c r="G201" s="1">
        <v>45751</v>
      </c>
      <c r="H201" s="1">
        <v>45428</v>
      </c>
      <c r="I201" t="s">
        <v>610</v>
      </c>
      <c r="J201" t="str">
        <f t="shared" si="26"/>
        <v>Wesley Johnson</v>
      </c>
      <c r="K201" t="s">
        <v>18</v>
      </c>
      <c r="L201" t="str">
        <f t="shared" si="27"/>
        <v>Orthopedics</v>
      </c>
      <c r="M201" t="s">
        <v>611</v>
      </c>
      <c r="N201" t="str">
        <f t="shared" si="28"/>
        <v>INR</v>
      </c>
      <c r="O201">
        <f t="shared" si="29"/>
        <v>361.31</v>
      </c>
      <c r="P201" cm="1">
        <f t="array" ref="P201">_xlfn.IFS(N201="USD",O201*1,N201="GBP",O201*1.27,N201="EUR",O201*1.09,N201="INR",O201*0.012,N201="N/A","N/A")</f>
        <v>4.3357200000000002</v>
      </c>
      <c r="Q201" t="s">
        <v>20</v>
      </c>
      <c r="R201" t="str" cm="1">
        <f t="array" ref="R201">_xlfn.IFS(Q201="Y","Yes", Q201="Yes","Yes", Q201="N","No", Q201="No","No", Q201=1,"N/A", Q201=0,"N/A", TRUE,"")</f>
        <v>Yes</v>
      </c>
      <c r="S201">
        <f t="shared" si="30"/>
        <v>12</v>
      </c>
      <c r="T201">
        <f t="shared" si="31"/>
        <v>1</v>
      </c>
      <c r="U201" t="str" cm="1">
        <f t="array" ref="U201">_xlfn.IFS(D201&lt;40,"Young Adult",AND(D201&gt;=40,D201&lt;65),"Middle Aged", D201&gt;=65,"Elderly")</f>
        <v>Young Adult</v>
      </c>
    </row>
    <row r="202" spans="1:21" x14ac:dyDescent="0.2">
      <c r="A202">
        <v>1044</v>
      </c>
      <c r="B202">
        <f t="shared" si="24"/>
        <v>201</v>
      </c>
      <c r="C202" t="s">
        <v>612</v>
      </c>
      <c r="D202">
        <v>21</v>
      </c>
      <c r="E202" t="s">
        <v>38</v>
      </c>
      <c r="F202" t="str">
        <f t="shared" si="25"/>
        <v>Female</v>
      </c>
      <c r="G202" s="1">
        <v>45830</v>
      </c>
      <c r="H202" s="1">
        <v>45452</v>
      </c>
      <c r="I202" t="s">
        <v>613</v>
      </c>
      <c r="J202" t="str">
        <f t="shared" si="26"/>
        <v>Shannon Mejia</v>
      </c>
      <c r="K202" t="s">
        <v>18</v>
      </c>
      <c r="L202" t="str">
        <f t="shared" si="27"/>
        <v>Orthopedics</v>
      </c>
      <c r="M202" t="s">
        <v>614</v>
      </c>
      <c r="N202" t="str">
        <f t="shared" si="28"/>
        <v>GBP</v>
      </c>
      <c r="O202">
        <f t="shared" si="29"/>
        <v>205.31</v>
      </c>
      <c r="P202" cm="1">
        <f t="array" ref="P202">_xlfn.IFS(N202="USD",O202*1,N202="GBP",O202*1.27,N202="EUR",O202*1.09,N202="INR",O202*0.012,N202="N/A","N/A")</f>
        <v>260.74369999999999</v>
      </c>
      <c r="Q202" t="s">
        <v>60</v>
      </c>
      <c r="R202" t="str" cm="1">
        <f t="array" ref="R202">_xlfn.IFS(Q202="Y","Yes", Q202="Yes","Yes", Q202="N","No", Q202="No","No", Q202=1,"N/A", Q202=0,"N/A", TRUE,"")</f>
        <v>No</v>
      </c>
      <c r="S202">
        <f t="shared" si="30"/>
        <v>12</v>
      </c>
      <c r="T202">
        <f t="shared" si="31"/>
        <v>1</v>
      </c>
      <c r="U202" t="str" cm="1">
        <f t="array" ref="U202">_xlfn.IFS(D202&lt;40,"Young Adult",AND(D202&gt;=40,D202&lt;65),"Middle Aged", D202&gt;=65,"Elderly")</f>
        <v>Young Adult</v>
      </c>
    </row>
    <row r="203" spans="1:21" x14ac:dyDescent="0.2">
      <c r="A203">
        <v>1089</v>
      </c>
      <c r="B203">
        <f t="shared" si="24"/>
        <v>202</v>
      </c>
      <c r="C203" t="s">
        <v>615</v>
      </c>
      <c r="D203">
        <v>48</v>
      </c>
      <c r="E203" t="s">
        <v>2937</v>
      </c>
      <c r="F203" t="str">
        <f t="shared" si="25"/>
        <v>N/A</v>
      </c>
      <c r="G203" s="1">
        <v>45742</v>
      </c>
      <c r="H203" s="1">
        <v>45629</v>
      </c>
      <c r="I203" t="s">
        <v>616</v>
      </c>
      <c r="J203" t="str">
        <f t="shared" si="26"/>
        <v>Jeffrey Ashley Jr.</v>
      </c>
      <c r="K203" t="s">
        <v>13</v>
      </c>
      <c r="L203" t="str">
        <f t="shared" si="27"/>
        <v>Cardiology</v>
      </c>
      <c r="M203" t="s">
        <v>617</v>
      </c>
      <c r="N203" t="str">
        <f t="shared" si="28"/>
        <v>INR</v>
      </c>
      <c r="O203">
        <f t="shared" si="29"/>
        <v>193.18</v>
      </c>
      <c r="P203" cm="1">
        <f t="array" ref="P203">_xlfn.IFS(N203="USD",O203*1,N203="GBP",O203*1.27,N203="EUR",O203*1.09,N203="INR",O203*0.012,N203="N/A","N/A")</f>
        <v>2.3181600000000002</v>
      </c>
      <c r="Q203">
        <v>0</v>
      </c>
      <c r="R203" t="str" cm="1">
        <f t="array" ref="R203">_xlfn.IFS(Q203="Y","Yes", Q203="Yes","Yes", Q203="N","No", Q203="No","No", Q203=1,"N/A", Q203=0,"N/A", TRUE,"")</f>
        <v>N/A</v>
      </c>
      <c r="S203">
        <f t="shared" si="30"/>
        <v>16</v>
      </c>
      <c r="T203">
        <f t="shared" si="31"/>
        <v>1</v>
      </c>
      <c r="U203" t="str" cm="1">
        <f t="array" ref="U203">_xlfn.IFS(D203&lt;40,"Young Adult",AND(D203&gt;=40,D203&lt;65),"Middle Aged", D203&gt;=65,"Elderly")</f>
        <v>Middle Aged</v>
      </c>
    </row>
    <row r="204" spans="1:21" x14ac:dyDescent="0.2">
      <c r="A204">
        <v>1074</v>
      </c>
      <c r="B204">
        <f t="shared" si="24"/>
        <v>203</v>
      </c>
      <c r="C204" t="s">
        <v>618</v>
      </c>
      <c r="D204">
        <v>23</v>
      </c>
      <c r="E204" t="s">
        <v>71</v>
      </c>
      <c r="F204" t="str">
        <f t="shared" si="25"/>
        <v>Male</v>
      </c>
      <c r="G204" s="1">
        <v>45984</v>
      </c>
      <c r="H204" s="1">
        <v>45910</v>
      </c>
      <c r="I204" t="s">
        <v>619</v>
      </c>
      <c r="J204" t="str">
        <f t="shared" si="26"/>
        <v>Kathy Thompson</v>
      </c>
      <c r="K204" t="s">
        <v>18</v>
      </c>
      <c r="L204" t="str">
        <f t="shared" si="27"/>
        <v>Orthopedics</v>
      </c>
      <c r="M204" t="s">
        <v>620</v>
      </c>
      <c r="N204" t="str">
        <f t="shared" si="28"/>
        <v>GBP</v>
      </c>
      <c r="O204">
        <f t="shared" si="29"/>
        <v>321.33999999999997</v>
      </c>
      <c r="P204" cm="1">
        <f t="array" ref="P204">_xlfn.IFS(N204="USD",O204*1,N204="GBP",O204*1.27,N204="EUR",O204*1.09,N204="INR",O204*0.012,N204="N/A","N/A")</f>
        <v>408.10179999999997</v>
      </c>
      <c r="Q204" t="s">
        <v>60</v>
      </c>
      <c r="R204" t="str" cm="1">
        <f t="array" ref="R204">_xlfn.IFS(Q204="Y","Yes", Q204="Yes","Yes", Q204="N","No", Q204="No","No", Q204=1,"N/A", Q204=0,"N/A", TRUE,"")</f>
        <v>No</v>
      </c>
      <c r="S204">
        <f t="shared" si="30"/>
        <v>17</v>
      </c>
      <c r="T204">
        <f t="shared" si="31"/>
        <v>1</v>
      </c>
      <c r="U204" t="str" cm="1">
        <f t="array" ref="U204">_xlfn.IFS(D204&lt;40,"Young Adult",AND(D204&gt;=40,D204&lt;65),"Middle Aged", D204&gt;=65,"Elderly")</f>
        <v>Young Adult</v>
      </c>
    </row>
    <row r="205" spans="1:21" x14ac:dyDescent="0.2">
      <c r="A205">
        <v>1026</v>
      </c>
      <c r="B205">
        <f t="shared" si="24"/>
        <v>204</v>
      </c>
      <c r="C205" t="s">
        <v>621</v>
      </c>
      <c r="D205">
        <v>87</v>
      </c>
      <c r="E205" t="s">
        <v>2937</v>
      </c>
      <c r="F205" t="str">
        <f t="shared" si="25"/>
        <v>N/A</v>
      </c>
      <c r="G205" s="1">
        <v>46059</v>
      </c>
      <c r="H205" s="1">
        <v>45515</v>
      </c>
      <c r="I205" t="s">
        <v>622</v>
      </c>
      <c r="J205" t="str">
        <f t="shared" si="26"/>
        <v>John Miller</v>
      </c>
      <c r="K205" t="s">
        <v>24</v>
      </c>
      <c r="L205" t="str">
        <f t="shared" si="27"/>
        <v>Neurology</v>
      </c>
      <c r="M205" t="s">
        <v>623</v>
      </c>
      <c r="N205" t="str">
        <f t="shared" si="28"/>
        <v>USD</v>
      </c>
      <c r="O205">
        <f t="shared" si="29"/>
        <v>446.44</v>
      </c>
      <c r="P205" cm="1">
        <f t="array" ref="P205">_xlfn.IFS(N205="USD",O205*1,N205="GBP",O205*1.27,N205="EUR",O205*1.09,N205="INR",O205*0.012,N205="N/A","N/A")</f>
        <v>446.44</v>
      </c>
      <c r="Q205" t="s">
        <v>36</v>
      </c>
      <c r="R205" t="str" cm="1">
        <f t="array" ref="R205">_xlfn.IFS(Q205="Y","Yes", Q205="Yes","Yes", Q205="N","No", Q205="No","No", Q205=1,"N/A", Q205=0,"N/A", TRUE,"")</f>
        <v>Yes</v>
      </c>
      <c r="S205">
        <f t="shared" si="30"/>
        <v>10</v>
      </c>
      <c r="T205">
        <f t="shared" si="31"/>
        <v>1</v>
      </c>
      <c r="U205" t="str" cm="1">
        <f t="array" ref="U205">_xlfn.IFS(D205&lt;40,"Young Adult",AND(D205&gt;=40,D205&lt;65),"Middle Aged", D205&gt;=65,"Elderly")</f>
        <v>Elderly</v>
      </c>
    </row>
    <row r="206" spans="1:21" x14ac:dyDescent="0.2">
      <c r="A206">
        <v>1059</v>
      </c>
      <c r="B206">
        <f t="shared" si="24"/>
        <v>205</v>
      </c>
      <c r="C206" t="s">
        <v>624</v>
      </c>
      <c r="D206">
        <v>27</v>
      </c>
      <c r="E206" t="s">
        <v>2937</v>
      </c>
      <c r="F206" t="str">
        <f t="shared" si="25"/>
        <v>N/A</v>
      </c>
      <c r="G206" s="1">
        <v>45892</v>
      </c>
      <c r="H206" s="1">
        <v>45608</v>
      </c>
      <c r="I206" t="s">
        <v>625</v>
      </c>
      <c r="J206" t="str">
        <f t="shared" si="26"/>
        <v>Gary Bowman</v>
      </c>
      <c r="K206" t="s">
        <v>28</v>
      </c>
      <c r="L206" t="str">
        <f t="shared" si="27"/>
        <v>General</v>
      </c>
      <c r="M206" t="s">
        <v>626</v>
      </c>
      <c r="N206" t="str">
        <f t="shared" si="28"/>
        <v>USD</v>
      </c>
      <c r="O206">
        <f t="shared" si="29"/>
        <v>165.8</v>
      </c>
      <c r="P206" cm="1">
        <f t="array" ref="P206">_xlfn.IFS(N206="USD",O206*1,N206="GBP",O206*1.27,N206="EUR",O206*1.09,N206="INR",O206*0.012,N206="N/A","N/A")</f>
        <v>165.8</v>
      </c>
      <c r="Q206" t="s">
        <v>20</v>
      </c>
      <c r="R206" t="str" cm="1">
        <f t="array" ref="R206">_xlfn.IFS(Q206="Y","Yes", Q206="Yes","Yes", Q206="N","No", Q206="No","No", Q206=1,"N/A", Q206=0,"N/A", TRUE,"")</f>
        <v>Yes</v>
      </c>
      <c r="S206">
        <f t="shared" si="30"/>
        <v>13</v>
      </c>
      <c r="T206">
        <f t="shared" si="31"/>
        <v>1</v>
      </c>
      <c r="U206" t="str" cm="1">
        <f t="array" ref="U206">_xlfn.IFS(D206&lt;40,"Young Adult",AND(D206&gt;=40,D206&lt;65),"Middle Aged", D206&gt;=65,"Elderly")</f>
        <v>Young Adult</v>
      </c>
    </row>
    <row r="207" spans="1:21" x14ac:dyDescent="0.2">
      <c r="A207">
        <v>1065</v>
      </c>
      <c r="B207">
        <f t="shared" si="24"/>
        <v>206</v>
      </c>
      <c r="C207" t="s">
        <v>627</v>
      </c>
      <c r="D207">
        <v>71</v>
      </c>
      <c r="E207" t="s">
        <v>38</v>
      </c>
      <c r="F207" t="str">
        <f t="shared" si="25"/>
        <v>Female</v>
      </c>
      <c r="G207" s="1">
        <v>46088</v>
      </c>
      <c r="H207" s="1">
        <v>45746</v>
      </c>
      <c r="I207" t="s">
        <v>628</v>
      </c>
      <c r="J207" t="str">
        <f t="shared" si="26"/>
        <v>Katherine Espinoza</v>
      </c>
      <c r="K207" t="s">
        <v>13</v>
      </c>
      <c r="L207" t="str">
        <f t="shared" si="27"/>
        <v>Cardiology</v>
      </c>
      <c r="M207" t="s">
        <v>629</v>
      </c>
      <c r="N207" t="str">
        <f t="shared" si="28"/>
        <v>INR</v>
      </c>
      <c r="O207">
        <f t="shared" si="29"/>
        <v>493.59</v>
      </c>
      <c r="P207" cm="1">
        <f t="array" ref="P207">_xlfn.IFS(N207="USD",O207*1,N207="GBP",O207*1.27,N207="EUR",O207*1.09,N207="INR",O207*0.012,N207="N/A","N/A")</f>
        <v>5.9230799999999997</v>
      </c>
      <c r="Q207">
        <v>1</v>
      </c>
      <c r="R207" t="str" cm="1">
        <f t="array" ref="R207">_xlfn.IFS(Q207="Y","Yes", Q207="Yes","Yes", Q207="N","No", Q207="No","No", Q207=1,"N/A", Q207=0,"N/A", TRUE,"")</f>
        <v>N/A</v>
      </c>
      <c r="S207">
        <f t="shared" si="30"/>
        <v>9</v>
      </c>
      <c r="T207">
        <f t="shared" si="31"/>
        <v>1</v>
      </c>
      <c r="U207" t="str" cm="1">
        <f t="array" ref="U207">_xlfn.IFS(D207&lt;40,"Young Adult",AND(D207&gt;=40,D207&lt;65),"Middle Aged", D207&gt;=65,"Elderly")</f>
        <v>Elderly</v>
      </c>
    </row>
    <row r="208" spans="1:21" x14ac:dyDescent="0.2">
      <c r="A208">
        <v>1085</v>
      </c>
      <c r="B208">
        <f t="shared" si="24"/>
        <v>207</v>
      </c>
      <c r="C208" t="s">
        <v>630</v>
      </c>
      <c r="D208">
        <v>75</v>
      </c>
      <c r="E208" t="s">
        <v>51</v>
      </c>
      <c r="F208" t="str">
        <f t="shared" si="25"/>
        <v>Male</v>
      </c>
      <c r="G208" s="1">
        <v>45967</v>
      </c>
      <c r="H208" s="1">
        <v>45579</v>
      </c>
      <c r="I208" t="s">
        <v>631</v>
      </c>
      <c r="J208" t="str">
        <f t="shared" si="26"/>
        <v>Jacob Bender</v>
      </c>
      <c r="K208" t="s">
        <v>18</v>
      </c>
      <c r="L208" t="str">
        <f t="shared" si="27"/>
        <v>Orthopedics</v>
      </c>
      <c r="N208" t="str">
        <f t="shared" si="28"/>
        <v>N/A</v>
      </c>
      <c r="O208" t="str">
        <f t="shared" si="29"/>
        <v/>
      </c>
      <c r="P208" t="str" cm="1">
        <f t="array" ref="P208">_xlfn.IFS(N208="USD",O208*1,N208="GBP",O208*1.27,N208="EUR",O208*1.09,N208="INR",O208*0.012,N208="N/A","N/A")</f>
        <v>N/A</v>
      </c>
      <c r="Q208" t="s">
        <v>20</v>
      </c>
      <c r="R208" t="str" cm="1">
        <f t="array" ref="R208">_xlfn.IFS(Q208="Y","Yes", Q208="Yes","Yes", Q208="N","No", Q208="No","No", Q208=1,"N/A", Q208=0,"N/A", TRUE,"")</f>
        <v>Yes</v>
      </c>
      <c r="S208">
        <f t="shared" si="30"/>
        <v>12</v>
      </c>
      <c r="T208">
        <f t="shared" si="31"/>
        <v>1</v>
      </c>
      <c r="U208" t="str" cm="1">
        <f t="array" ref="U208">_xlfn.IFS(D208&lt;40,"Young Adult",AND(D208&gt;=40,D208&lt;65),"Middle Aged", D208&gt;=65,"Elderly")</f>
        <v>Elderly</v>
      </c>
    </row>
    <row r="209" spans="1:21" x14ac:dyDescent="0.2">
      <c r="A209">
        <v>1024</v>
      </c>
      <c r="B209">
        <f t="shared" si="24"/>
        <v>208</v>
      </c>
      <c r="C209" t="s">
        <v>632</v>
      </c>
      <c r="D209">
        <v>86</v>
      </c>
      <c r="E209" t="s">
        <v>2937</v>
      </c>
      <c r="F209" t="str">
        <f t="shared" si="25"/>
        <v>N/A</v>
      </c>
      <c r="G209" s="1">
        <v>46070</v>
      </c>
      <c r="H209" s="1">
        <v>46037</v>
      </c>
      <c r="I209" t="s">
        <v>633</v>
      </c>
      <c r="J209" t="str">
        <f t="shared" si="26"/>
        <v>Daniel Evans</v>
      </c>
      <c r="K209" t="s">
        <v>18</v>
      </c>
      <c r="L209" t="str">
        <f t="shared" si="27"/>
        <v>Orthopedics</v>
      </c>
      <c r="M209" t="s">
        <v>634</v>
      </c>
      <c r="N209" t="str">
        <f t="shared" si="28"/>
        <v>EUR</v>
      </c>
      <c r="O209">
        <f t="shared" si="29"/>
        <v>489.64</v>
      </c>
      <c r="P209" cm="1">
        <f t="array" ref="P209">_xlfn.IFS(N209="USD",O209*1,N209="GBP",O209*1.27,N209="EUR",O209*1.09,N209="INR",O209*0.012,N209="N/A","N/A")</f>
        <v>533.70760000000007</v>
      </c>
      <c r="Q209" t="s">
        <v>36</v>
      </c>
      <c r="R209" t="str" cm="1">
        <f t="array" ref="R209">_xlfn.IFS(Q209="Y","Yes", Q209="Yes","Yes", Q209="N","No", Q209="No","No", Q209=1,"N/A", Q209=0,"N/A", TRUE,"")</f>
        <v>Yes</v>
      </c>
      <c r="S209">
        <f t="shared" si="30"/>
        <v>12</v>
      </c>
      <c r="T209">
        <f t="shared" si="31"/>
        <v>1</v>
      </c>
      <c r="U209" t="str" cm="1">
        <f t="array" ref="U209">_xlfn.IFS(D209&lt;40,"Young Adult",AND(D209&gt;=40,D209&lt;65),"Middle Aged", D209&gt;=65,"Elderly")</f>
        <v>Elderly</v>
      </c>
    </row>
    <row r="210" spans="1:21" x14ac:dyDescent="0.2">
      <c r="A210">
        <v>1048</v>
      </c>
      <c r="B210">
        <f t="shared" si="24"/>
        <v>209</v>
      </c>
      <c r="C210" t="s">
        <v>635</v>
      </c>
      <c r="D210">
        <v>33</v>
      </c>
      <c r="E210" t="s">
        <v>2937</v>
      </c>
      <c r="F210" t="str">
        <f t="shared" si="25"/>
        <v>N/A</v>
      </c>
      <c r="G210" s="1">
        <v>45926</v>
      </c>
      <c r="H210" s="1">
        <v>45538</v>
      </c>
      <c r="I210" t="s">
        <v>636</v>
      </c>
      <c r="J210" t="str">
        <f t="shared" si="26"/>
        <v>Dale Herrera</v>
      </c>
      <c r="K210" t="s">
        <v>24</v>
      </c>
      <c r="L210" t="str">
        <f t="shared" si="27"/>
        <v>Neurology</v>
      </c>
      <c r="N210" t="str">
        <f t="shared" si="28"/>
        <v>N/A</v>
      </c>
      <c r="O210" t="str">
        <f t="shared" si="29"/>
        <v/>
      </c>
      <c r="P210" t="str" cm="1">
        <f t="array" ref="P210">_xlfn.IFS(N210="USD",O210*1,N210="GBP",O210*1.27,N210="EUR",O210*1.09,N210="INR",O210*0.012,N210="N/A","N/A")</f>
        <v>N/A</v>
      </c>
      <c r="Q210" t="s">
        <v>20</v>
      </c>
      <c r="R210" t="str" cm="1">
        <f t="array" ref="R210">_xlfn.IFS(Q210="Y","Yes", Q210="Yes","Yes", Q210="N","No", Q210="No","No", Q210=1,"N/A", Q210=0,"N/A", TRUE,"")</f>
        <v>Yes</v>
      </c>
      <c r="S210">
        <f t="shared" si="30"/>
        <v>8</v>
      </c>
      <c r="T210">
        <f t="shared" si="31"/>
        <v>1</v>
      </c>
      <c r="U210" t="str" cm="1">
        <f t="array" ref="U210">_xlfn.IFS(D210&lt;40,"Young Adult",AND(D210&gt;=40,D210&lt;65),"Middle Aged", D210&gt;=65,"Elderly")</f>
        <v>Young Adult</v>
      </c>
    </row>
    <row r="211" spans="1:21" x14ac:dyDescent="0.2">
      <c r="A211">
        <v>1069</v>
      </c>
      <c r="B211">
        <f t="shared" si="24"/>
        <v>210</v>
      </c>
      <c r="C211" t="s">
        <v>637</v>
      </c>
      <c r="D211">
        <v>73</v>
      </c>
      <c r="E211" t="s">
        <v>16</v>
      </c>
      <c r="F211" t="str">
        <f t="shared" si="25"/>
        <v>Female</v>
      </c>
      <c r="G211" s="1">
        <v>46030</v>
      </c>
      <c r="H211" s="1">
        <v>45517</v>
      </c>
      <c r="I211" t="s">
        <v>638</v>
      </c>
      <c r="J211" t="str">
        <f t="shared" si="26"/>
        <v>Michael Arroyo Jr.</v>
      </c>
      <c r="K211" t="s">
        <v>28</v>
      </c>
      <c r="L211" t="str">
        <f t="shared" si="27"/>
        <v>General</v>
      </c>
      <c r="M211" t="s">
        <v>639</v>
      </c>
      <c r="N211" t="str">
        <f t="shared" si="28"/>
        <v>USD</v>
      </c>
      <c r="O211">
        <f t="shared" si="29"/>
        <v>96.48</v>
      </c>
      <c r="P211" cm="1">
        <f t="array" ref="P211">_xlfn.IFS(N211="USD",O211*1,N211="GBP",O211*1.27,N211="EUR",O211*1.09,N211="INR",O211*0.012,N211="N/A","N/A")</f>
        <v>96.48</v>
      </c>
      <c r="Q211" t="s">
        <v>36</v>
      </c>
      <c r="R211" t="str" cm="1">
        <f t="array" ref="R211">_xlfn.IFS(Q211="Y","Yes", Q211="Yes","Yes", Q211="N","No", Q211="No","No", Q211=1,"N/A", Q211=0,"N/A", TRUE,"")</f>
        <v>Yes</v>
      </c>
      <c r="S211">
        <f t="shared" si="30"/>
        <v>10</v>
      </c>
      <c r="T211">
        <f t="shared" si="31"/>
        <v>1</v>
      </c>
      <c r="U211" t="str" cm="1">
        <f t="array" ref="U211">_xlfn.IFS(D211&lt;40,"Young Adult",AND(D211&gt;=40,D211&lt;65),"Middle Aged", D211&gt;=65,"Elderly")</f>
        <v>Elderly</v>
      </c>
    </row>
    <row r="212" spans="1:21" x14ac:dyDescent="0.2">
      <c r="A212">
        <v>1071</v>
      </c>
      <c r="B212">
        <f t="shared" si="24"/>
        <v>211</v>
      </c>
      <c r="C212" t="s">
        <v>640</v>
      </c>
      <c r="D212">
        <v>73</v>
      </c>
      <c r="E212" t="s">
        <v>2937</v>
      </c>
      <c r="F212" t="str">
        <f t="shared" si="25"/>
        <v>N/A</v>
      </c>
      <c r="G212" s="1">
        <v>45964</v>
      </c>
      <c r="H212" s="1">
        <v>45408</v>
      </c>
      <c r="I212" t="s">
        <v>641</v>
      </c>
      <c r="J212" t="str">
        <f t="shared" si="26"/>
        <v>Gregory West Dds</v>
      </c>
      <c r="K212" t="s">
        <v>18</v>
      </c>
      <c r="L212" t="str">
        <f t="shared" si="27"/>
        <v>Orthopedics</v>
      </c>
      <c r="M212" t="s">
        <v>642</v>
      </c>
      <c r="N212" t="str">
        <f t="shared" si="28"/>
        <v>EUR</v>
      </c>
      <c r="O212">
        <f t="shared" si="29"/>
        <v>422.79</v>
      </c>
      <c r="P212" cm="1">
        <f t="array" ref="P212">_xlfn.IFS(N212="USD",O212*1,N212="GBP",O212*1.27,N212="EUR",O212*1.09,N212="INR",O212*0.012,N212="N/A","N/A")</f>
        <v>460.84110000000004</v>
      </c>
      <c r="Q212" t="s">
        <v>20</v>
      </c>
      <c r="R212" t="str" cm="1">
        <f t="array" ref="R212">_xlfn.IFS(Q212="Y","Yes", Q212="Yes","Yes", Q212="N","No", Q212="No","No", Q212=1,"N/A", Q212=0,"N/A", TRUE,"")</f>
        <v>Yes</v>
      </c>
      <c r="S212">
        <f t="shared" si="30"/>
        <v>10</v>
      </c>
      <c r="T212">
        <f t="shared" si="31"/>
        <v>1</v>
      </c>
      <c r="U212" t="str" cm="1">
        <f t="array" ref="U212">_xlfn.IFS(D212&lt;40,"Young Adult",AND(D212&gt;=40,D212&lt;65),"Middle Aged", D212&gt;=65,"Elderly")</f>
        <v>Elderly</v>
      </c>
    </row>
    <row r="213" spans="1:21" x14ac:dyDescent="0.2">
      <c r="A213">
        <v>1076</v>
      </c>
      <c r="B213">
        <f t="shared" si="24"/>
        <v>212</v>
      </c>
      <c r="C213" t="s">
        <v>643</v>
      </c>
      <c r="D213">
        <v>21</v>
      </c>
      <c r="E213" t="s">
        <v>38</v>
      </c>
      <c r="F213" t="str">
        <f t="shared" si="25"/>
        <v>Female</v>
      </c>
      <c r="G213" s="1">
        <v>45949</v>
      </c>
      <c r="H213" s="1">
        <v>45871</v>
      </c>
      <c r="I213" t="s">
        <v>644</v>
      </c>
      <c r="J213" t="str">
        <f t="shared" si="26"/>
        <v>Morgan Ramos</v>
      </c>
      <c r="K213" t="s">
        <v>18</v>
      </c>
      <c r="L213" t="str">
        <f t="shared" si="27"/>
        <v>Orthopedics</v>
      </c>
      <c r="M213" t="s">
        <v>645</v>
      </c>
      <c r="N213" t="str">
        <f t="shared" si="28"/>
        <v>INR</v>
      </c>
      <c r="O213">
        <f t="shared" si="29"/>
        <v>330.43</v>
      </c>
      <c r="P213" cm="1">
        <f t="array" ref="P213">_xlfn.IFS(N213="USD",O213*1,N213="GBP",O213*1.27,N213="EUR",O213*1.09,N213="INR",O213*0.012,N213="N/A","N/A")</f>
        <v>3.96516</v>
      </c>
      <c r="Q213" t="s">
        <v>36</v>
      </c>
      <c r="R213" t="str" cm="1">
        <f t="array" ref="R213">_xlfn.IFS(Q213="Y","Yes", Q213="Yes","Yes", Q213="N","No", Q213="No","No", Q213=1,"N/A", Q213=0,"N/A", TRUE,"")</f>
        <v>Yes</v>
      </c>
      <c r="S213">
        <f t="shared" si="30"/>
        <v>6</v>
      </c>
      <c r="T213">
        <f t="shared" si="31"/>
        <v>1</v>
      </c>
      <c r="U213" t="str" cm="1">
        <f t="array" ref="U213">_xlfn.IFS(D213&lt;40,"Young Adult",AND(D213&gt;=40,D213&lt;65),"Middle Aged", D213&gt;=65,"Elderly")</f>
        <v>Young Adult</v>
      </c>
    </row>
    <row r="214" spans="1:21" x14ac:dyDescent="0.2">
      <c r="A214">
        <v>1057</v>
      </c>
      <c r="B214">
        <f t="shared" si="24"/>
        <v>213</v>
      </c>
      <c r="C214" t="s">
        <v>646</v>
      </c>
      <c r="D214">
        <v>28</v>
      </c>
      <c r="E214" t="s">
        <v>2937</v>
      </c>
      <c r="F214" t="str">
        <f t="shared" si="25"/>
        <v>N/A</v>
      </c>
      <c r="G214" s="1">
        <v>45816</v>
      </c>
      <c r="H214" s="1">
        <v>45814</v>
      </c>
      <c r="I214" t="s">
        <v>647</v>
      </c>
      <c r="J214" t="str">
        <f t="shared" si="26"/>
        <v>Allison Parker</v>
      </c>
      <c r="K214" t="s">
        <v>24</v>
      </c>
      <c r="L214" t="str">
        <f t="shared" si="27"/>
        <v>Neurology</v>
      </c>
      <c r="M214" t="s">
        <v>648</v>
      </c>
      <c r="N214" t="str">
        <f t="shared" si="28"/>
        <v>GBP</v>
      </c>
      <c r="O214">
        <f t="shared" si="29"/>
        <v>440.72</v>
      </c>
      <c r="P214" cm="1">
        <f t="array" ref="P214">_xlfn.IFS(N214="USD",O214*1,N214="GBP",O214*1.27,N214="EUR",O214*1.09,N214="INR",O214*0.012,N214="N/A","N/A")</f>
        <v>559.71440000000007</v>
      </c>
      <c r="Q214" t="s">
        <v>60</v>
      </c>
      <c r="R214" t="str" cm="1">
        <f t="array" ref="R214">_xlfn.IFS(Q214="Y","Yes", Q214="Yes","Yes", Q214="N","No", Q214="No","No", Q214=1,"N/A", Q214=0,"N/A", TRUE,"")</f>
        <v>No</v>
      </c>
      <c r="S214">
        <f t="shared" si="30"/>
        <v>7</v>
      </c>
      <c r="T214">
        <f t="shared" si="31"/>
        <v>1</v>
      </c>
      <c r="U214" t="str" cm="1">
        <f t="array" ref="U214">_xlfn.IFS(D214&lt;40,"Young Adult",AND(D214&gt;=40,D214&lt;65),"Middle Aged", D214&gt;=65,"Elderly")</f>
        <v>Young Adult</v>
      </c>
    </row>
    <row r="215" spans="1:21" x14ac:dyDescent="0.2">
      <c r="A215">
        <v>1029</v>
      </c>
      <c r="B215">
        <f t="shared" si="24"/>
        <v>214</v>
      </c>
      <c r="C215" t="s">
        <v>649</v>
      </c>
      <c r="D215">
        <v>49</v>
      </c>
      <c r="E215" t="s">
        <v>38</v>
      </c>
      <c r="F215" t="str">
        <f t="shared" si="25"/>
        <v>Female</v>
      </c>
      <c r="G215" s="1">
        <v>45792</v>
      </c>
      <c r="H215" s="1">
        <v>45756</v>
      </c>
      <c r="I215" t="s">
        <v>650</v>
      </c>
      <c r="J215" t="str">
        <f t="shared" si="26"/>
        <v>William Nichols</v>
      </c>
      <c r="K215" t="s">
        <v>24</v>
      </c>
      <c r="L215" t="str">
        <f t="shared" si="27"/>
        <v>Neurology</v>
      </c>
      <c r="M215" t="s">
        <v>651</v>
      </c>
      <c r="N215" t="str">
        <f t="shared" si="28"/>
        <v>EUR</v>
      </c>
      <c r="O215">
        <f t="shared" si="29"/>
        <v>287.02999999999997</v>
      </c>
      <c r="P215" cm="1">
        <f t="array" ref="P215">_xlfn.IFS(N215="USD",O215*1,N215="GBP",O215*1.27,N215="EUR",O215*1.09,N215="INR",O215*0.012,N215="N/A","N/A")</f>
        <v>312.86270000000002</v>
      </c>
      <c r="Q215" t="s">
        <v>36</v>
      </c>
      <c r="R215" t="str" cm="1">
        <f t="array" ref="R215">_xlfn.IFS(Q215="Y","Yes", Q215="Yes","Yes", Q215="N","No", Q215="No","No", Q215=1,"N/A", Q215=0,"N/A", TRUE,"")</f>
        <v>Yes</v>
      </c>
      <c r="S215">
        <f t="shared" si="30"/>
        <v>8</v>
      </c>
      <c r="T215">
        <f t="shared" si="31"/>
        <v>1</v>
      </c>
      <c r="U215" t="str" cm="1">
        <f t="array" ref="U215">_xlfn.IFS(D215&lt;40,"Young Adult",AND(D215&gt;=40,D215&lt;65),"Middle Aged", D215&gt;=65,"Elderly")</f>
        <v>Middle Aged</v>
      </c>
    </row>
    <row r="216" spans="1:21" x14ac:dyDescent="0.2">
      <c r="A216">
        <v>1049</v>
      </c>
      <c r="B216">
        <f t="shared" si="24"/>
        <v>215</v>
      </c>
      <c r="C216" t="s">
        <v>652</v>
      </c>
      <c r="D216">
        <v>65</v>
      </c>
      <c r="E216" t="s">
        <v>51</v>
      </c>
      <c r="F216" t="str">
        <f t="shared" si="25"/>
        <v>Male</v>
      </c>
      <c r="G216" s="1">
        <v>46032</v>
      </c>
      <c r="H216" s="1">
        <v>46028</v>
      </c>
      <c r="I216" t="s">
        <v>653</v>
      </c>
      <c r="J216" t="str">
        <f t="shared" si="26"/>
        <v>Marie Clark</v>
      </c>
      <c r="K216" t="s">
        <v>28</v>
      </c>
      <c r="L216" t="str">
        <f t="shared" si="27"/>
        <v>General</v>
      </c>
      <c r="M216" t="s">
        <v>654</v>
      </c>
      <c r="N216" t="str">
        <f t="shared" si="28"/>
        <v>EUR</v>
      </c>
      <c r="O216">
        <f t="shared" si="29"/>
        <v>489</v>
      </c>
      <c r="P216" cm="1">
        <f t="array" ref="P216">_xlfn.IFS(N216="USD",O216*1,N216="GBP",O216*1.27,N216="EUR",O216*1.09,N216="INR",O216*0.012,N216="N/A","N/A")</f>
        <v>533.01</v>
      </c>
      <c r="Q216" t="s">
        <v>20</v>
      </c>
      <c r="R216" t="str" cm="1">
        <f t="array" ref="R216">_xlfn.IFS(Q216="Y","Yes", Q216="Yes","Yes", Q216="N","No", Q216="No","No", Q216=1,"N/A", Q216=0,"N/A", TRUE,"")</f>
        <v>Yes</v>
      </c>
      <c r="S216">
        <f t="shared" si="30"/>
        <v>8</v>
      </c>
      <c r="T216">
        <f t="shared" si="31"/>
        <v>1</v>
      </c>
      <c r="U216" t="str" cm="1">
        <f t="array" ref="U216">_xlfn.IFS(D216&lt;40,"Young Adult",AND(D216&gt;=40,D216&lt;65),"Middle Aged", D216&gt;=65,"Elderly")</f>
        <v>Elderly</v>
      </c>
    </row>
    <row r="217" spans="1:21" x14ac:dyDescent="0.2">
      <c r="A217">
        <v>1049</v>
      </c>
      <c r="B217">
        <f t="shared" si="24"/>
        <v>216</v>
      </c>
      <c r="C217" t="s">
        <v>655</v>
      </c>
      <c r="D217">
        <v>59</v>
      </c>
      <c r="E217" t="s">
        <v>71</v>
      </c>
      <c r="F217" t="str">
        <f t="shared" si="25"/>
        <v>Male</v>
      </c>
      <c r="G217" s="1">
        <v>45975</v>
      </c>
      <c r="H217" s="1">
        <v>45770</v>
      </c>
      <c r="I217" t="s">
        <v>656</v>
      </c>
      <c r="J217" t="str">
        <f t="shared" si="26"/>
        <v>Grant Parker</v>
      </c>
      <c r="K217" t="s">
        <v>24</v>
      </c>
      <c r="L217" t="str">
        <f t="shared" si="27"/>
        <v>Neurology</v>
      </c>
      <c r="M217" t="s">
        <v>657</v>
      </c>
      <c r="N217" t="str">
        <f t="shared" si="28"/>
        <v>GBP</v>
      </c>
      <c r="O217">
        <f t="shared" si="29"/>
        <v>201.19</v>
      </c>
      <c r="P217" cm="1">
        <f t="array" ref="P217">_xlfn.IFS(N217="USD",O217*1,N217="GBP",O217*1.27,N217="EUR",O217*1.09,N217="INR",O217*0.012,N217="N/A","N/A")</f>
        <v>255.51130000000001</v>
      </c>
      <c r="Q217" t="s">
        <v>30</v>
      </c>
      <c r="R217" t="str" cm="1">
        <f t="array" ref="R217">_xlfn.IFS(Q217="Y","Yes", Q217="Yes","Yes", Q217="N","No", Q217="No","No", Q217=1,"N/A", Q217=0,"N/A", TRUE,"")</f>
        <v>No</v>
      </c>
      <c r="S217">
        <f t="shared" si="30"/>
        <v>8</v>
      </c>
      <c r="T217">
        <f t="shared" si="31"/>
        <v>1</v>
      </c>
      <c r="U217" t="str" cm="1">
        <f t="array" ref="U217">_xlfn.IFS(D217&lt;40,"Young Adult",AND(D217&gt;=40,D217&lt;65),"Middle Aged", D217&gt;=65,"Elderly")</f>
        <v>Middle Aged</v>
      </c>
    </row>
    <row r="218" spans="1:21" x14ac:dyDescent="0.2">
      <c r="A218">
        <v>1076</v>
      </c>
      <c r="B218">
        <f t="shared" si="24"/>
        <v>217</v>
      </c>
      <c r="C218" t="s">
        <v>658</v>
      </c>
      <c r="D218">
        <v>24</v>
      </c>
      <c r="E218" t="s">
        <v>16</v>
      </c>
      <c r="F218" t="str">
        <f t="shared" si="25"/>
        <v>Female</v>
      </c>
      <c r="G218" s="1">
        <v>45936</v>
      </c>
      <c r="H218" s="1">
        <v>45456</v>
      </c>
      <c r="I218" t="s">
        <v>659</v>
      </c>
      <c r="J218" t="str">
        <f t="shared" si="26"/>
        <v>Jennifer Hernandez</v>
      </c>
      <c r="K218" t="s">
        <v>18</v>
      </c>
      <c r="L218" t="str">
        <f t="shared" si="27"/>
        <v>Orthopedics</v>
      </c>
      <c r="M218" t="s">
        <v>660</v>
      </c>
      <c r="N218" t="str">
        <f t="shared" si="28"/>
        <v>EUR</v>
      </c>
      <c r="O218">
        <f t="shared" si="29"/>
        <v>155.44999999999999</v>
      </c>
      <c r="P218" cm="1">
        <f t="array" ref="P218">_xlfn.IFS(N218="USD",O218*1,N218="GBP",O218*1.27,N218="EUR",O218*1.09,N218="INR",O218*0.012,N218="N/A","N/A")</f>
        <v>169.44049999999999</v>
      </c>
      <c r="Q218" t="s">
        <v>36</v>
      </c>
      <c r="R218" t="str" cm="1">
        <f t="array" ref="R218">_xlfn.IFS(Q218="Y","Yes", Q218="Yes","Yes", Q218="N","No", Q218="No","No", Q218=1,"N/A", Q218=0,"N/A", TRUE,"")</f>
        <v>Yes</v>
      </c>
      <c r="S218">
        <f t="shared" si="30"/>
        <v>6</v>
      </c>
      <c r="T218">
        <f t="shared" si="31"/>
        <v>1</v>
      </c>
      <c r="U218" t="str" cm="1">
        <f t="array" ref="U218">_xlfn.IFS(D218&lt;40,"Young Adult",AND(D218&gt;=40,D218&lt;65),"Middle Aged", D218&gt;=65,"Elderly")</f>
        <v>Young Adult</v>
      </c>
    </row>
    <row r="219" spans="1:21" x14ac:dyDescent="0.2">
      <c r="A219">
        <v>1083</v>
      </c>
      <c r="B219">
        <f t="shared" si="24"/>
        <v>218</v>
      </c>
      <c r="C219" t="s">
        <v>661</v>
      </c>
      <c r="D219">
        <v>56</v>
      </c>
      <c r="E219" t="s">
        <v>38</v>
      </c>
      <c r="F219" t="str">
        <f t="shared" si="25"/>
        <v>Female</v>
      </c>
      <c r="G219" s="1">
        <v>45754</v>
      </c>
      <c r="H219" s="1">
        <v>45665</v>
      </c>
      <c r="I219" t="s">
        <v>662</v>
      </c>
      <c r="J219" t="str">
        <f t="shared" si="26"/>
        <v>Joshua Burnett</v>
      </c>
      <c r="K219" t="s">
        <v>24</v>
      </c>
      <c r="L219" t="str">
        <f t="shared" si="27"/>
        <v>Neurology</v>
      </c>
      <c r="M219" t="s">
        <v>663</v>
      </c>
      <c r="N219" t="str">
        <f t="shared" si="28"/>
        <v>GBP</v>
      </c>
      <c r="O219">
        <f t="shared" si="29"/>
        <v>236.44</v>
      </c>
      <c r="P219" cm="1">
        <f t="array" ref="P219">_xlfn.IFS(N219="USD",O219*1,N219="GBP",O219*1.27,N219="EUR",O219*1.09,N219="INR",O219*0.012,N219="N/A","N/A")</f>
        <v>300.27879999999999</v>
      </c>
      <c r="Q219">
        <v>1</v>
      </c>
      <c r="R219" t="str" cm="1">
        <f t="array" ref="R219">_xlfn.IFS(Q219="Y","Yes", Q219="Yes","Yes", Q219="N","No", Q219="No","No", Q219=1,"N/A", Q219=0,"N/A", TRUE,"")</f>
        <v>N/A</v>
      </c>
      <c r="S219">
        <f t="shared" si="30"/>
        <v>7</v>
      </c>
      <c r="T219">
        <f t="shared" si="31"/>
        <v>1</v>
      </c>
      <c r="U219" t="str" cm="1">
        <f t="array" ref="U219">_xlfn.IFS(D219&lt;40,"Young Adult",AND(D219&gt;=40,D219&lt;65),"Middle Aged", D219&gt;=65,"Elderly")</f>
        <v>Middle Aged</v>
      </c>
    </row>
    <row r="220" spans="1:21" x14ac:dyDescent="0.2">
      <c r="A220">
        <v>1083</v>
      </c>
      <c r="B220">
        <f t="shared" si="24"/>
        <v>219</v>
      </c>
      <c r="C220" t="s">
        <v>664</v>
      </c>
      <c r="D220">
        <v>21</v>
      </c>
      <c r="E220" t="s">
        <v>2937</v>
      </c>
      <c r="F220" t="str">
        <f t="shared" si="25"/>
        <v>N/A</v>
      </c>
      <c r="G220" s="1">
        <v>45887</v>
      </c>
      <c r="H220" s="1">
        <v>45496</v>
      </c>
      <c r="I220" t="s">
        <v>665</v>
      </c>
      <c r="J220" t="str">
        <f t="shared" si="26"/>
        <v>Amanda Mendoza</v>
      </c>
      <c r="K220" t="s">
        <v>13</v>
      </c>
      <c r="L220" t="str">
        <f t="shared" si="27"/>
        <v>Cardiology</v>
      </c>
      <c r="M220" t="s">
        <v>666</v>
      </c>
      <c r="N220" t="str">
        <f t="shared" si="28"/>
        <v>USD</v>
      </c>
      <c r="O220">
        <f t="shared" si="29"/>
        <v>96.21</v>
      </c>
      <c r="P220" cm="1">
        <f t="array" ref="P220">_xlfn.IFS(N220="USD",O220*1,N220="GBP",O220*1.27,N220="EUR",O220*1.09,N220="INR",O220*0.012,N220="N/A","N/A")</f>
        <v>96.21</v>
      </c>
      <c r="Q220">
        <v>1</v>
      </c>
      <c r="R220" t="str" cm="1">
        <f t="array" ref="R220">_xlfn.IFS(Q220="Y","Yes", Q220="Yes","Yes", Q220="N","No", Q220="No","No", Q220=1,"N/A", Q220=0,"N/A", TRUE,"")</f>
        <v>N/A</v>
      </c>
      <c r="S220">
        <f t="shared" si="30"/>
        <v>7</v>
      </c>
      <c r="T220">
        <f t="shared" si="31"/>
        <v>1</v>
      </c>
      <c r="U220" t="str" cm="1">
        <f t="array" ref="U220">_xlfn.IFS(D220&lt;40,"Young Adult",AND(D220&gt;=40,D220&lt;65),"Middle Aged", D220&gt;=65,"Elderly")</f>
        <v>Young Adult</v>
      </c>
    </row>
    <row r="221" spans="1:21" x14ac:dyDescent="0.2">
      <c r="A221">
        <v>1091</v>
      </c>
      <c r="B221">
        <f t="shared" si="24"/>
        <v>220</v>
      </c>
      <c r="C221" t="s">
        <v>667</v>
      </c>
      <c r="D221">
        <v>20</v>
      </c>
      <c r="E221" t="s">
        <v>22</v>
      </c>
      <c r="F221" t="str">
        <f t="shared" si="25"/>
        <v>Male</v>
      </c>
      <c r="G221" s="1">
        <v>45997</v>
      </c>
      <c r="H221" s="1">
        <v>45986</v>
      </c>
      <c r="I221" t="s">
        <v>668</v>
      </c>
      <c r="J221" t="str">
        <f t="shared" si="26"/>
        <v>Christopher Sherman</v>
      </c>
      <c r="K221" t="s">
        <v>28</v>
      </c>
      <c r="L221" t="str">
        <f t="shared" si="27"/>
        <v>General</v>
      </c>
      <c r="M221" t="s">
        <v>669</v>
      </c>
      <c r="N221" t="str">
        <f t="shared" si="28"/>
        <v>EUR</v>
      </c>
      <c r="O221">
        <f t="shared" si="29"/>
        <v>270.47000000000003</v>
      </c>
      <c r="P221" cm="1">
        <f t="array" ref="P221">_xlfn.IFS(N221="USD",O221*1,N221="GBP",O221*1.27,N221="EUR",O221*1.09,N221="INR",O221*0.012,N221="N/A","N/A")</f>
        <v>294.81230000000005</v>
      </c>
      <c r="Q221" t="s">
        <v>36</v>
      </c>
      <c r="R221" t="str" cm="1">
        <f t="array" ref="R221">_xlfn.IFS(Q221="Y","Yes", Q221="Yes","Yes", Q221="N","No", Q221="No","No", Q221=1,"N/A", Q221=0,"N/A", TRUE,"")</f>
        <v>Yes</v>
      </c>
      <c r="S221">
        <f t="shared" si="30"/>
        <v>9</v>
      </c>
      <c r="T221">
        <f t="shared" si="31"/>
        <v>1</v>
      </c>
      <c r="U221" t="str" cm="1">
        <f t="array" ref="U221">_xlfn.IFS(D221&lt;40,"Young Adult",AND(D221&gt;=40,D221&lt;65),"Middle Aged", D221&gt;=65,"Elderly")</f>
        <v>Young Adult</v>
      </c>
    </row>
    <row r="222" spans="1:21" x14ac:dyDescent="0.2">
      <c r="A222">
        <v>1099</v>
      </c>
      <c r="B222">
        <f t="shared" si="24"/>
        <v>221</v>
      </c>
      <c r="C222" t="s">
        <v>670</v>
      </c>
      <c r="D222">
        <v>23</v>
      </c>
      <c r="E222" t="s">
        <v>2937</v>
      </c>
      <c r="F222" t="str">
        <f t="shared" si="25"/>
        <v>N/A</v>
      </c>
      <c r="G222" s="1">
        <v>45897</v>
      </c>
      <c r="H222" s="1">
        <v>45539</v>
      </c>
      <c r="I222" t="s">
        <v>671</v>
      </c>
      <c r="J222" t="str">
        <f t="shared" si="26"/>
        <v>Jeffrey Burns</v>
      </c>
      <c r="K222" t="s">
        <v>13</v>
      </c>
      <c r="L222" t="str">
        <f t="shared" si="27"/>
        <v>Cardiology</v>
      </c>
      <c r="M222" t="s">
        <v>672</v>
      </c>
      <c r="N222" t="str">
        <f t="shared" si="28"/>
        <v>INR</v>
      </c>
      <c r="O222">
        <f t="shared" si="29"/>
        <v>284.29000000000002</v>
      </c>
      <c r="P222" cm="1">
        <f t="array" ref="P222">_xlfn.IFS(N222="USD",O222*1,N222="GBP",O222*1.27,N222="EUR",O222*1.09,N222="INR",O222*0.012,N222="N/A","N/A")</f>
        <v>3.4114800000000005</v>
      </c>
      <c r="Q222" t="s">
        <v>60</v>
      </c>
      <c r="R222" t="str" cm="1">
        <f t="array" ref="R222">_xlfn.IFS(Q222="Y","Yes", Q222="Yes","Yes", Q222="N","No", Q222="No","No", Q222=1,"N/A", Q222=0,"N/A", TRUE,"")</f>
        <v>No</v>
      </c>
      <c r="S222">
        <f t="shared" si="30"/>
        <v>7</v>
      </c>
      <c r="T222">
        <f t="shared" si="31"/>
        <v>1</v>
      </c>
      <c r="U222" t="str" cm="1">
        <f t="array" ref="U222">_xlfn.IFS(D222&lt;40,"Young Adult",AND(D222&gt;=40,D222&lt;65),"Middle Aged", D222&gt;=65,"Elderly")</f>
        <v>Young Adult</v>
      </c>
    </row>
    <row r="223" spans="1:21" x14ac:dyDescent="0.2">
      <c r="A223">
        <v>1098</v>
      </c>
      <c r="B223">
        <f t="shared" si="24"/>
        <v>222</v>
      </c>
      <c r="C223" t="s">
        <v>673</v>
      </c>
      <c r="D223">
        <v>39</v>
      </c>
      <c r="E223" t="s">
        <v>2937</v>
      </c>
      <c r="F223" t="str">
        <f t="shared" si="25"/>
        <v>N/A</v>
      </c>
      <c r="G223" s="1">
        <v>45962</v>
      </c>
      <c r="H223" s="1">
        <v>45578</v>
      </c>
      <c r="I223" t="s">
        <v>674</v>
      </c>
      <c r="J223" t="str">
        <f t="shared" si="26"/>
        <v>Brandon Morris</v>
      </c>
      <c r="K223" t="s">
        <v>28</v>
      </c>
      <c r="L223" t="str">
        <f t="shared" si="27"/>
        <v>General</v>
      </c>
      <c r="M223" t="s">
        <v>675</v>
      </c>
      <c r="N223" t="str">
        <f t="shared" si="28"/>
        <v>EUR</v>
      </c>
      <c r="O223">
        <f t="shared" si="29"/>
        <v>354.36</v>
      </c>
      <c r="P223" cm="1">
        <f t="array" ref="P223">_xlfn.IFS(N223="USD",O223*1,N223="GBP",O223*1.27,N223="EUR",O223*1.09,N223="INR",O223*0.012,N223="N/A","N/A")</f>
        <v>386.25240000000002</v>
      </c>
      <c r="Q223" t="s">
        <v>60</v>
      </c>
      <c r="R223" t="str" cm="1">
        <f t="array" ref="R223">_xlfn.IFS(Q223="Y","Yes", Q223="Yes","Yes", Q223="N","No", Q223="No","No", Q223=1,"N/A", Q223=0,"N/A", TRUE,"")</f>
        <v>No</v>
      </c>
      <c r="S223">
        <f t="shared" si="30"/>
        <v>12</v>
      </c>
      <c r="T223">
        <f t="shared" si="31"/>
        <v>1</v>
      </c>
      <c r="U223" t="str" cm="1">
        <f t="array" ref="U223">_xlfn.IFS(D223&lt;40,"Young Adult",AND(D223&gt;=40,D223&lt;65),"Middle Aged", D223&gt;=65,"Elderly")</f>
        <v>Young Adult</v>
      </c>
    </row>
    <row r="224" spans="1:21" x14ac:dyDescent="0.2">
      <c r="A224">
        <v>1060</v>
      </c>
      <c r="B224">
        <f t="shared" si="24"/>
        <v>223</v>
      </c>
      <c r="C224" t="s">
        <v>676</v>
      </c>
      <c r="D224">
        <v>32</v>
      </c>
      <c r="E224" t="s">
        <v>2937</v>
      </c>
      <c r="F224" t="str">
        <f t="shared" si="25"/>
        <v>N/A</v>
      </c>
      <c r="G224" s="1">
        <v>46024</v>
      </c>
      <c r="H224" s="1">
        <v>45706</v>
      </c>
      <c r="I224" t="s">
        <v>677</v>
      </c>
      <c r="J224" t="str">
        <f t="shared" si="26"/>
        <v>Sara Booth</v>
      </c>
      <c r="K224" t="s">
        <v>18</v>
      </c>
      <c r="L224" t="str">
        <f t="shared" si="27"/>
        <v>Orthopedics</v>
      </c>
      <c r="M224" t="s">
        <v>678</v>
      </c>
      <c r="N224" t="str">
        <f t="shared" si="28"/>
        <v>GBP</v>
      </c>
      <c r="O224">
        <f t="shared" si="29"/>
        <v>452.69</v>
      </c>
      <c r="P224" cm="1">
        <f t="array" ref="P224">_xlfn.IFS(N224="USD",O224*1,N224="GBP",O224*1.27,N224="EUR",O224*1.09,N224="INR",O224*0.012,N224="N/A","N/A")</f>
        <v>574.91629999999998</v>
      </c>
      <c r="Q224" t="s">
        <v>36</v>
      </c>
      <c r="R224" t="str" cm="1">
        <f t="array" ref="R224">_xlfn.IFS(Q224="Y","Yes", Q224="Yes","Yes", Q224="N","No", Q224="No","No", Q224=1,"N/A", Q224=0,"N/A", TRUE,"")</f>
        <v>Yes</v>
      </c>
      <c r="S224">
        <f t="shared" si="30"/>
        <v>6</v>
      </c>
      <c r="T224">
        <f t="shared" si="31"/>
        <v>1</v>
      </c>
      <c r="U224" t="str" cm="1">
        <f t="array" ref="U224">_xlfn.IFS(D224&lt;40,"Young Adult",AND(D224&gt;=40,D224&lt;65),"Middle Aged", D224&gt;=65,"Elderly")</f>
        <v>Young Adult</v>
      </c>
    </row>
    <row r="225" spans="1:21" x14ac:dyDescent="0.2">
      <c r="A225">
        <v>1091</v>
      </c>
      <c r="B225">
        <f t="shared" si="24"/>
        <v>224</v>
      </c>
      <c r="C225" t="s">
        <v>679</v>
      </c>
      <c r="D225">
        <v>67</v>
      </c>
      <c r="E225" t="s">
        <v>2937</v>
      </c>
      <c r="F225" t="str">
        <f t="shared" si="25"/>
        <v>N/A</v>
      </c>
      <c r="G225" s="1">
        <v>45870</v>
      </c>
      <c r="H225" s="1">
        <v>45786</v>
      </c>
      <c r="I225" t="s">
        <v>680</v>
      </c>
      <c r="J225" t="str">
        <f t="shared" si="26"/>
        <v>Amanda Mclaughlin</v>
      </c>
      <c r="K225" t="s">
        <v>24</v>
      </c>
      <c r="L225" t="str">
        <f t="shared" si="27"/>
        <v>Neurology</v>
      </c>
      <c r="M225" t="s">
        <v>681</v>
      </c>
      <c r="N225" t="str">
        <f t="shared" si="28"/>
        <v>GBP</v>
      </c>
      <c r="O225">
        <f t="shared" si="29"/>
        <v>329.83</v>
      </c>
      <c r="P225" cm="1">
        <f t="array" ref="P225">_xlfn.IFS(N225="USD",O225*1,N225="GBP",O225*1.27,N225="EUR",O225*1.09,N225="INR",O225*0.012,N225="N/A","N/A")</f>
        <v>418.88409999999999</v>
      </c>
      <c r="Q225">
        <v>0</v>
      </c>
      <c r="R225" t="str" cm="1">
        <f t="array" ref="R225">_xlfn.IFS(Q225="Y","Yes", Q225="Yes","Yes", Q225="N","No", Q225="No","No", Q225=1,"N/A", Q225=0,"N/A", TRUE,"")</f>
        <v>N/A</v>
      </c>
      <c r="S225">
        <f t="shared" si="30"/>
        <v>9</v>
      </c>
      <c r="T225">
        <f t="shared" si="31"/>
        <v>1</v>
      </c>
      <c r="U225" t="str" cm="1">
        <f t="array" ref="U225">_xlfn.IFS(D225&lt;40,"Young Adult",AND(D225&gt;=40,D225&lt;65),"Middle Aged", D225&gt;=65,"Elderly")</f>
        <v>Elderly</v>
      </c>
    </row>
    <row r="226" spans="1:21" x14ac:dyDescent="0.2">
      <c r="A226">
        <v>1031</v>
      </c>
      <c r="B226">
        <f t="shared" si="24"/>
        <v>225</v>
      </c>
      <c r="C226" t="s">
        <v>682</v>
      </c>
      <c r="D226">
        <v>23</v>
      </c>
      <c r="E226" t="s">
        <v>51</v>
      </c>
      <c r="F226" t="str">
        <f t="shared" si="25"/>
        <v>Male</v>
      </c>
      <c r="G226" s="1">
        <v>46087</v>
      </c>
      <c r="H226" s="1">
        <v>45493</v>
      </c>
      <c r="I226" t="s">
        <v>683</v>
      </c>
      <c r="J226" t="str">
        <f t="shared" si="26"/>
        <v>Tony Randall</v>
      </c>
      <c r="K226" t="s">
        <v>13</v>
      </c>
      <c r="L226" t="str">
        <f t="shared" si="27"/>
        <v>Cardiology</v>
      </c>
      <c r="M226" t="s">
        <v>684</v>
      </c>
      <c r="N226" t="str">
        <f t="shared" si="28"/>
        <v>EUR</v>
      </c>
      <c r="O226">
        <f t="shared" si="29"/>
        <v>450.86</v>
      </c>
      <c r="P226" cm="1">
        <f t="array" ref="P226">_xlfn.IFS(N226="USD",O226*1,N226="GBP",O226*1.27,N226="EUR",O226*1.09,N226="INR",O226*0.012,N226="N/A","N/A")</f>
        <v>491.43740000000003</v>
      </c>
      <c r="Q226" t="s">
        <v>36</v>
      </c>
      <c r="R226" t="str" cm="1">
        <f t="array" ref="R226">_xlfn.IFS(Q226="Y","Yes", Q226="Yes","Yes", Q226="N","No", Q226="No","No", Q226=1,"N/A", Q226=0,"N/A", TRUE,"")</f>
        <v>Yes</v>
      </c>
      <c r="S226">
        <f t="shared" si="30"/>
        <v>13</v>
      </c>
      <c r="T226">
        <f t="shared" si="31"/>
        <v>1</v>
      </c>
      <c r="U226" t="str" cm="1">
        <f t="array" ref="U226">_xlfn.IFS(D226&lt;40,"Young Adult",AND(D226&gt;=40,D226&lt;65),"Middle Aged", D226&gt;=65,"Elderly")</f>
        <v>Young Adult</v>
      </c>
    </row>
    <row r="227" spans="1:21" x14ac:dyDescent="0.2">
      <c r="A227">
        <v>1018</v>
      </c>
      <c r="B227">
        <f t="shared" si="24"/>
        <v>226</v>
      </c>
      <c r="C227" t="s">
        <v>685</v>
      </c>
      <c r="D227">
        <v>71</v>
      </c>
      <c r="E227" t="s">
        <v>22</v>
      </c>
      <c r="F227" t="str">
        <f t="shared" si="25"/>
        <v>Male</v>
      </c>
      <c r="G227" s="1">
        <v>45794</v>
      </c>
      <c r="H227" s="1">
        <v>45651</v>
      </c>
      <c r="I227" t="s">
        <v>686</v>
      </c>
      <c r="J227" t="str">
        <f t="shared" si="26"/>
        <v>Crystal Medina</v>
      </c>
      <c r="K227" t="s">
        <v>24</v>
      </c>
      <c r="L227" t="str">
        <f t="shared" si="27"/>
        <v>Neurology</v>
      </c>
      <c r="M227" t="s">
        <v>687</v>
      </c>
      <c r="N227" t="str">
        <f t="shared" si="28"/>
        <v>INR</v>
      </c>
      <c r="O227">
        <f t="shared" si="29"/>
        <v>132.38</v>
      </c>
      <c r="P227" cm="1">
        <f t="array" ref="P227">_xlfn.IFS(N227="USD",O227*1,N227="GBP",O227*1.27,N227="EUR",O227*1.09,N227="INR",O227*0.012,N227="N/A","N/A")</f>
        <v>1.58856</v>
      </c>
      <c r="Q227" t="s">
        <v>36</v>
      </c>
      <c r="R227" t="str" cm="1">
        <f t="array" ref="R227">_xlfn.IFS(Q227="Y","Yes", Q227="Yes","Yes", Q227="N","No", Q227="No","No", Q227=1,"N/A", Q227=0,"N/A", TRUE,"")</f>
        <v>Yes</v>
      </c>
      <c r="S227">
        <f t="shared" si="30"/>
        <v>14</v>
      </c>
      <c r="T227">
        <f t="shared" si="31"/>
        <v>1</v>
      </c>
      <c r="U227" t="str" cm="1">
        <f t="array" ref="U227">_xlfn.IFS(D227&lt;40,"Young Adult",AND(D227&gt;=40,D227&lt;65),"Middle Aged", D227&gt;=65,"Elderly")</f>
        <v>Elderly</v>
      </c>
    </row>
    <row r="228" spans="1:21" x14ac:dyDescent="0.2">
      <c r="A228">
        <v>1054</v>
      </c>
      <c r="B228">
        <f t="shared" si="24"/>
        <v>227</v>
      </c>
      <c r="C228" t="s">
        <v>688</v>
      </c>
      <c r="D228">
        <v>68</v>
      </c>
      <c r="E228" t="s">
        <v>51</v>
      </c>
      <c r="F228" t="str">
        <f t="shared" si="25"/>
        <v>Male</v>
      </c>
      <c r="G228" s="1">
        <v>45761</v>
      </c>
      <c r="H228" s="1">
        <v>45701</v>
      </c>
      <c r="I228" t="s">
        <v>689</v>
      </c>
      <c r="J228" t="str">
        <f t="shared" si="26"/>
        <v>Patricia Carpenter</v>
      </c>
      <c r="K228" t="s">
        <v>28</v>
      </c>
      <c r="L228" t="str">
        <f t="shared" si="27"/>
        <v>General</v>
      </c>
      <c r="M228" t="s">
        <v>690</v>
      </c>
      <c r="N228" t="str">
        <f t="shared" si="28"/>
        <v>EUR</v>
      </c>
      <c r="O228">
        <f t="shared" si="29"/>
        <v>199.55</v>
      </c>
      <c r="P228" cm="1">
        <f t="array" ref="P228">_xlfn.IFS(N228="USD",O228*1,N228="GBP",O228*1.27,N228="EUR",O228*1.09,N228="INR",O228*0.012,N228="N/A","N/A")</f>
        <v>217.50950000000003</v>
      </c>
      <c r="Q228">
        <v>0</v>
      </c>
      <c r="R228" t="str" cm="1">
        <f t="array" ref="R228">_xlfn.IFS(Q228="Y","Yes", Q228="Yes","Yes", Q228="N","No", Q228="No","No", Q228=1,"N/A", Q228=0,"N/A", TRUE,"")</f>
        <v>N/A</v>
      </c>
      <c r="S228">
        <f t="shared" si="30"/>
        <v>12</v>
      </c>
      <c r="T228">
        <f t="shared" si="31"/>
        <v>1</v>
      </c>
      <c r="U228" t="str" cm="1">
        <f t="array" ref="U228">_xlfn.IFS(D228&lt;40,"Young Adult",AND(D228&gt;=40,D228&lt;65),"Middle Aged", D228&gt;=65,"Elderly")</f>
        <v>Elderly</v>
      </c>
    </row>
    <row r="229" spans="1:21" x14ac:dyDescent="0.2">
      <c r="A229">
        <v>1038</v>
      </c>
      <c r="B229">
        <f t="shared" si="24"/>
        <v>228</v>
      </c>
      <c r="C229" t="s">
        <v>691</v>
      </c>
      <c r="D229">
        <v>19</v>
      </c>
      <c r="E229" t="s">
        <v>2937</v>
      </c>
      <c r="F229" t="str">
        <f t="shared" si="25"/>
        <v>N/A</v>
      </c>
      <c r="G229" s="1">
        <v>45747</v>
      </c>
      <c r="H229" s="1">
        <v>45592</v>
      </c>
      <c r="I229" t="s">
        <v>692</v>
      </c>
      <c r="J229" t="str">
        <f t="shared" si="26"/>
        <v>John Gonzalez</v>
      </c>
      <c r="K229" t="s">
        <v>13</v>
      </c>
      <c r="L229" t="str">
        <f t="shared" si="27"/>
        <v>Cardiology</v>
      </c>
      <c r="M229" t="s">
        <v>693</v>
      </c>
      <c r="N229" t="str">
        <f t="shared" si="28"/>
        <v>EUR</v>
      </c>
      <c r="O229">
        <f t="shared" si="29"/>
        <v>296.7</v>
      </c>
      <c r="P229" cm="1">
        <f t="array" ref="P229">_xlfn.IFS(N229="USD",O229*1,N229="GBP",O229*1.27,N229="EUR",O229*1.09,N229="INR",O229*0.012,N229="N/A","N/A")</f>
        <v>323.40300000000002</v>
      </c>
      <c r="Q229" t="s">
        <v>60</v>
      </c>
      <c r="R229" t="str" cm="1">
        <f t="array" ref="R229">_xlfn.IFS(Q229="Y","Yes", Q229="Yes","Yes", Q229="N","No", Q229="No","No", Q229=1,"N/A", Q229=0,"N/A", TRUE,"")</f>
        <v>No</v>
      </c>
      <c r="S229">
        <f t="shared" si="30"/>
        <v>10</v>
      </c>
      <c r="T229">
        <f t="shared" si="31"/>
        <v>1</v>
      </c>
      <c r="U229" t="str" cm="1">
        <f t="array" ref="U229">_xlfn.IFS(D229&lt;40,"Young Adult",AND(D229&gt;=40,D229&lt;65),"Middle Aged", D229&gt;=65,"Elderly")</f>
        <v>Young Adult</v>
      </c>
    </row>
    <row r="230" spans="1:21" x14ac:dyDescent="0.2">
      <c r="A230">
        <v>1067</v>
      </c>
      <c r="B230">
        <f t="shared" si="24"/>
        <v>229</v>
      </c>
      <c r="C230" t="s">
        <v>694</v>
      </c>
      <c r="D230">
        <v>33</v>
      </c>
      <c r="E230" t="s">
        <v>2937</v>
      </c>
      <c r="F230" t="str">
        <f t="shared" si="25"/>
        <v>N/A</v>
      </c>
      <c r="G230" s="1">
        <v>46020</v>
      </c>
      <c r="H230" s="1">
        <v>45441</v>
      </c>
      <c r="I230" t="s">
        <v>695</v>
      </c>
      <c r="J230" t="str">
        <f t="shared" si="26"/>
        <v>Michelle Austin</v>
      </c>
      <c r="K230" t="s">
        <v>28</v>
      </c>
      <c r="L230" t="str">
        <f t="shared" si="27"/>
        <v>General</v>
      </c>
      <c r="M230" t="s">
        <v>696</v>
      </c>
      <c r="N230" t="str">
        <f t="shared" si="28"/>
        <v>USD</v>
      </c>
      <c r="O230">
        <f t="shared" si="29"/>
        <v>409.96</v>
      </c>
      <c r="P230" cm="1">
        <f t="array" ref="P230">_xlfn.IFS(N230="USD",O230*1,N230="GBP",O230*1.27,N230="EUR",O230*1.09,N230="INR",O230*0.012,N230="N/A","N/A")</f>
        <v>409.96</v>
      </c>
      <c r="Q230" t="s">
        <v>30</v>
      </c>
      <c r="R230" t="str" cm="1">
        <f t="array" ref="R230">_xlfn.IFS(Q230="Y","Yes", Q230="Yes","Yes", Q230="N","No", Q230="No","No", Q230=1,"N/A", Q230=0,"N/A", TRUE,"")</f>
        <v>No</v>
      </c>
      <c r="S230">
        <f t="shared" si="30"/>
        <v>9</v>
      </c>
      <c r="T230">
        <f t="shared" si="31"/>
        <v>1</v>
      </c>
      <c r="U230" t="str" cm="1">
        <f t="array" ref="U230">_xlfn.IFS(D230&lt;40,"Young Adult",AND(D230&gt;=40,D230&lt;65),"Middle Aged", D230&gt;=65,"Elderly")</f>
        <v>Young Adult</v>
      </c>
    </row>
    <row r="231" spans="1:21" x14ac:dyDescent="0.2">
      <c r="A231">
        <v>1070</v>
      </c>
      <c r="B231">
        <f t="shared" si="24"/>
        <v>230</v>
      </c>
      <c r="C231" t="s">
        <v>697</v>
      </c>
      <c r="D231">
        <v>54</v>
      </c>
      <c r="E231" t="s">
        <v>22</v>
      </c>
      <c r="F231" t="str">
        <f t="shared" si="25"/>
        <v>Male</v>
      </c>
      <c r="G231" s="1">
        <v>45831</v>
      </c>
      <c r="H231" s="1">
        <v>45528</v>
      </c>
      <c r="I231" t="s">
        <v>698</v>
      </c>
      <c r="J231" t="str">
        <f t="shared" si="26"/>
        <v>Paul Weaver</v>
      </c>
      <c r="K231" t="s">
        <v>24</v>
      </c>
      <c r="L231" t="str">
        <f t="shared" si="27"/>
        <v>Neurology</v>
      </c>
      <c r="M231" t="s">
        <v>699</v>
      </c>
      <c r="N231" t="str">
        <f t="shared" si="28"/>
        <v>GBP</v>
      </c>
      <c r="O231">
        <f t="shared" si="29"/>
        <v>386.53</v>
      </c>
      <c r="P231" cm="1">
        <f t="array" ref="P231">_xlfn.IFS(N231="USD",O231*1,N231="GBP",O231*1.27,N231="EUR",O231*1.09,N231="INR",O231*0.012,N231="N/A","N/A")</f>
        <v>490.89309999999995</v>
      </c>
      <c r="Q231">
        <v>0</v>
      </c>
      <c r="R231" t="str" cm="1">
        <f t="array" ref="R231">_xlfn.IFS(Q231="Y","Yes", Q231="Yes","Yes", Q231="N","No", Q231="No","No", Q231=1,"N/A", Q231=0,"N/A", TRUE,"")</f>
        <v>N/A</v>
      </c>
      <c r="S231">
        <f t="shared" si="30"/>
        <v>13</v>
      </c>
      <c r="T231">
        <f t="shared" si="31"/>
        <v>1</v>
      </c>
      <c r="U231" t="str" cm="1">
        <f t="array" ref="U231">_xlfn.IFS(D231&lt;40,"Young Adult",AND(D231&gt;=40,D231&lt;65),"Middle Aged", D231&gt;=65,"Elderly")</f>
        <v>Middle Aged</v>
      </c>
    </row>
    <row r="232" spans="1:21" x14ac:dyDescent="0.2">
      <c r="A232">
        <v>1097</v>
      </c>
      <c r="B232">
        <f t="shared" si="24"/>
        <v>231</v>
      </c>
      <c r="C232" t="s">
        <v>700</v>
      </c>
      <c r="D232">
        <v>52</v>
      </c>
      <c r="E232" t="s">
        <v>71</v>
      </c>
      <c r="F232" t="str">
        <f t="shared" si="25"/>
        <v>Male</v>
      </c>
      <c r="G232" s="1">
        <v>46031</v>
      </c>
      <c r="H232" s="1">
        <v>45875</v>
      </c>
      <c r="I232" t="s">
        <v>701</v>
      </c>
      <c r="J232" t="str">
        <f t="shared" si="26"/>
        <v>Amy Chavez</v>
      </c>
      <c r="K232" t="s">
        <v>24</v>
      </c>
      <c r="L232" t="str">
        <f t="shared" si="27"/>
        <v>Neurology</v>
      </c>
      <c r="M232" t="s">
        <v>702</v>
      </c>
      <c r="N232" t="str">
        <f t="shared" si="28"/>
        <v>INR</v>
      </c>
      <c r="O232">
        <f t="shared" si="29"/>
        <v>243.94</v>
      </c>
      <c r="P232" cm="1">
        <f t="array" ref="P232">_xlfn.IFS(N232="USD",O232*1,N232="GBP",O232*1.27,N232="EUR",O232*1.09,N232="INR",O232*0.012,N232="N/A","N/A")</f>
        <v>2.9272800000000001</v>
      </c>
      <c r="Q232" t="s">
        <v>36</v>
      </c>
      <c r="R232" t="str" cm="1">
        <f t="array" ref="R232">_xlfn.IFS(Q232="Y","Yes", Q232="Yes","Yes", Q232="N","No", Q232="No","No", Q232=1,"N/A", Q232=0,"N/A", TRUE,"")</f>
        <v>Yes</v>
      </c>
      <c r="S232">
        <f t="shared" si="30"/>
        <v>10</v>
      </c>
      <c r="T232">
        <f t="shared" si="31"/>
        <v>1</v>
      </c>
      <c r="U232" t="str" cm="1">
        <f t="array" ref="U232">_xlfn.IFS(D232&lt;40,"Young Adult",AND(D232&gt;=40,D232&lt;65),"Middle Aged", D232&gt;=65,"Elderly")</f>
        <v>Middle Aged</v>
      </c>
    </row>
    <row r="233" spans="1:21" x14ac:dyDescent="0.2">
      <c r="A233">
        <v>1056</v>
      </c>
      <c r="B233">
        <f t="shared" si="24"/>
        <v>232</v>
      </c>
      <c r="C233" t="s">
        <v>703</v>
      </c>
      <c r="D233">
        <v>70</v>
      </c>
      <c r="E233" t="s">
        <v>38</v>
      </c>
      <c r="F233" t="str">
        <f t="shared" si="25"/>
        <v>Female</v>
      </c>
      <c r="G233" s="1">
        <v>46017</v>
      </c>
      <c r="H233" s="1">
        <v>45882</v>
      </c>
      <c r="I233" t="s">
        <v>704</v>
      </c>
      <c r="J233" t="str">
        <f t="shared" si="26"/>
        <v>Leonard Macias</v>
      </c>
      <c r="K233" t="s">
        <v>28</v>
      </c>
      <c r="L233" t="str">
        <f t="shared" si="27"/>
        <v>General</v>
      </c>
      <c r="M233" t="s">
        <v>705</v>
      </c>
      <c r="N233" t="str">
        <f t="shared" si="28"/>
        <v>USD</v>
      </c>
      <c r="O233">
        <f t="shared" si="29"/>
        <v>364.83</v>
      </c>
      <c r="P233" cm="1">
        <f t="array" ref="P233">_xlfn.IFS(N233="USD",O233*1,N233="GBP",O233*1.27,N233="EUR",O233*1.09,N233="INR",O233*0.012,N233="N/A","N/A")</f>
        <v>364.83</v>
      </c>
      <c r="Q233" t="s">
        <v>20</v>
      </c>
      <c r="R233" t="str" cm="1">
        <f t="array" ref="R233">_xlfn.IFS(Q233="Y","Yes", Q233="Yes","Yes", Q233="N","No", Q233="No","No", Q233=1,"N/A", Q233=0,"N/A", TRUE,"")</f>
        <v>Yes</v>
      </c>
      <c r="S233">
        <f t="shared" si="30"/>
        <v>13</v>
      </c>
      <c r="T233">
        <f t="shared" si="31"/>
        <v>1</v>
      </c>
      <c r="U233" t="str" cm="1">
        <f t="array" ref="U233">_xlfn.IFS(D233&lt;40,"Young Adult",AND(D233&gt;=40,D233&lt;65),"Middle Aged", D233&gt;=65,"Elderly")</f>
        <v>Elderly</v>
      </c>
    </row>
    <row r="234" spans="1:21" x14ac:dyDescent="0.2">
      <c r="A234">
        <v>1078</v>
      </c>
      <c r="B234">
        <f t="shared" si="24"/>
        <v>233</v>
      </c>
      <c r="C234" t="s">
        <v>706</v>
      </c>
      <c r="D234">
        <v>56</v>
      </c>
      <c r="E234" t="s">
        <v>38</v>
      </c>
      <c r="F234" t="str">
        <f t="shared" si="25"/>
        <v>Female</v>
      </c>
      <c r="G234" s="1">
        <v>45743</v>
      </c>
      <c r="H234" s="1">
        <v>45432</v>
      </c>
      <c r="I234" t="s">
        <v>707</v>
      </c>
      <c r="J234" t="str">
        <f t="shared" si="26"/>
        <v>Jenny Wright</v>
      </c>
      <c r="K234" t="s">
        <v>18</v>
      </c>
      <c r="L234" t="str">
        <f t="shared" si="27"/>
        <v>Orthopedics</v>
      </c>
      <c r="M234" t="s">
        <v>708</v>
      </c>
      <c r="N234" t="str">
        <f t="shared" si="28"/>
        <v>USD</v>
      </c>
      <c r="O234">
        <f t="shared" si="29"/>
        <v>335.95</v>
      </c>
      <c r="P234" cm="1">
        <f t="array" ref="P234">_xlfn.IFS(N234="USD",O234*1,N234="GBP",O234*1.27,N234="EUR",O234*1.09,N234="INR",O234*0.012,N234="N/A","N/A")</f>
        <v>335.95</v>
      </c>
      <c r="Q234">
        <v>1</v>
      </c>
      <c r="R234" t="str" cm="1">
        <f t="array" ref="R234">_xlfn.IFS(Q234="Y","Yes", Q234="Yes","Yes", Q234="N","No", Q234="No","No", Q234=1,"N/A", Q234=0,"N/A", TRUE,"")</f>
        <v>N/A</v>
      </c>
      <c r="S234">
        <f t="shared" si="30"/>
        <v>8</v>
      </c>
      <c r="T234">
        <f t="shared" si="31"/>
        <v>1</v>
      </c>
      <c r="U234" t="str" cm="1">
        <f t="array" ref="U234">_xlfn.IFS(D234&lt;40,"Young Adult",AND(D234&gt;=40,D234&lt;65),"Middle Aged", D234&gt;=65,"Elderly")</f>
        <v>Middle Aged</v>
      </c>
    </row>
    <row r="235" spans="1:21" x14ac:dyDescent="0.2">
      <c r="A235">
        <v>1031</v>
      </c>
      <c r="B235">
        <f t="shared" si="24"/>
        <v>234</v>
      </c>
      <c r="C235" t="s">
        <v>709</v>
      </c>
      <c r="D235">
        <v>29</v>
      </c>
      <c r="E235" t="s">
        <v>38</v>
      </c>
      <c r="F235" t="str">
        <f t="shared" si="25"/>
        <v>Female</v>
      </c>
      <c r="G235" s="1">
        <v>45874</v>
      </c>
      <c r="H235" s="1">
        <v>45562</v>
      </c>
      <c r="I235" t="s">
        <v>710</v>
      </c>
      <c r="J235" t="str">
        <f t="shared" si="26"/>
        <v>Todd Oconnor</v>
      </c>
      <c r="K235" t="s">
        <v>18</v>
      </c>
      <c r="L235" t="str">
        <f t="shared" si="27"/>
        <v>Orthopedics</v>
      </c>
      <c r="N235" t="str">
        <f t="shared" si="28"/>
        <v>N/A</v>
      </c>
      <c r="O235" t="str">
        <f t="shared" si="29"/>
        <v/>
      </c>
      <c r="P235" t="str" cm="1">
        <f t="array" ref="P235">_xlfn.IFS(N235="USD",O235*1,N235="GBP",O235*1.27,N235="EUR",O235*1.09,N235="INR",O235*0.012,N235="N/A","N/A")</f>
        <v>N/A</v>
      </c>
      <c r="Q235" t="s">
        <v>20</v>
      </c>
      <c r="R235" t="str" cm="1">
        <f t="array" ref="R235">_xlfn.IFS(Q235="Y","Yes", Q235="Yes","Yes", Q235="N","No", Q235="No","No", Q235=1,"N/A", Q235=0,"N/A", TRUE,"")</f>
        <v>Yes</v>
      </c>
      <c r="S235">
        <f t="shared" si="30"/>
        <v>13</v>
      </c>
      <c r="T235">
        <f t="shared" si="31"/>
        <v>1</v>
      </c>
      <c r="U235" t="str" cm="1">
        <f t="array" ref="U235">_xlfn.IFS(D235&lt;40,"Young Adult",AND(D235&gt;=40,D235&lt;65),"Middle Aged", D235&gt;=65,"Elderly")</f>
        <v>Young Adult</v>
      </c>
    </row>
    <row r="236" spans="1:21" x14ac:dyDescent="0.2">
      <c r="A236">
        <v>1035</v>
      </c>
      <c r="B236">
        <f t="shared" si="24"/>
        <v>235</v>
      </c>
      <c r="C236" t="s">
        <v>711</v>
      </c>
      <c r="D236">
        <v>80</v>
      </c>
      <c r="E236" t="s">
        <v>51</v>
      </c>
      <c r="F236" t="str">
        <f t="shared" si="25"/>
        <v>Male</v>
      </c>
      <c r="G236" s="1">
        <v>45872</v>
      </c>
      <c r="H236" s="1">
        <v>45750</v>
      </c>
      <c r="I236" t="s">
        <v>712</v>
      </c>
      <c r="J236" t="str">
        <f t="shared" si="26"/>
        <v>Rachel Howell</v>
      </c>
      <c r="K236" t="s">
        <v>24</v>
      </c>
      <c r="L236" t="str">
        <f t="shared" si="27"/>
        <v>Neurology</v>
      </c>
      <c r="M236" t="s">
        <v>713</v>
      </c>
      <c r="N236" t="str">
        <f t="shared" si="28"/>
        <v>EUR</v>
      </c>
      <c r="O236">
        <f t="shared" si="29"/>
        <v>387.58</v>
      </c>
      <c r="P236" cm="1">
        <f t="array" ref="P236">_xlfn.IFS(N236="USD",O236*1,N236="GBP",O236*1.27,N236="EUR",O236*1.09,N236="INR",O236*0.012,N236="N/A","N/A")</f>
        <v>422.4622</v>
      </c>
      <c r="Q236" t="s">
        <v>36</v>
      </c>
      <c r="R236" t="str" cm="1">
        <f t="array" ref="R236">_xlfn.IFS(Q236="Y","Yes", Q236="Yes","Yes", Q236="N","No", Q236="No","No", Q236=1,"N/A", Q236=0,"N/A", TRUE,"")</f>
        <v>Yes</v>
      </c>
      <c r="S236">
        <f t="shared" si="30"/>
        <v>9</v>
      </c>
      <c r="T236">
        <f t="shared" si="31"/>
        <v>1</v>
      </c>
      <c r="U236" t="str" cm="1">
        <f t="array" ref="U236">_xlfn.IFS(D236&lt;40,"Young Adult",AND(D236&gt;=40,D236&lt;65),"Middle Aged", D236&gt;=65,"Elderly")</f>
        <v>Elderly</v>
      </c>
    </row>
    <row r="237" spans="1:21" x14ac:dyDescent="0.2">
      <c r="A237">
        <v>1079</v>
      </c>
      <c r="B237">
        <f t="shared" si="24"/>
        <v>236</v>
      </c>
      <c r="C237" t="s">
        <v>714</v>
      </c>
      <c r="D237">
        <v>24</v>
      </c>
      <c r="E237" t="s">
        <v>22</v>
      </c>
      <c r="F237" t="str">
        <f t="shared" si="25"/>
        <v>Male</v>
      </c>
      <c r="G237" s="1">
        <v>46038</v>
      </c>
      <c r="H237" s="1">
        <v>45402</v>
      </c>
      <c r="I237" t="s">
        <v>715</v>
      </c>
      <c r="J237" t="str">
        <f t="shared" si="26"/>
        <v>Dr. Heidi Johnson</v>
      </c>
      <c r="K237" t="s">
        <v>13</v>
      </c>
      <c r="L237" t="str">
        <f t="shared" si="27"/>
        <v>Cardiology</v>
      </c>
      <c r="M237" t="s">
        <v>716</v>
      </c>
      <c r="N237" t="str">
        <f t="shared" si="28"/>
        <v>INR</v>
      </c>
      <c r="O237">
        <f t="shared" si="29"/>
        <v>360.39</v>
      </c>
      <c r="P237" cm="1">
        <f t="array" ref="P237">_xlfn.IFS(N237="USD",O237*1,N237="GBP",O237*1.27,N237="EUR",O237*1.09,N237="INR",O237*0.012,N237="N/A","N/A")</f>
        <v>4.3246799999999999</v>
      </c>
      <c r="Q237" t="s">
        <v>60</v>
      </c>
      <c r="R237" t="str" cm="1">
        <f t="array" ref="R237">_xlfn.IFS(Q237="Y","Yes", Q237="Yes","Yes", Q237="N","No", Q237="No","No", Q237=1,"N/A", Q237=0,"N/A", TRUE,"")</f>
        <v>No</v>
      </c>
      <c r="S237">
        <f t="shared" si="30"/>
        <v>4</v>
      </c>
      <c r="T237">
        <f t="shared" si="31"/>
        <v>1</v>
      </c>
      <c r="U237" t="str" cm="1">
        <f t="array" ref="U237">_xlfn.IFS(D237&lt;40,"Young Adult",AND(D237&gt;=40,D237&lt;65),"Middle Aged", D237&gt;=65,"Elderly")</f>
        <v>Young Adult</v>
      </c>
    </row>
    <row r="238" spans="1:21" x14ac:dyDescent="0.2">
      <c r="A238">
        <v>1062</v>
      </c>
      <c r="B238">
        <f t="shared" si="24"/>
        <v>237</v>
      </c>
      <c r="C238" t="s">
        <v>717</v>
      </c>
      <c r="D238">
        <v>20</v>
      </c>
      <c r="E238" t="s">
        <v>22</v>
      </c>
      <c r="F238" t="str">
        <f t="shared" si="25"/>
        <v>Male</v>
      </c>
      <c r="G238" s="1">
        <v>45823</v>
      </c>
      <c r="H238" s="1">
        <v>45758</v>
      </c>
      <c r="I238" t="s">
        <v>718</v>
      </c>
      <c r="J238" t="str">
        <f t="shared" si="26"/>
        <v>Robert Stanley</v>
      </c>
      <c r="K238" t="s">
        <v>13</v>
      </c>
      <c r="L238" t="str">
        <f t="shared" si="27"/>
        <v>Cardiology</v>
      </c>
      <c r="M238" t="s">
        <v>719</v>
      </c>
      <c r="N238" t="str">
        <f t="shared" si="28"/>
        <v>GBP</v>
      </c>
      <c r="O238">
        <f t="shared" si="29"/>
        <v>288.24</v>
      </c>
      <c r="P238" cm="1">
        <f t="array" ref="P238">_xlfn.IFS(N238="USD",O238*1,N238="GBP",O238*1.27,N238="EUR",O238*1.09,N238="INR",O238*0.012,N238="N/A","N/A")</f>
        <v>366.06479999999999</v>
      </c>
      <c r="Q238">
        <v>1</v>
      </c>
      <c r="R238" t="str" cm="1">
        <f t="array" ref="R238">_xlfn.IFS(Q238="Y","Yes", Q238="Yes","Yes", Q238="N","No", Q238="No","No", Q238=1,"N/A", Q238=0,"N/A", TRUE,"")</f>
        <v>N/A</v>
      </c>
      <c r="S238">
        <f t="shared" si="30"/>
        <v>6</v>
      </c>
      <c r="T238">
        <f t="shared" si="31"/>
        <v>1</v>
      </c>
      <c r="U238" t="str" cm="1">
        <f t="array" ref="U238">_xlfn.IFS(D238&lt;40,"Young Adult",AND(D238&gt;=40,D238&lt;65),"Middle Aged", D238&gt;=65,"Elderly")</f>
        <v>Young Adult</v>
      </c>
    </row>
    <row r="239" spans="1:21" x14ac:dyDescent="0.2">
      <c r="A239">
        <v>1006</v>
      </c>
      <c r="B239">
        <f t="shared" si="24"/>
        <v>238</v>
      </c>
      <c r="C239" t="s">
        <v>720</v>
      </c>
      <c r="D239">
        <v>56</v>
      </c>
      <c r="E239" t="s">
        <v>2937</v>
      </c>
      <c r="F239" t="str">
        <f t="shared" si="25"/>
        <v>N/A</v>
      </c>
      <c r="G239" s="1">
        <v>46056</v>
      </c>
      <c r="H239" s="1">
        <v>45520</v>
      </c>
      <c r="I239" t="s">
        <v>721</v>
      </c>
      <c r="J239" t="str">
        <f t="shared" si="26"/>
        <v>Amber Sullivan</v>
      </c>
      <c r="K239" t="s">
        <v>28</v>
      </c>
      <c r="L239" t="str">
        <f t="shared" si="27"/>
        <v>General</v>
      </c>
      <c r="M239" t="s">
        <v>722</v>
      </c>
      <c r="N239" t="str">
        <f t="shared" si="28"/>
        <v>EUR</v>
      </c>
      <c r="O239">
        <f t="shared" si="29"/>
        <v>286.43</v>
      </c>
      <c r="P239" cm="1">
        <f t="array" ref="P239">_xlfn.IFS(N239="USD",O239*1,N239="GBP",O239*1.27,N239="EUR",O239*1.09,N239="INR",O239*0.012,N239="N/A","N/A")</f>
        <v>312.20870000000002</v>
      </c>
      <c r="Q239">
        <v>1</v>
      </c>
      <c r="R239" t="str" cm="1">
        <f t="array" ref="R239">_xlfn.IFS(Q239="Y","Yes", Q239="Yes","Yes", Q239="N","No", Q239="No","No", Q239=1,"N/A", Q239=0,"N/A", TRUE,"")</f>
        <v>N/A</v>
      </c>
      <c r="S239">
        <f t="shared" si="30"/>
        <v>8</v>
      </c>
      <c r="T239">
        <f t="shared" si="31"/>
        <v>1</v>
      </c>
      <c r="U239" t="str" cm="1">
        <f t="array" ref="U239">_xlfn.IFS(D239&lt;40,"Young Adult",AND(D239&gt;=40,D239&lt;65),"Middle Aged", D239&gt;=65,"Elderly")</f>
        <v>Middle Aged</v>
      </c>
    </row>
    <row r="240" spans="1:21" x14ac:dyDescent="0.2">
      <c r="A240">
        <v>1034</v>
      </c>
      <c r="B240">
        <f t="shared" si="24"/>
        <v>239</v>
      </c>
      <c r="C240" t="s">
        <v>723</v>
      </c>
      <c r="D240">
        <v>60</v>
      </c>
      <c r="E240" t="s">
        <v>38</v>
      </c>
      <c r="F240" t="str">
        <f t="shared" si="25"/>
        <v>Female</v>
      </c>
      <c r="G240" s="1">
        <v>46033</v>
      </c>
      <c r="H240" s="1">
        <v>45863</v>
      </c>
      <c r="I240" t="s">
        <v>724</v>
      </c>
      <c r="J240" t="str">
        <f t="shared" si="26"/>
        <v>Joseph Meyers</v>
      </c>
      <c r="K240" t="s">
        <v>24</v>
      </c>
      <c r="L240" t="str">
        <f t="shared" si="27"/>
        <v>Neurology</v>
      </c>
      <c r="N240" t="str">
        <f t="shared" si="28"/>
        <v>N/A</v>
      </c>
      <c r="O240" t="str">
        <f t="shared" si="29"/>
        <v/>
      </c>
      <c r="P240" t="str" cm="1">
        <f t="array" ref="P240">_xlfn.IFS(N240="USD",O240*1,N240="GBP",O240*1.27,N240="EUR",O240*1.09,N240="INR",O240*0.012,N240="N/A","N/A")</f>
        <v>N/A</v>
      </c>
      <c r="Q240">
        <v>0</v>
      </c>
      <c r="R240" t="str" cm="1">
        <f t="array" ref="R240">_xlfn.IFS(Q240="Y","Yes", Q240="Yes","Yes", Q240="N","No", Q240="No","No", Q240=1,"N/A", Q240=0,"N/A", TRUE,"")</f>
        <v>N/A</v>
      </c>
      <c r="S240">
        <f t="shared" si="30"/>
        <v>8</v>
      </c>
      <c r="T240">
        <f t="shared" si="31"/>
        <v>1</v>
      </c>
      <c r="U240" t="str" cm="1">
        <f t="array" ref="U240">_xlfn.IFS(D240&lt;40,"Young Adult",AND(D240&gt;=40,D240&lt;65),"Middle Aged", D240&gt;=65,"Elderly")</f>
        <v>Middle Aged</v>
      </c>
    </row>
    <row r="241" spans="1:21" x14ac:dyDescent="0.2">
      <c r="A241">
        <v>1021</v>
      </c>
      <c r="B241">
        <f t="shared" si="24"/>
        <v>240</v>
      </c>
      <c r="C241" t="s">
        <v>725</v>
      </c>
      <c r="D241">
        <v>51</v>
      </c>
      <c r="E241" t="s">
        <v>51</v>
      </c>
      <c r="F241" t="str">
        <f t="shared" si="25"/>
        <v>Male</v>
      </c>
      <c r="G241" s="1">
        <v>46018</v>
      </c>
      <c r="H241" s="1">
        <v>45668</v>
      </c>
      <c r="I241" t="s">
        <v>726</v>
      </c>
      <c r="J241" t="str">
        <f t="shared" si="26"/>
        <v>Christine Arnold</v>
      </c>
      <c r="K241" t="s">
        <v>28</v>
      </c>
      <c r="L241" t="str">
        <f t="shared" si="27"/>
        <v>General</v>
      </c>
      <c r="M241" t="s">
        <v>727</v>
      </c>
      <c r="N241" t="str">
        <f t="shared" si="28"/>
        <v>EUR</v>
      </c>
      <c r="O241">
        <f t="shared" si="29"/>
        <v>476.26</v>
      </c>
      <c r="P241" cm="1">
        <f t="array" ref="P241">_xlfn.IFS(N241="USD",O241*1,N241="GBP",O241*1.27,N241="EUR",O241*1.09,N241="INR",O241*0.012,N241="N/A","N/A")</f>
        <v>519.12340000000006</v>
      </c>
      <c r="Q241" t="s">
        <v>60</v>
      </c>
      <c r="R241" t="str" cm="1">
        <f t="array" ref="R241">_xlfn.IFS(Q241="Y","Yes", Q241="Yes","Yes", Q241="N","No", Q241="No","No", Q241=1,"N/A", Q241=0,"N/A", TRUE,"")</f>
        <v>No</v>
      </c>
      <c r="S241">
        <f t="shared" si="30"/>
        <v>16</v>
      </c>
      <c r="T241">
        <f t="shared" si="31"/>
        <v>1</v>
      </c>
      <c r="U241" t="str" cm="1">
        <f t="array" ref="U241">_xlfn.IFS(D241&lt;40,"Young Adult",AND(D241&gt;=40,D241&lt;65),"Middle Aged", D241&gt;=65,"Elderly")</f>
        <v>Middle Aged</v>
      </c>
    </row>
    <row r="242" spans="1:21" x14ac:dyDescent="0.2">
      <c r="A242">
        <v>1089</v>
      </c>
      <c r="B242">
        <f t="shared" si="24"/>
        <v>241</v>
      </c>
      <c r="C242" t="s">
        <v>728</v>
      </c>
      <c r="D242">
        <v>72</v>
      </c>
      <c r="E242" t="s">
        <v>38</v>
      </c>
      <c r="F242" t="str">
        <f t="shared" si="25"/>
        <v>Female</v>
      </c>
      <c r="G242" s="1">
        <v>46017</v>
      </c>
      <c r="H242" s="1">
        <v>45509</v>
      </c>
      <c r="I242" t="s">
        <v>729</v>
      </c>
      <c r="J242" t="str">
        <f t="shared" si="26"/>
        <v>Michelle Smith</v>
      </c>
      <c r="K242" t="s">
        <v>24</v>
      </c>
      <c r="L242" t="str">
        <f t="shared" si="27"/>
        <v>Neurology</v>
      </c>
      <c r="M242" t="s">
        <v>730</v>
      </c>
      <c r="N242" t="str">
        <f t="shared" si="28"/>
        <v>GBP</v>
      </c>
      <c r="O242">
        <f t="shared" si="29"/>
        <v>480.75</v>
      </c>
      <c r="P242" cm="1">
        <f t="array" ref="P242">_xlfn.IFS(N242="USD",O242*1,N242="GBP",O242*1.27,N242="EUR",O242*1.09,N242="INR",O242*0.012,N242="N/A","N/A")</f>
        <v>610.55250000000001</v>
      </c>
      <c r="Q242" t="s">
        <v>36</v>
      </c>
      <c r="R242" t="str" cm="1">
        <f t="array" ref="R242">_xlfn.IFS(Q242="Y","Yes", Q242="Yes","Yes", Q242="N","No", Q242="No","No", Q242=1,"N/A", Q242=0,"N/A", TRUE,"")</f>
        <v>Yes</v>
      </c>
      <c r="S242">
        <f t="shared" si="30"/>
        <v>16</v>
      </c>
      <c r="T242">
        <f t="shared" si="31"/>
        <v>1</v>
      </c>
      <c r="U242" t="str" cm="1">
        <f t="array" ref="U242">_xlfn.IFS(D242&lt;40,"Young Adult",AND(D242&gt;=40,D242&lt;65),"Middle Aged", D242&gt;=65,"Elderly")</f>
        <v>Elderly</v>
      </c>
    </row>
    <row r="243" spans="1:21" x14ac:dyDescent="0.2">
      <c r="A243">
        <v>1054</v>
      </c>
      <c r="B243">
        <f t="shared" si="24"/>
        <v>242</v>
      </c>
      <c r="C243" t="s">
        <v>731</v>
      </c>
      <c r="D243">
        <v>74</v>
      </c>
      <c r="E243" t="s">
        <v>2937</v>
      </c>
      <c r="F243" t="str">
        <f t="shared" si="25"/>
        <v>N/A</v>
      </c>
      <c r="G243" s="1">
        <v>46068</v>
      </c>
      <c r="H243" s="1">
        <v>45807</v>
      </c>
      <c r="I243" t="s">
        <v>732</v>
      </c>
      <c r="J243" t="str">
        <f t="shared" si="26"/>
        <v>Cesar Sanchez</v>
      </c>
      <c r="K243" t="s">
        <v>24</v>
      </c>
      <c r="L243" t="str">
        <f t="shared" si="27"/>
        <v>Neurology</v>
      </c>
      <c r="M243" t="s">
        <v>733</v>
      </c>
      <c r="N243" t="str">
        <f t="shared" si="28"/>
        <v>INR</v>
      </c>
      <c r="O243">
        <f t="shared" si="29"/>
        <v>277.60000000000002</v>
      </c>
      <c r="P243" cm="1">
        <f t="array" ref="P243">_xlfn.IFS(N243="USD",O243*1,N243="GBP",O243*1.27,N243="EUR",O243*1.09,N243="INR",O243*0.012,N243="N/A","N/A")</f>
        <v>3.3312000000000004</v>
      </c>
      <c r="Q243">
        <v>0</v>
      </c>
      <c r="R243" t="str" cm="1">
        <f t="array" ref="R243">_xlfn.IFS(Q243="Y","Yes", Q243="Yes","Yes", Q243="N","No", Q243="No","No", Q243=1,"N/A", Q243=0,"N/A", TRUE,"")</f>
        <v>N/A</v>
      </c>
      <c r="S243">
        <f t="shared" si="30"/>
        <v>12</v>
      </c>
      <c r="T243">
        <f t="shared" si="31"/>
        <v>1</v>
      </c>
      <c r="U243" t="str" cm="1">
        <f t="array" ref="U243">_xlfn.IFS(D243&lt;40,"Young Adult",AND(D243&gt;=40,D243&lt;65),"Middle Aged", D243&gt;=65,"Elderly")</f>
        <v>Elderly</v>
      </c>
    </row>
    <row r="244" spans="1:21" x14ac:dyDescent="0.2">
      <c r="A244">
        <v>1026</v>
      </c>
      <c r="B244">
        <f t="shared" si="24"/>
        <v>243</v>
      </c>
      <c r="C244" t="s">
        <v>734</v>
      </c>
      <c r="D244">
        <v>80</v>
      </c>
      <c r="E244" t="s">
        <v>71</v>
      </c>
      <c r="F244" t="str">
        <f t="shared" si="25"/>
        <v>Male</v>
      </c>
      <c r="G244" s="1">
        <v>45774</v>
      </c>
      <c r="H244" s="1">
        <v>45739</v>
      </c>
      <c r="I244" t="s">
        <v>735</v>
      </c>
      <c r="J244" t="str">
        <f t="shared" si="26"/>
        <v>Jordan Cole</v>
      </c>
      <c r="K244" t="s">
        <v>28</v>
      </c>
      <c r="L244" t="str">
        <f t="shared" si="27"/>
        <v>General</v>
      </c>
      <c r="M244" t="s">
        <v>736</v>
      </c>
      <c r="N244" t="str">
        <f t="shared" si="28"/>
        <v>INR</v>
      </c>
      <c r="O244">
        <f t="shared" si="29"/>
        <v>301.11</v>
      </c>
      <c r="P244" cm="1">
        <f t="array" ref="P244">_xlfn.IFS(N244="USD",O244*1,N244="GBP",O244*1.27,N244="EUR",O244*1.09,N244="INR",O244*0.012,N244="N/A","N/A")</f>
        <v>3.6133200000000003</v>
      </c>
      <c r="Q244" t="s">
        <v>20</v>
      </c>
      <c r="R244" t="str" cm="1">
        <f t="array" ref="R244">_xlfn.IFS(Q244="Y","Yes", Q244="Yes","Yes", Q244="N","No", Q244="No","No", Q244=1,"N/A", Q244=0,"N/A", TRUE,"")</f>
        <v>Yes</v>
      </c>
      <c r="S244">
        <f t="shared" si="30"/>
        <v>10</v>
      </c>
      <c r="T244">
        <f t="shared" si="31"/>
        <v>1</v>
      </c>
      <c r="U244" t="str" cm="1">
        <f t="array" ref="U244">_xlfn.IFS(D244&lt;40,"Young Adult",AND(D244&gt;=40,D244&lt;65),"Middle Aged", D244&gt;=65,"Elderly")</f>
        <v>Elderly</v>
      </c>
    </row>
    <row r="245" spans="1:21" x14ac:dyDescent="0.2">
      <c r="A245">
        <v>1015</v>
      </c>
      <c r="B245">
        <f t="shared" si="24"/>
        <v>244</v>
      </c>
      <c r="C245" t="s">
        <v>737</v>
      </c>
      <c r="D245">
        <v>53</v>
      </c>
      <c r="E245" t="s">
        <v>2937</v>
      </c>
      <c r="F245" t="str">
        <f t="shared" si="25"/>
        <v>N/A</v>
      </c>
      <c r="G245" s="1">
        <v>45933</v>
      </c>
      <c r="H245" s="1">
        <v>45839</v>
      </c>
      <c r="I245" t="s">
        <v>738</v>
      </c>
      <c r="J245" t="str">
        <f t="shared" si="26"/>
        <v>Alexander Lee</v>
      </c>
      <c r="K245" t="s">
        <v>18</v>
      </c>
      <c r="L245" t="str">
        <f t="shared" si="27"/>
        <v>Orthopedics</v>
      </c>
      <c r="M245" t="s">
        <v>739</v>
      </c>
      <c r="N245" t="str">
        <f t="shared" si="28"/>
        <v>GBP</v>
      </c>
      <c r="O245">
        <f t="shared" si="29"/>
        <v>304.51</v>
      </c>
      <c r="P245" cm="1">
        <f t="array" ref="P245">_xlfn.IFS(N245="USD",O245*1,N245="GBP",O245*1.27,N245="EUR",O245*1.09,N245="INR",O245*0.012,N245="N/A","N/A")</f>
        <v>386.72769999999997</v>
      </c>
      <c r="Q245">
        <v>0</v>
      </c>
      <c r="R245" t="str" cm="1">
        <f t="array" ref="R245">_xlfn.IFS(Q245="Y","Yes", Q245="Yes","Yes", Q245="N","No", Q245="No","No", Q245=1,"N/A", Q245=0,"N/A", TRUE,"")</f>
        <v>N/A</v>
      </c>
      <c r="S245">
        <f t="shared" si="30"/>
        <v>17</v>
      </c>
      <c r="T245">
        <f t="shared" si="31"/>
        <v>1</v>
      </c>
      <c r="U245" t="str" cm="1">
        <f t="array" ref="U245">_xlfn.IFS(D245&lt;40,"Young Adult",AND(D245&gt;=40,D245&lt;65),"Middle Aged", D245&gt;=65,"Elderly")</f>
        <v>Middle Aged</v>
      </c>
    </row>
    <row r="246" spans="1:21" x14ac:dyDescent="0.2">
      <c r="A246">
        <v>1015</v>
      </c>
      <c r="B246">
        <f t="shared" si="24"/>
        <v>245</v>
      </c>
      <c r="C246" t="s">
        <v>740</v>
      </c>
      <c r="D246">
        <v>88</v>
      </c>
      <c r="E246" t="s">
        <v>2937</v>
      </c>
      <c r="F246" t="str">
        <f t="shared" si="25"/>
        <v>N/A</v>
      </c>
      <c r="G246" s="1">
        <v>45949</v>
      </c>
      <c r="H246" s="1">
        <v>45813</v>
      </c>
      <c r="I246" t="s">
        <v>741</v>
      </c>
      <c r="J246" t="str">
        <f t="shared" si="26"/>
        <v>Christopher Underwood</v>
      </c>
      <c r="K246" t="s">
        <v>18</v>
      </c>
      <c r="L246" t="str">
        <f t="shared" si="27"/>
        <v>Orthopedics</v>
      </c>
      <c r="M246" t="s">
        <v>742</v>
      </c>
      <c r="N246" t="str">
        <f t="shared" si="28"/>
        <v>GBP</v>
      </c>
      <c r="O246">
        <f t="shared" si="29"/>
        <v>266.52999999999997</v>
      </c>
      <c r="P246" cm="1">
        <f t="array" ref="P246">_xlfn.IFS(N246="USD",O246*1,N246="GBP",O246*1.27,N246="EUR",O246*1.09,N246="INR",O246*0.012,N246="N/A","N/A")</f>
        <v>338.49309999999997</v>
      </c>
      <c r="Q246">
        <v>1</v>
      </c>
      <c r="R246" t="str" cm="1">
        <f t="array" ref="R246">_xlfn.IFS(Q246="Y","Yes", Q246="Yes","Yes", Q246="N","No", Q246="No","No", Q246=1,"N/A", Q246=0,"N/A", TRUE,"")</f>
        <v>N/A</v>
      </c>
      <c r="S246">
        <f t="shared" si="30"/>
        <v>17</v>
      </c>
      <c r="T246">
        <f t="shared" si="31"/>
        <v>1</v>
      </c>
      <c r="U246" t="str" cm="1">
        <f t="array" ref="U246">_xlfn.IFS(D246&lt;40,"Young Adult",AND(D246&gt;=40,D246&lt;65),"Middle Aged", D246&gt;=65,"Elderly")</f>
        <v>Elderly</v>
      </c>
    </row>
    <row r="247" spans="1:21" x14ac:dyDescent="0.2">
      <c r="A247">
        <v>1060</v>
      </c>
      <c r="B247">
        <f t="shared" si="24"/>
        <v>246</v>
      </c>
      <c r="C247" t="s">
        <v>743</v>
      </c>
      <c r="D247">
        <v>51</v>
      </c>
      <c r="E247" t="s">
        <v>38</v>
      </c>
      <c r="F247" t="str">
        <f t="shared" si="25"/>
        <v>Female</v>
      </c>
      <c r="G247" s="1">
        <v>45844</v>
      </c>
      <c r="H247" s="1">
        <v>45765</v>
      </c>
      <c r="I247" t="s">
        <v>744</v>
      </c>
      <c r="J247" t="str">
        <f t="shared" si="26"/>
        <v>Christopher Wolfe</v>
      </c>
      <c r="K247" t="s">
        <v>28</v>
      </c>
      <c r="L247" t="str">
        <f t="shared" si="27"/>
        <v>General</v>
      </c>
      <c r="M247" t="s">
        <v>745</v>
      </c>
      <c r="N247" t="str">
        <f t="shared" si="28"/>
        <v>INR</v>
      </c>
      <c r="O247">
        <f t="shared" si="29"/>
        <v>433.55</v>
      </c>
      <c r="P247" cm="1">
        <f t="array" ref="P247">_xlfn.IFS(N247="USD",O247*1,N247="GBP",O247*1.27,N247="EUR",O247*1.09,N247="INR",O247*0.012,N247="N/A","N/A")</f>
        <v>5.2026000000000003</v>
      </c>
      <c r="Q247" t="s">
        <v>20</v>
      </c>
      <c r="R247" t="str" cm="1">
        <f t="array" ref="R247">_xlfn.IFS(Q247="Y","Yes", Q247="Yes","Yes", Q247="N","No", Q247="No","No", Q247=1,"N/A", Q247=0,"N/A", TRUE,"")</f>
        <v>Yes</v>
      </c>
      <c r="S247">
        <f t="shared" si="30"/>
        <v>6</v>
      </c>
      <c r="T247">
        <f t="shared" si="31"/>
        <v>1</v>
      </c>
      <c r="U247" t="str" cm="1">
        <f t="array" ref="U247">_xlfn.IFS(D247&lt;40,"Young Adult",AND(D247&gt;=40,D247&lt;65),"Middle Aged", D247&gt;=65,"Elderly")</f>
        <v>Middle Aged</v>
      </c>
    </row>
    <row r="248" spans="1:21" x14ac:dyDescent="0.2">
      <c r="A248">
        <v>1003</v>
      </c>
      <c r="B248">
        <f t="shared" si="24"/>
        <v>247</v>
      </c>
      <c r="C248" t="s">
        <v>746</v>
      </c>
      <c r="D248">
        <v>77</v>
      </c>
      <c r="E248" t="s">
        <v>71</v>
      </c>
      <c r="F248" t="str">
        <f t="shared" si="25"/>
        <v>Male</v>
      </c>
      <c r="G248" s="1">
        <v>45811</v>
      </c>
      <c r="H248" s="1">
        <v>45430</v>
      </c>
      <c r="I248" t="s">
        <v>747</v>
      </c>
      <c r="J248" t="str">
        <f t="shared" si="26"/>
        <v>Jennifer Jones</v>
      </c>
      <c r="K248" t="s">
        <v>18</v>
      </c>
      <c r="L248" t="str">
        <f t="shared" si="27"/>
        <v>Orthopedics</v>
      </c>
      <c r="M248" t="s">
        <v>748</v>
      </c>
      <c r="N248" t="str">
        <f t="shared" si="28"/>
        <v>GBP</v>
      </c>
      <c r="O248">
        <f t="shared" si="29"/>
        <v>70.47</v>
      </c>
      <c r="P248" cm="1">
        <f t="array" ref="P248">_xlfn.IFS(N248="USD",O248*1,N248="GBP",O248*1.27,N248="EUR",O248*1.09,N248="INR",O248*0.012,N248="N/A","N/A")</f>
        <v>89.496899999999997</v>
      </c>
      <c r="Q248">
        <v>1</v>
      </c>
      <c r="R248" t="str" cm="1">
        <f t="array" ref="R248">_xlfn.IFS(Q248="Y","Yes", Q248="Yes","Yes", Q248="N","No", Q248="No","No", Q248=1,"N/A", Q248=0,"N/A", TRUE,"")</f>
        <v>N/A</v>
      </c>
      <c r="S248">
        <f t="shared" si="30"/>
        <v>12</v>
      </c>
      <c r="T248">
        <f t="shared" si="31"/>
        <v>1</v>
      </c>
      <c r="U248" t="str" cm="1">
        <f t="array" ref="U248">_xlfn.IFS(D248&lt;40,"Young Adult",AND(D248&gt;=40,D248&lt;65),"Middle Aged", D248&gt;=65,"Elderly")</f>
        <v>Elderly</v>
      </c>
    </row>
    <row r="249" spans="1:21" x14ac:dyDescent="0.2">
      <c r="A249">
        <v>1022</v>
      </c>
      <c r="B249">
        <f t="shared" si="24"/>
        <v>248</v>
      </c>
      <c r="C249" t="s">
        <v>749</v>
      </c>
      <c r="D249">
        <v>24</v>
      </c>
      <c r="E249" t="s">
        <v>38</v>
      </c>
      <c r="F249" t="str">
        <f t="shared" si="25"/>
        <v>Female</v>
      </c>
      <c r="G249" s="1">
        <v>45888</v>
      </c>
      <c r="H249" s="1">
        <v>45787</v>
      </c>
      <c r="I249" t="s">
        <v>750</v>
      </c>
      <c r="J249" t="str">
        <f t="shared" si="26"/>
        <v>Melissa Daniels</v>
      </c>
      <c r="K249" t="s">
        <v>24</v>
      </c>
      <c r="L249" t="str">
        <f t="shared" si="27"/>
        <v>Neurology</v>
      </c>
      <c r="M249" t="s">
        <v>751</v>
      </c>
      <c r="N249" t="str">
        <f t="shared" si="28"/>
        <v>USD</v>
      </c>
      <c r="O249">
        <f t="shared" si="29"/>
        <v>425.91</v>
      </c>
      <c r="P249" cm="1">
        <f t="array" ref="P249">_xlfn.IFS(N249="USD",O249*1,N249="GBP",O249*1.27,N249="EUR",O249*1.09,N249="INR",O249*0.012,N249="N/A","N/A")</f>
        <v>425.91</v>
      </c>
      <c r="Q249" t="s">
        <v>36</v>
      </c>
      <c r="R249" t="str" cm="1">
        <f t="array" ref="R249">_xlfn.IFS(Q249="Y","Yes", Q249="Yes","Yes", Q249="N","No", Q249="No","No", Q249=1,"N/A", Q249=0,"N/A", TRUE,"")</f>
        <v>Yes</v>
      </c>
      <c r="S249">
        <f t="shared" si="30"/>
        <v>9</v>
      </c>
      <c r="T249">
        <f t="shared" si="31"/>
        <v>1</v>
      </c>
      <c r="U249" t="str" cm="1">
        <f t="array" ref="U249">_xlfn.IFS(D249&lt;40,"Young Adult",AND(D249&gt;=40,D249&lt;65),"Middle Aged", D249&gt;=65,"Elderly")</f>
        <v>Young Adult</v>
      </c>
    </row>
    <row r="250" spans="1:21" x14ac:dyDescent="0.2">
      <c r="A250">
        <v>1093</v>
      </c>
      <c r="B250">
        <f t="shared" si="24"/>
        <v>249</v>
      </c>
      <c r="C250" t="s">
        <v>752</v>
      </c>
      <c r="D250">
        <v>31</v>
      </c>
      <c r="E250" t="s">
        <v>2937</v>
      </c>
      <c r="F250" t="str">
        <f t="shared" si="25"/>
        <v>N/A</v>
      </c>
      <c r="G250" s="1">
        <v>45804</v>
      </c>
      <c r="H250" s="1">
        <v>45646</v>
      </c>
      <c r="I250" t="s">
        <v>753</v>
      </c>
      <c r="J250" t="str">
        <f t="shared" si="26"/>
        <v>Ryan White</v>
      </c>
      <c r="K250" t="s">
        <v>28</v>
      </c>
      <c r="L250" t="str">
        <f t="shared" si="27"/>
        <v>General</v>
      </c>
      <c r="M250" t="s">
        <v>754</v>
      </c>
      <c r="N250" t="str">
        <f t="shared" si="28"/>
        <v>EUR</v>
      </c>
      <c r="O250">
        <f t="shared" si="29"/>
        <v>111.71</v>
      </c>
      <c r="P250" cm="1">
        <f t="array" ref="P250">_xlfn.IFS(N250="USD",O250*1,N250="GBP",O250*1.27,N250="EUR",O250*1.09,N250="INR",O250*0.012,N250="N/A","N/A")</f>
        <v>121.76390000000001</v>
      </c>
      <c r="Q250">
        <v>0</v>
      </c>
      <c r="R250" t="str" cm="1">
        <f t="array" ref="R250">_xlfn.IFS(Q250="Y","Yes", Q250="Yes","Yes", Q250="N","No", Q250="No","No", Q250=1,"N/A", Q250=0,"N/A", TRUE,"")</f>
        <v>N/A</v>
      </c>
      <c r="S250">
        <f t="shared" si="30"/>
        <v>11</v>
      </c>
      <c r="T250">
        <f t="shared" si="31"/>
        <v>1</v>
      </c>
      <c r="U250" t="str" cm="1">
        <f t="array" ref="U250">_xlfn.IFS(D250&lt;40,"Young Adult",AND(D250&gt;=40,D250&lt;65),"Middle Aged", D250&gt;=65,"Elderly")</f>
        <v>Young Adult</v>
      </c>
    </row>
    <row r="251" spans="1:21" x14ac:dyDescent="0.2">
      <c r="A251">
        <v>1089</v>
      </c>
      <c r="B251">
        <f t="shared" si="24"/>
        <v>250</v>
      </c>
      <c r="C251" t="s">
        <v>755</v>
      </c>
      <c r="D251">
        <v>47</v>
      </c>
      <c r="E251" t="s">
        <v>38</v>
      </c>
      <c r="F251" t="str">
        <f t="shared" si="25"/>
        <v>Female</v>
      </c>
      <c r="G251" s="1">
        <v>46064</v>
      </c>
      <c r="H251" s="1">
        <v>45702</v>
      </c>
      <c r="I251" t="s">
        <v>756</v>
      </c>
      <c r="J251" t="str">
        <f t="shared" si="26"/>
        <v>Katrina Johnston</v>
      </c>
      <c r="K251" t="s">
        <v>13</v>
      </c>
      <c r="L251" t="str">
        <f t="shared" si="27"/>
        <v>Cardiology</v>
      </c>
      <c r="M251" t="s">
        <v>757</v>
      </c>
      <c r="N251" t="str">
        <f t="shared" si="28"/>
        <v>GBP</v>
      </c>
      <c r="O251">
        <f t="shared" si="29"/>
        <v>365.37</v>
      </c>
      <c r="P251" cm="1">
        <f t="array" ref="P251">_xlfn.IFS(N251="USD",O251*1,N251="GBP",O251*1.27,N251="EUR",O251*1.09,N251="INR",O251*0.012,N251="N/A","N/A")</f>
        <v>464.01990000000001</v>
      </c>
      <c r="Q251" t="s">
        <v>30</v>
      </c>
      <c r="R251" t="str" cm="1">
        <f t="array" ref="R251">_xlfn.IFS(Q251="Y","Yes", Q251="Yes","Yes", Q251="N","No", Q251="No","No", Q251=1,"N/A", Q251=0,"N/A", TRUE,"")</f>
        <v>No</v>
      </c>
      <c r="S251">
        <f t="shared" si="30"/>
        <v>16</v>
      </c>
      <c r="T251">
        <f t="shared" si="31"/>
        <v>1</v>
      </c>
      <c r="U251" t="str" cm="1">
        <f t="array" ref="U251">_xlfn.IFS(D251&lt;40,"Young Adult",AND(D251&gt;=40,D251&lt;65),"Middle Aged", D251&gt;=65,"Elderly")</f>
        <v>Middle Aged</v>
      </c>
    </row>
    <row r="252" spans="1:21" x14ac:dyDescent="0.2">
      <c r="A252">
        <v>1094</v>
      </c>
      <c r="B252">
        <f t="shared" si="24"/>
        <v>251</v>
      </c>
      <c r="C252" t="s">
        <v>758</v>
      </c>
      <c r="D252">
        <v>74</v>
      </c>
      <c r="E252" t="s">
        <v>2937</v>
      </c>
      <c r="F252" t="str">
        <f t="shared" si="25"/>
        <v>N/A</v>
      </c>
      <c r="G252" s="1">
        <v>45825</v>
      </c>
      <c r="H252" s="1">
        <v>45407</v>
      </c>
      <c r="I252" t="s">
        <v>759</v>
      </c>
      <c r="J252" t="str">
        <f t="shared" si="26"/>
        <v>Linda Martin</v>
      </c>
      <c r="K252" t="s">
        <v>13</v>
      </c>
      <c r="L252" t="str">
        <f t="shared" si="27"/>
        <v>Cardiology</v>
      </c>
      <c r="M252" t="s">
        <v>760</v>
      </c>
      <c r="N252" t="str">
        <f t="shared" si="28"/>
        <v>EUR</v>
      </c>
      <c r="O252">
        <f t="shared" si="29"/>
        <v>475.27</v>
      </c>
      <c r="P252" cm="1">
        <f t="array" ref="P252">_xlfn.IFS(N252="USD",O252*1,N252="GBP",O252*1.27,N252="EUR",O252*1.09,N252="INR",O252*0.012,N252="N/A","N/A")</f>
        <v>518.04430000000002</v>
      </c>
      <c r="Q252">
        <v>1</v>
      </c>
      <c r="R252" t="str" cm="1">
        <f t="array" ref="R252">_xlfn.IFS(Q252="Y","Yes", Q252="Yes","Yes", Q252="N","No", Q252="No","No", Q252=1,"N/A", Q252=0,"N/A", TRUE,"")</f>
        <v>N/A</v>
      </c>
      <c r="S252">
        <f t="shared" si="30"/>
        <v>8</v>
      </c>
      <c r="T252">
        <f t="shared" si="31"/>
        <v>1</v>
      </c>
      <c r="U252" t="str" cm="1">
        <f t="array" ref="U252">_xlfn.IFS(D252&lt;40,"Young Adult",AND(D252&gt;=40,D252&lt;65),"Middle Aged", D252&gt;=65,"Elderly")</f>
        <v>Elderly</v>
      </c>
    </row>
    <row r="253" spans="1:21" x14ac:dyDescent="0.2">
      <c r="A253">
        <v>1016</v>
      </c>
      <c r="B253">
        <f t="shared" si="24"/>
        <v>252</v>
      </c>
      <c r="C253" t="s">
        <v>761</v>
      </c>
      <c r="D253">
        <v>36</v>
      </c>
      <c r="E253" t="s">
        <v>16</v>
      </c>
      <c r="F253" t="str">
        <f t="shared" si="25"/>
        <v>Female</v>
      </c>
      <c r="G253" s="1">
        <v>45996</v>
      </c>
      <c r="H253" s="1">
        <v>45458</v>
      </c>
      <c r="I253" t="s">
        <v>762</v>
      </c>
      <c r="J253" t="str">
        <f t="shared" si="26"/>
        <v>Susan Kelley</v>
      </c>
      <c r="K253" t="s">
        <v>24</v>
      </c>
      <c r="L253" t="str">
        <f t="shared" si="27"/>
        <v>Neurology</v>
      </c>
      <c r="M253" t="s">
        <v>763</v>
      </c>
      <c r="N253" t="str">
        <f t="shared" si="28"/>
        <v>USD</v>
      </c>
      <c r="O253">
        <f t="shared" si="29"/>
        <v>108.6</v>
      </c>
      <c r="P253" cm="1">
        <f t="array" ref="P253">_xlfn.IFS(N253="USD",O253*1,N253="GBP",O253*1.27,N253="EUR",O253*1.09,N253="INR",O253*0.012,N253="N/A","N/A")</f>
        <v>108.6</v>
      </c>
      <c r="Q253" t="s">
        <v>60</v>
      </c>
      <c r="R253" t="str" cm="1">
        <f t="array" ref="R253">_xlfn.IFS(Q253="Y","Yes", Q253="Yes","Yes", Q253="N","No", Q253="No","No", Q253=1,"N/A", Q253=0,"N/A", TRUE,"")</f>
        <v>No</v>
      </c>
      <c r="S253">
        <f t="shared" si="30"/>
        <v>15</v>
      </c>
      <c r="T253">
        <f t="shared" si="31"/>
        <v>1</v>
      </c>
      <c r="U253" t="str" cm="1">
        <f t="array" ref="U253">_xlfn.IFS(D253&lt;40,"Young Adult",AND(D253&gt;=40,D253&lt;65),"Middle Aged", D253&gt;=65,"Elderly")</f>
        <v>Young Adult</v>
      </c>
    </row>
    <row r="254" spans="1:21" x14ac:dyDescent="0.2">
      <c r="A254">
        <v>1045</v>
      </c>
      <c r="B254">
        <f t="shared" si="24"/>
        <v>253</v>
      </c>
      <c r="C254" t="s">
        <v>764</v>
      </c>
      <c r="D254">
        <v>34</v>
      </c>
      <c r="E254" t="s">
        <v>16</v>
      </c>
      <c r="F254" t="str">
        <f t="shared" si="25"/>
        <v>Female</v>
      </c>
      <c r="G254" s="1">
        <v>45791</v>
      </c>
      <c r="H254" s="1">
        <v>45431</v>
      </c>
      <c r="I254" t="s">
        <v>765</v>
      </c>
      <c r="J254" t="str">
        <f t="shared" si="26"/>
        <v>Samuel Stone</v>
      </c>
      <c r="K254" t="s">
        <v>13</v>
      </c>
      <c r="L254" t="str">
        <f t="shared" si="27"/>
        <v>Cardiology</v>
      </c>
      <c r="M254" t="s">
        <v>766</v>
      </c>
      <c r="N254" t="str">
        <f t="shared" si="28"/>
        <v>GBP</v>
      </c>
      <c r="O254">
        <f t="shared" si="29"/>
        <v>455.05</v>
      </c>
      <c r="P254" cm="1">
        <f t="array" ref="P254">_xlfn.IFS(N254="USD",O254*1,N254="GBP",O254*1.27,N254="EUR",O254*1.09,N254="INR",O254*0.012,N254="N/A","N/A")</f>
        <v>577.9135</v>
      </c>
      <c r="Q254" t="s">
        <v>60</v>
      </c>
      <c r="R254" t="str" cm="1">
        <f t="array" ref="R254">_xlfn.IFS(Q254="Y","Yes", Q254="Yes","Yes", Q254="N","No", Q254="No","No", Q254=1,"N/A", Q254=0,"N/A", TRUE,"")</f>
        <v>No</v>
      </c>
      <c r="S254">
        <f t="shared" si="30"/>
        <v>8</v>
      </c>
      <c r="T254">
        <f t="shared" si="31"/>
        <v>1</v>
      </c>
      <c r="U254" t="str" cm="1">
        <f t="array" ref="U254">_xlfn.IFS(D254&lt;40,"Young Adult",AND(D254&gt;=40,D254&lt;65),"Middle Aged", D254&gt;=65,"Elderly")</f>
        <v>Young Adult</v>
      </c>
    </row>
    <row r="255" spans="1:21" x14ac:dyDescent="0.2">
      <c r="A255">
        <v>1036</v>
      </c>
      <c r="B255">
        <f t="shared" si="24"/>
        <v>254</v>
      </c>
      <c r="C255" t="s">
        <v>767</v>
      </c>
      <c r="D255">
        <v>29</v>
      </c>
      <c r="E255" t="s">
        <v>2937</v>
      </c>
      <c r="F255" t="str">
        <f t="shared" si="25"/>
        <v>N/A</v>
      </c>
      <c r="G255" s="1">
        <v>46050</v>
      </c>
      <c r="H255" s="1">
        <v>45629</v>
      </c>
      <c r="I255" t="s">
        <v>768</v>
      </c>
      <c r="J255" t="str">
        <f t="shared" si="26"/>
        <v>Mallory Torres</v>
      </c>
      <c r="K255" t="s">
        <v>24</v>
      </c>
      <c r="L255" t="str">
        <f t="shared" si="27"/>
        <v>Neurology</v>
      </c>
      <c r="M255" t="s">
        <v>769</v>
      </c>
      <c r="N255" t="str">
        <f t="shared" si="28"/>
        <v>GBP</v>
      </c>
      <c r="O255">
        <f t="shared" si="29"/>
        <v>264.45</v>
      </c>
      <c r="P255" cm="1">
        <f t="array" ref="P255">_xlfn.IFS(N255="USD",O255*1,N255="GBP",O255*1.27,N255="EUR",O255*1.09,N255="INR",O255*0.012,N255="N/A","N/A")</f>
        <v>335.85149999999999</v>
      </c>
      <c r="Q255" t="s">
        <v>30</v>
      </c>
      <c r="R255" t="str" cm="1">
        <f t="array" ref="R255">_xlfn.IFS(Q255="Y","Yes", Q255="Yes","Yes", Q255="N","No", Q255="No","No", Q255=1,"N/A", Q255=0,"N/A", TRUE,"")</f>
        <v>No</v>
      </c>
      <c r="S255">
        <f t="shared" si="30"/>
        <v>14</v>
      </c>
      <c r="T255">
        <f t="shared" si="31"/>
        <v>1</v>
      </c>
      <c r="U255" t="str" cm="1">
        <f t="array" ref="U255">_xlfn.IFS(D255&lt;40,"Young Adult",AND(D255&gt;=40,D255&lt;65),"Middle Aged", D255&gt;=65,"Elderly")</f>
        <v>Young Adult</v>
      </c>
    </row>
    <row r="256" spans="1:21" x14ac:dyDescent="0.2">
      <c r="A256">
        <v>1031</v>
      </c>
      <c r="B256">
        <f t="shared" si="24"/>
        <v>255</v>
      </c>
      <c r="C256" t="s">
        <v>770</v>
      </c>
      <c r="D256">
        <v>42</v>
      </c>
      <c r="E256" t="s">
        <v>16</v>
      </c>
      <c r="F256" t="str">
        <f t="shared" si="25"/>
        <v>Female</v>
      </c>
      <c r="G256" s="1">
        <v>45874</v>
      </c>
      <c r="H256" s="1">
        <v>45865</v>
      </c>
      <c r="I256" t="s">
        <v>771</v>
      </c>
      <c r="J256" t="str">
        <f t="shared" si="26"/>
        <v>Wendy Herrera</v>
      </c>
      <c r="K256" t="s">
        <v>18</v>
      </c>
      <c r="L256" t="str">
        <f t="shared" si="27"/>
        <v>Orthopedics</v>
      </c>
      <c r="M256" t="s">
        <v>772</v>
      </c>
      <c r="N256" t="str">
        <f t="shared" si="28"/>
        <v>INR</v>
      </c>
      <c r="O256">
        <f t="shared" si="29"/>
        <v>132.57</v>
      </c>
      <c r="P256" cm="1">
        <f t="array" ref="P256">_xlfn.IFS(N256="USD",O256*1,N256="GBP",O256*1.27,N256="EUR",O256*1.09,N256="INR",O256*0.012,N256="N/A","N/A")</f>
        <v>1.59084</v>
      </c>
      <c r="Q256" t="s">
        <v>30</v>
      </c>
      <c r="R256" t="str" cm="1">
        <f t="array" ref="R256">_xlfn.IFS(Q256="Y","Yes", Q256="Yes","Yes", Q256="N","No", Q256="No","No", Q256=1,"N/A", Q256=0,"N/A", TRUE,"")</f>
        <v>No</v>
      </c>
      <c r="S256">
        <f t="shared" si="30"/>
        <v>13</v>
      </c>
      <c r="T256">
        <f t="shared" si="31"/>
        <v>1</v>
      </c>
      <c r="U256" t="str" cm="1">
        <f t="array" ref="U256">_xlfn.IFS(D256&lt;40,"Young Adult",AND(D256&gt;=40,D256&lt;65),"Middle Aged", D256&gt;=65,"Elderly")</f>
        <v>Middle Aged</v>
      </c>
    </row>
    <row r="257" spans="1:21" x14ac:dyDescent="0.2">
      <c r="A257">
        <v>1097</v>
      </c>
      <c r="B257">
        <f t="shared" si="24"/>
        <v>256</v>
      </c>
      <c r="C257" t="s">
        <v>773</v>
      </c>
      <c r="D257">
        <v>35</v>
      </c>
      <c r="E257" t="s">
        <v>2937</v>
      </c>
      <c r="F257" t="str">
        <f t="shared" si="25"/>
        <v>N/A</v>
      </c>
      <c r="G257" s="1">
        <v>45766</v>
      </c>
      <c r="H257" s="1">
        <v>45758</v>
      </c>
      <c r="I257" t="s">
        <v>774</v>
      </c>
      <c r="J257" t="str">
        <f t="shared" si="26"/>
        <v>Kevin Coleman</v>
      </c>
      <c r="K257" t="s">
        <v>13</v>
      </c>
      <c r="L257" t="str">
        <f t="shared" si="27"/>
        <v>Cardiology</v>
      </c>
      <c r="M257" t="s">
        <v>775</v>
      </c>
      <c r="N257" t="str">
        <f t="shared" si="28"/>
        <v>INR</v>
      </c>
      <c r="O257">
        <f t="shared" si="29"/>
        <v>359.5</v>
      </c>
      <c r="P257" cm="1">
        <f t="array" ref="P257">_xlfn.IFS(N257="USD",O257*1,N257="GBP",O257*1.27,N257="EUR",O257*1.09,N257="INR",O257*0.012,N257="N/A","N/A")</f>
        <v>4.3140000000000001</v>
      </c>
      <c r="Q257" t="s">
        <v>60</v>
      </c>
      <c r="R257" t="str" cm="1">
        <f t="array" ref="R257">_xlfn.IFS(Q257="Y","Yes", Q257="Yes","Yes", Q257="N","No", Q257="No","No", Q257=1,"N/A", Q257=0,"N/A", TRUE,"")</f>
        <v>No</v>
      </c>
      <c r="S257">
        <f t="shared" si="30"/>
        <v>10</v>
      </c>
      <c r="T257">
        <f t="shared" si="31"/>
        <v>1</v>
      </c>
      <c r="U257" t="str" cm="1">
        <f t="array" ref="U257">_xlfn.IFS(D257&lt;40,"Young Adult",AND(D257&gt;=40,D257&lt;65),"Middle Aged", D257&gt;=65,"Elderly")</f>
        <v>Young Adult</v>
      </c>
    </row>
    <row r="258" spans="1:21" x14ac:dyDescent="0.2">
      <c r="A258">
        <v>1062</v>
      </c>
      <c r="B258">
        <f t="shared" si="24"/>
        <v>257</v>
      </c>
      <c r="C258" t="s">
        <v>776</v>
      </c>
      <c r="D258">
        <v>25</v>
      </c>
      <c r="E258" t="s">
        <v>51</v>
      </c>
      <c r="F258" t="str">
        <f t="shared" si="25"/>
        <v>Male</v>
      </c>
      <c r="G258" s="1">
        <v>45936</v>
      </c>
      <c r="H258" s="1">
        <v>45456</v>
      </c>
      <c r="I258" t="s">
        <v>777</v>
      </c>
      <c r="J258" t="str">
        <f t="shared" si="26"/>
        <v>Julie Phillips</v>
      </c>
      <c r="K258" t="s">
        <v>13</v>
      </c>
      <c r="L258" t="str">
        <f t="shared" si="27"/>
        <v>Cardiology</v>
      </c>
      <c r="M258" t="s">
        <v>778</v>
      </c>
      <c r="N258" t="str">
        <f t="shared" si="28"/>
        <v>INR</v>
      </c>
      <c r="O258">
        <f t="shared" si="29"/>
        <v>464.57</v>
      </c>
      <c r="P258" cm="1">
        <f t="array" ref="P258">_xlfn.IFS(N258="USD",O258*1,N258="GBP",O258*1.27,N258="EUR",O258*1.09,N258="INR",O258*0.012,N258="N/A","N/A")</f>
        <v>5.57484</v>
      </c>
      <c r="Q258">
        <v>0</v>
      </c>
      <c r="R258" t="str" cm="1">
        <f t="array" ref="R258">_xlfn.IFS(Q258="Y","Yes", Q258="Yes","Yes", Q258="N","No", Q258="No","No", Q258=1,"N/A", Q258=0,"N/A", TRUE,"")</f>
        <v>N/A</v>
      </c>
      <c r="S258">
        <f t="shared" si="30"/>
        <v>6</v>
      </c>
      <c r="T258">
        <f t="shared" si="31"/>
        <v>1</v>
      </c>
      <c r="U258" t="str" cm="1">
        <f t="array" ref="U258">_xlfn.IFS(D258&lt;40,"Young Adult",AND(D258&gt;=40,D258&lt;65),"Middle Aged", D258&gt;=65,"Elderly")</f>
        <v>Young Adult</v>
      </c>
    </row>
    <row r="259" spans="1:21" x14ac:dyDescent="0.2">
      <c r="A259">
        <v>1056</v>
      </c>
      <c r="B259">
        <f t="shared" ref="B259:B322" si="32">ROW()-1</f>
        <v>258</v>
      </c>
      <c r="C259" t="s">
        <v>779</v>
      </c>
      <c r="D259">
        <v>57</v>
      </c>
      <c r="E259" t="s">
        <v>38</v>
      </c>
      <c r="F259" t="str">
        <f t="shared" ref="F259:F322" si="33">IF(E259="male","Male",IF(E259="female","Female",IF(E259="F","Female",IF(E259="M","Male",IF(E259="N/A","N/A")))))</f>
        <v>Female</v>
      </c>
      <c r="G259" s="1">
        <v>45828</v>
      </c>
      <c r="H259" s="1">
        <v>45701</v>
      </c>
      <c r="I259" t="s">
        <v>780</v>
      </c>
      <c r="J259" t="str">
        <f t="shared" ref="J259:J322" si="34">PROPER(I259)</f>
        <v>Tara Montoya</v>
      </c>
      <c r="K259" t="s">
        <v>24</v>
      </c>
      <c r="L259" t="str">
        <f t="shared" ref="L259:L322" si="35">PROPER(K259)</f>
        <v>Neurology</v>
      </c>
      <c r="M259" t="s">
        <v>781</v>
      </c>
      <c r="N259" t="str">
        <f t="shared" ref="N259:N322" si="36">IF(LEFT(M259,1)="$","USD",IF(LEFT(M259,2)="Rs","INR",IF(LEFT(M259,2)="¬£","GBP",IF(LEFT(M259,3)="‚Ç¨","EUR","N/A"))))</f>
        <v>USD</v>
      </c>
      <c r="O259">
        <f t="shared" ref="O259:O322" si="37">IFERROR(VALUE(SUBSTITUTE(SUBSTITUTE(SUBSTITUTE(SUBSTITUTE(M259,"$",""), "Rs",""),"¬£",""),"‚Ç¨","")), "")</f>
        <v>186.61</v>
      </c>
      <c r="P259" cm="1">
        <f t="array" ref="P259">_xlfn.IFS(N259="USD",O259*1,N259="GBP",O259*1.27,N259="EUR",O259*1.09,N259="INR",O259*0.012,N259="N/A","N/A")</f>
        <v>186.61</v>
      </c>
      <c r="Q259">
        <v>1</v>
      </c>
      <c r="R259" t="str" cm="1">
        <f t="array" ref="R259">_xlfn.IFS(Q259="Y","Yes", Q259="Yes","Yes", Q259="N","No", Q259="No","No", Q259=1,"N/A", Q259=0,"N/A", TRUE,"")</f>
        <v>N/A</v>
      </c>
      <c r="S259">
        <f t="shared" ref="S259:S322" si="38">COUNTIF($A$2:$A$1001, A259)</f>
        <v>13</v>
      </c>
      <c r="T259">
        <f t="shared" ref="T259:T322" si="39">COUNTIFS($A$2:$A$1001, A259, $C$2:$C$1001, C259)</f>
        <v>1</v>
      </c>
      <c r="U259" t="str" cm="1">
        <f t="array" ref="U259">_xlfn.IFS(D259&lt;40,"Young Adult",AND(D259&gt;=40,D259&lt;65),"Middle Aged", D259&gt;=65,"Elderly")</f>
        <v>Middle Aged</v>
      </c>
    </row>
    <row r="260" spans="1:21" x14ac:dyDescent="0.2">
      <c r="A260">
        <v>1058</v>
      </c>
      <c r="B260">
        <f t="shared" si="32"/>
        <v>259</v>
      </c>
      <c r="C260" t="s">
        <v>782</v>
      </c>
      <c r="D260">
        <v>19</v>
      </c>
      <c r="E260" t="s">
        <v>2937</v>
      </c>
      <c r="F260" t="str">
        <f t="shared" si="33"/>
        <v>N/A</v>
      </c>
      <c r="G260" s="1">
        <v>45788</v>
      </c>
      <c r="H260" s="1">
        <v>45749</v>
      </c>
      <c r="I260" t="s">
        <v>783</v>
      </c>
      <c r="J260" t="str">
        <f t="shared" si="34"/>
        <v>Antonio Bryant</v>
      </c>
      <c r="K260" t="s">
        <v>24</v>
      </c>
      <c r="L260" t="str">
        <f t="shared" si="35"/>
        <v>Neurology</v>
      </c>
      <c r="M260" t="s">
        <v>784</v>
      </c>
      <c r="N260" t="str">
        <f t="shared" si="36"/>
        <v>USD</v>
      </c>
      <c r="O260">
        <f t="shared" si="37"/>
        <v>116.69</v>
      </c>
      <c r="P260" cm="1">
        <f t="array" ref="P260">_xlfn.IFS(N260="USD",O260*1,N260="GBP",O260*1.27,N260="EUR",O260*1.09,N260="INR",O260*0.012,N260="N/A","N/A")</f>
        <v>116.69</v>
      </c>
      <c r="Q260" t="s">
        <v>36</v>
      </c>
      <c r="R260" t="str" cm="1">
        <f t="array" ref="R260">_xlfn.IFS(Q260="Y","Yes", Q260="Yes","Yes", Q260="N","No", Q260="No","No", Q260=1,"N/A", Q260=0,"N/A", TRUE,"")</f>
        <v>Yes</v>
      </c>
      <c r="S260">
        <f t="shared" si="38"/>
        <v>17</v>
      </c>
      <c r="T260">
        <f t="shared" si="39"/>
        <v>1</v>
      </c>
      <c r="U260" t="str" cm="1">
        <f t="array" ref="U260">_xlfn.IFS(D260&lt;40,"Young Adult",AND(D260&gt;=40,D260&lt;65),"Middle Aged", D260&gt;=65,"Elderly")</f>
        <v>Young Adult</v>
      </c>
    </row>
    <row r="261" spans="1:21" x14ac:dyDescent="0.2">
      <c r="A261">
        <v>1053</v>
      </c>
      <c r="B261">
        <f t="shared" si="32"/>
        <v>260</v>
      </c>
      <c r="C261" t="s">
        <v>785</v>
      </c>
      <c r="D261">
        <v>30</v>
      </c>
      <c r="E261" t="s">
        <v>38</v>
      </c>
      <c r="F261" t="str">
        <f t="shared" si="33"/>
        <v>Female</v>
      </c>
      <c r="G261" s="1">
        <v>46105</v>
      </c>
      <c r="H261" s="1">
        <v>45377</v>
      </c>
      <c r="I261" t="s">
        <v>786</v>
      </c>
      <c r="J261" t="str">
        <f t="shared" si="34"/>
        <v>Marissa Jacobs</v>
      </c>
      <c r="K261" t="s">
        <v>28</v>
      </c>
      <c r="L261" t="str">
        <f t="shared" si="35"/>
        <v>General</v>
      </c>
      <c r="M261" t="s">
        <v>787</v>
      </c>
      <c r="N261" t="str">
        <f t="shared" si="36"/>
        <v>EUR</v>
      </c>
      <c r="O261">
        <f t="shared" si="37"/>
        <v>218.44</v>
      </c>
      <c r="P261" cm="1">
        <f t="array" ref="P261">_xlfn.IFS(N261="USD",O261*1,N261="GBP",O261*1.27,N261="EUR",O261*1.09,N261="INR",O261*0.012,N261="N/A","N/A")</f>
        <v>238.09960000000001</v>
      </c>
      <c r="Q261">
        <v>0</v>
      </c>
      <c r="R261" t="str" cm="1">
        <f t="array" ref="R261">_xlfn.IFS(Q261="Y","Yes", Q261="Yes","Yes", Q261="N","No", Q261="No","No", Q261=1,"N/A", Q261=0,"N/A", TRUE,"")</f>
        <v>N/A</v>
      </c>
      <c r="S261">
        <f t="shared" si="38"/>
        <v>14</v>
      </c>
      <c r="T261">
        <f t="shared" si="39"/>
        <v>1</v>
      </c>
      <c r="U261" t="str" cm="1">
        <f t="array" ref="U261">_xlfn.IFS(D261&lt;40,"Young Adult",AND(D261&gt;=40,D261&lt;65),"Middle Aged", D261&gt;=65,"Elderly")</f>
        <v>Young Adult</v>
      </c>
    </row>
    <row r="262" spans="1:21" x14ac:dyDescent="0.2">
      <c r="A262">
        <v>1032</v>
      </c>
      <c r="B262">
        <f t="shared" si="32"/>
        <v>261</v>
      </c>
      <c r="C262" t="s">
        <v>788</v>
      </c>
      <c r="D262">
        <v>43</v>
      </c>
      <c r="E262" t="s">
        <v>16</v>
      </c>
      <c r="F262" t="str">
        <f t="shared" si="33"/>
        <v>Female</v>
      </c>
      <c r="G262" s="1">
        <v>45830</v>
      </c>
      <c r="H262" s="1">
        <v>45682</v>
      </c>
      <c r="I262" t="s">
        <v>789</v>
      </c>
      <c r="J262" t="str">
        <f t="shared" si="34"/>
        <v>John Shannon</v>
      </c>
      <c r="K262" t="s">
        <v>24</v>
      </c>
      <c r="L262" t="str">
        <f t="shared" si="35"/>
        <v>Neurology</v>
      </c>
      <c r="M262" t="s">
        <v>790</v>
      </c>
      <c r="N262" t="str">
        <f t="shared" si="36"/>
        <v>EUR</v>
      </c>
      <c r="O262">
        <f t="shared" si="37"/>
        <v>255.67</v>
      </c>
      <c r="P262" cm="1">
        <f t="array" ref="P262">_xlfn.IFS(N262="USD",O262*1,N262="GBP",O262*1.27,N262="EUR",O262*1.09,N262="INR",O262*0.012,N262="N/A","N/A")</f>
        <v>278.68029999999999</v>
      </c>
      <c r="Q262">
        <v>0</v>
      </c>
      <c r="R262" t="str" cm="1">
        <f t="array" ref="R262">_xlfn.IFS(Q262="Y","Yes", Q262="Yes","Yes", Q262="N","No", Q262="No","No", Q262=1,"N/A", Q262=0,"N/A", TRUE,"")</f>
        <v>N/A</v>
      </c>
      <c r="S262">
        <f t="shared" si="38"/>
        <v>7</v>
      </c>
      <c r="T262">
        <f t="shared" si="39"/>
        <v>1</v>
      </c>
      <c r="U262" t="str" cm="1">
        <f t="array" ref="U262">_xlfn.IFS(D262&lt;40,"Young Adult",AND(D262&gt;=40,D262&lt;65),"Middle Aged", D262&gt;=65,"Elderly")</f>
        <v>Middle Aged</v>
      </c>
    </row>
    <row r="263" spans="1:21" x14ac:dyDescent="0.2">
      <c r="A263">
        <v>1049</v>
      </c>
      <c r="B263">
        <f t="shared" si="32"/>
        <v>262</v>
      </c>
      <c r="C263" t="s">
        <v>791</v>
      </c>
      <c r="D263">
        <v>79</v>
      </c>
      <c r="E263" t="s">
        <v>2937</v>
      </c>
      <c r="F263" t="str">
        <f t="shared" si="33"/>
        <v>N/A</v>
      </c>
      <c r="G263" s="1">
        <v>45997</v>
      </c>
      <c r="H263" s="1">
        <v>45544</v>
      </c>
      <c r="I263" t="s">
        <v>792</v>
      </c>
      <c r="J263" t="str">
        <f t="shared" si="34"/>
        <v>Gregg Bennett</v>
      </c>
      <c r="K263" t="s">
        <v>24</v>
      </c>
      <c r="L263" t="str">
        <f t="shared" si="35"/>
        <v>Neurology</v>
      </c>
      <c r="N263" t="str">
        <f t="shared" si="36"/>
        <v>N/A</v>
      </c>
      <c r="O263" t="str">
        <f t="shared" si="37"/>
        <v/>
      </c>
      <c r="P263" t="str" cm="1">
        <f t="array" ref="P263">_xlfn.IFS(N263="USD",O263*1,N263="GBP",O263*1.27,N263="EUR",O263*1.09,N263="INR",O263*0.012,N263="N/A","N/A")</f>
        <v>N/A</v>
      </c>
      <c r="Q263" t="s">
        <v>30</v>
      </c>
      <c r="R263" t="str" cm="1">
        <f t="array" ref="R263">_xlfn.IFS(Q263="Y","Yes", Q263="Yes","Yes", Q263="N","No", Q263="No","No", Q263=1,"N/A", Q263=0,"N/A", TRUE,"")</f>
        <v>No</v>
      </c>
      <c r="S263">
        <f t="shared" si="38"/>
        <v>8</v>
      </c>
      <c r="T263">
        <f t="shared" si="39"/>
        <v>1</v>
      </c>
      <c r="U263" t="str" cm="1">
        <f t="array" ref="U263">_xlfn.IFS(D263&lt;40,"Young Adult",AND(D263&gt;=40,D263&lt;65),"Middle Aged", D263&gt;=65,"Elderly")</f>
        <v>Elderly</v>
      </c>
    </row>
    <row r="264" spans="1:21" x14ac:dyDescent="0.2">
      <c r="A264">
        <v>1068</v>
      </c>
      <c r="B264">
        <f t="shared" si="32"/>
        <v>263</v>
      </c>
      <c r="C264" t="s">
        <v>793</v>
      </c>
      <c r="D264">
        <v>61</v>
      </c>
      <c r="E264" t="s">
        <v>71</v>
      </c>
      <c r="F264" t="str">
        <f t="shared" si="33"/>
        <v>Male</v>
      </c>
      <c r="G264" s="1">
        <v>45950</v>
      </c>
      <c r="H264" s="1">
        <v>45876</v>
      </c>
      <c r="I264" t="s">
        <v>794</v>
      </c>
      <c r="J264" t="str">
        <f t="shared" si="34"/>
        <v>Kyle Phillips</v>
      </c>
      <c r="K264" t="s">
        <v>24</v>
      </c>
      <c r="L264" t="str">
        <f t="shared" si="35"/>
        <v>Neurology</v>
      </c>
      <c r="M264" t="s">
        <v>795</v>
      </c>
      <c r="N264" t="str">
        <f t="shared" si="36"/>
        <v>USD</v>
      </c>
      <c r="O264">
        <f t="shared" si="37"/>
        <v>129.47999999999999</v>
      </c>
      <c r="P264" cm="1">
        <f t="array" ref="P264">_xlfn.IFS(N264="USD",O264*1,N264="GBP",O264*1.27,N264="EUR",O264*1.09,N264="INR",O264*0.012,N264="N/A","N/A")</f>
        <v>129.47999999999999</v>
      </c>
      <c r="Q264" t="s">
        <v>60</v>
      </c>
      <c r="R264" t="str" cm="1">
        <f t="array" ref="R264">_xlfn.IFS(Q264="Y","Yes", Q264="Yes","Yes", Q264="N","No", Q264="No","No", Q264=1,"N/A", Q264=0,"N/A", TRUE,"")</f>
        <v>No</v>
      </c>
      <c r="S264">
        <f t="shared" si="38"/>
        <v>14</v>
      </c>
      <c r="T264">
        <f t="shared" si="39"/>
        <v>1</v>
      </c>
      <c r="U264" t="str" cm="1">
        <f t="array" ref="U264">_xlfn.IFS(D264&lt;40,"Young Adult",AND(D264&gt;=40,D264&lt;65),"Middle Aged", D264&gt;=65,"Elderly")</f>
        <v>Middle Aged</v>
      </c>
    </row>
    <row r="265" spans="1:21" x14ac:dyDescent="0.2">
      <c r="A265">
        <v>1015</v>
      </c>
      <c r="B265">
        <f t="shared" si="32"/>
        <v>264</v>
      </c>
      <c r="C265" t="s">
        <v>796</v>
      </c>
      <c r="D265">
        <v>53</v>
      </c>
      <c r="E265" t="s">
        <v>51</v>
      </c>
      <c r="F265" t="str">
        <f t="shared" si="33"/>
        <v>Male</v>
      </c>
      <c r="G265" s="1">
        <v>45768</v>
      </c>
      <c r="H265" s="1">
        <v>45529</v>
      </c>
      <c r="I265" t="s">
        <v>797</v>
      </c>
      <c r="J265" t="str">
        <f t="shared" si="34"/>
        <v>James Cobb</v>
      </c>
      <c r="K265" t="s">
        <v>28</v>
      </c>
      <c r="L265" t="str">
        <f t="shared" si="35"/>
        <v>General</v>
      </c>
      <c r="M265" t="s">
        <v>798</v>
      </c>
      <c r="N265" t="str">
        <f t="shared" si="36"/>
        <v>INR</v>
      </c>
      <c r="O265">
        <f t="shared" si="37"/>
        <v>299.02999999999997</v>
      </c>
      <c r="P265" cm="1">
        <f t="array" ref="P265">_xlfn.IFS(N265="USD",O265*1,N265="GBP",O265*1.27,N265="EUR",O265*1.09,N265="INR",O265*0.012,N265="N/A","N/A")</f>
        <v>3.5883599999999998</v>
      </c>
      <c r="Q265" t="s">
        <v>30</v>
      </c>
      <c r="R265" t="str" cm="1">
        <f t="array" ref="R265">_xlfn.IFS(Q265="Y","Yes", Q265="Yes","Yes", Q265="N","No", Q265="No","No", Q265=1,"N/A", Q265=0,"N/A", TRUE,"")</f>
        <v>No</v>
      </c>
      <c r="S265">
        <f t="shared" si="38"/>
        <v>17</v>
      </c>
      <c r="T265">
        <f t="shared" si="39"/>
        <v>1</v>
      </c>
      <c r="U265" t="str" cm="1">
        <f t="array" ref="U265">_xlfn.IFS(D265&lt;40,"Young Adult",AND(D265&gt;=40,D265&lt;65),"Middle Aged", D265&gt;=65,"Elderly")</f>
        <v>Middle Aged</v>
      </c>
    </row>
    <row r="266" spans="1:21" x14ac:dyDescent="0.2">
      <c r="A266">
        <v>1090</v>
      </c>
      <c r="B266">
        <f t="shared" si="32"/>
        <v>265</v>
      </c>
      <c r="C266" t="s">
        <v>799</v>
      </c>
      <c r="D266">
        <v>70</v>
      </c>
      <c r="E266" t="s">
        <v>38</v>
      </c>
      <c r="F266" t="str">
        <f t="shared" si="33"/>
        <v>Female</v>
      </c>
      <c r="G266" s="1">
        <v>46000</v>
      </c>
      <c r="H266" s="1">
        <v>45612</v>
      </c>
      <c r="I266" t="s">
        <v>800</v>
      </c>
      <c r="J266" t="str">
        <f t="shared" si="34"/>
        <v>Jacob Townsend</v>
      </c>
      <c r="K266" t="s">
        <v>18</v>
      </c>
      <c r="L266" t="str">
        <f t="shared" si="35"/>
        <v>Orthopedics</v>
      </c>
      <c r="M266" t="s">
        <v>801</v>
      </c>
      <c r="N266" t="str">
        <f t="shared" si="36"/>
        <v>INR</v>
      </c>
      <c r="O266">
        <f t="shared" si="37"/>
        <v>459.66</v>
      </c>
      <c r="P266" cm="1">
        <f t="array" ref="P266">_xlfn.IFS(N266="USD",O266*1,N266="GBP",O266*1.27,N266="EUR",O266*1.09,N266="INR",O266*0.012,N266="N/A","N/A")</f>
        <v>5.5159200000000004</v>
      </c>
      <c r="Q266" t="s">
        <v>20</v>
      </c>
      <c r="R266" t="str" cm="1">
        <f t="array" ref="R266">_xlfn.IFS(Q266="Y","Yes", Q266="Yes","Yes", Q266="N","No", Q266="No","No", Q266=1,"N/A", Q266=0,"N/A", TRUE,"")</f>
        <v>Yes</v>
      </c>
      <c r="S266">
        <f t="shared" si="38"/>
        <v>8</v>
      </c>
      <c r="T266">
        <f t="shared" si="39"/>
        <v>1</v>
      </c>
      <c r="U266" t="str" cm="1">
        <f t="array" ref="U266">_xlfn.IFS(D266&lt;40,"Young Adult",AND(D266&gt;=40,D266&lt;65),"Middle Aged", D266&gt;=65,"Elderly")</f>
        <v>Elderly</v>
      </c>
    </row>
    <row r="267" spans="1:21" x14ac:dyDescent="0.2">
      <c r="A267">
        <v>1086</v>
      </c>
      <c r="B267">
        <f t="shared" si="32"/>
        <v>266</v>
      </c>
      <c r="C267" t="s">
        <v>802</v>
      </c>
      <c r="D267">
        <v>72</v>
      </c>
      <c r="E267" t="s">
        <v>2937</v>
      </c>
      <c r="F267" t="str">
        <f t="shared" si="33"/>
        <v>N/A</v>
      </c>
      <c r="G267" s="1">
        <v>46091</v>
      </c>
      <c r="H267" s="1">
        <v>45952</v>
      </c>
      <c r="I267" t="s">
        <v>803</v>
      </c>
      <c r="J267" t="str">
        <f t="shared" si="34"/>
        <v>Miguel Hayes</v>
      </c>
      <c r="K267" t="s">
        <v>18</v>
      </c>
      <c r="L267" t="str">
        <f t="shared" si="35"/>
        <v>Orthopedics</v>
      </c>
      <c r="M267" t="s">
        <v>804</v>
      </c>
      <c r="N267" t="str">
        <f t="shared" si="36"/>
        <v>GBP</v>
      </c>
      <c r="O267">
        <f t="shared" si="37"/>
        <v>403.61</v>
      </c>
      <c r="P267" cm="1">
        <f t="array" ref="P267">_xlfn.IFS(N267="USD",O267*1,N267="GBP",O267*1.27,N267="EUR",O267*1.09,N267="INR",O267*0.012,N267="N/A","N/A")</f>
        <v>512.5847</v>
      </c>
      <c r="Q267">
        <v>0</v>
      </c>
      <c r="R267" t="str" cm="1">
        <f t="array" ref="R267">_xlfn.IFS(Q267="Y","Yes", Q267="Yes","Yes", Q267="N","No", Q267="No","No", Q267=1,"N/A", Q267=0,"N/A", TRUE,"")</f>
        <v>N/A</v>
      </c>
      <c r="S267">
        <f t="shared" si="38"/>
        <v>9</v>
      </c>
      <c r="T267">
        <f t="shared" si="39"/>
        <v>1</v>
      </c>
      <c r="U267" t="str" cm="1">
        <f t="array" ref="U267">_xlfn.IFS(D267&lt;40,"Young Adult",AND(D267&gt;=40,D267&lt;65),"Middle Aged", D267&gt;=65,"Elderly")</f>
        <v>Elderly</v>
      </c>
    </row>
    <row r="268" spans="1:21" x14ac:dyDescent="0.2">
      <c r="A268">
        <v>1088</v>
      </c>
      <c r="B268">
        <f t="shared" si="32"/>
        <v>267</v>
      </c>
      <c r="C268" t="s">
        <v>805</v>
      </c>
      <c r="D268">
        <v>49</v>
      </c>
      <c r="E268" t="s">
        <v>38</v>
      </c>
      <c r="F268" t="str">
        <f t="shared" si="33"/>
        <v>Female</v>
      </c>
      <c r="G268" s="1">
        <v>45915</v>
      </c>
      <c r="H268" s="1">
        <v>45687</v>
      </c>
      <c r="I268" t="s">
        <v>806</v>
      </c>
      <c r="J268" t="str">
        <f t="shared" si="34"/>
        <v>Peter Wells</v>
      </c>
      <c r="K268" t="s">
        <v>28</v>
      </c>
      <c r="L268" t="str">
        <f t="shared" si="35"/>
        <v>General</v>
      </c>
      <c r="M268" t="s">
        <v>807</v>
      </c>
      <c r="N268" t="str">
        <f t="shared" si="36"/>
        <v>GBP</v>
      </c>
      <c r="O268">
        <f t="shared" si="37"/>
        <v>241.48</v>
      </c>
      <c r="P268" cm="1">
        <f t="array" ref="P268">_xlfn.IFS(N268="USD",O268*1,N268="GBP",O268*1.27,N268="EUR",O268*1.09,N268="INR",O268*0.012,N268="N/A","N/A")</f>
        <v>306.67959999999999</v>
      </c>
      <c r="Q268" t="s">
        <v>20</v>
      </c>
      <c r="R268" t="str" cm="1">
        <f t="array" ref="R268">_xlfn.IFS(Q268="Y","Yes", Q268="Yes","Yes", Q268="N","No", Q268="No","No", Q268=1,"N/A", Q268=0,"N/A", TRUE,"")</f>
        <v>Yes</v>
      </c>
      <c r="S268">
        <f t="shared" si="38"/>
        <v>16</v>
      </c>
      <c r="T268">
        <f t="shared" si="39"/>
        <v>1</v>
      </c>
      <c r="U268" t="str" cm="1">
        <f t="array" ref="U268">_xlfn.IFS(D268&lt;40,"Young Adult",AND(D268&gt;=40,D268&lt;65),"Middle Aged", D268&gt;=65,"Elderly")</f>
        <v>Middle Aged</v>
      </c>
    </row>
    <row r="269" spans="1:21" x14ac:dyDescent="0.2">
      <c r="A269">
        <v>1034</v>
      </c>
      <c r="B269">
        <f t="shared" si="32"/>
        <v>268</v>
      </c>
      <c r="C269" t="s">
        <v>808</v>
      </c>
      <c r="D269">
        <v>44</v>
      </c>
      <c r="E269" t="s">
        <v>2937</v>
      </c>
      <c r="F269" t="str">
        <f t="shared" si="33"/>
        <v>N/A</v>
      </c>
      <c r="G269" s="1">
        <v>45854</v>
      </c>
      <c r="H269" s="1">
        <v>45820</v>
      </c>
      <c r="I269" t="s">
        <v>809</v>
      </c>
      <c r="J269" t="str">
        <f t="shared" si="34"/>
        <v>Karen Martin</v>
      </c>
      <c r="K269" t="s">
        <v>24</v>
      </c>
      <c r="L269" t="str">
        <f t="shared" si="35"/>
        <v>Neurology</v>
      </c>
      <c r="M269" t="s">
        <v>810</v>
      </c>
      <c r="N269" t="str">
        <f t="shared" si="36"/>
        <v>USD</v>
      </c>
      <c r="O269">
        <f t="shared" si="37"/>
        <v>417.38</v>
      </c>
      <c r="P269" cm="1">
        <f t="array" ref="P269">_xlfn.IFS(N269="USD",O269*1,N269="GBP",O269*1.27,N269="EUR",O269*1.09,N269="INR",O269*0.012,N269="N/A","N/A")</f>
        <v>417.38</v>
      </c>
      <c r="Q269" t="s">
        <v>36</v>
      </c>
      <c r="R269" t="str" cm="1">
        <f t="array" ref="R269">_xlfn.IFS(Q269="Y","Yes", Q269="Yes","Yes", Q269="N","No", Q269="No","No", Q269=1,"N/A", Q269=0,"N/A", TRUE,"")</f>
        <v>Yes</v>
      </c>
      <c r="S269">
        <f t="shared" si="38"/>
        <v>8</v>
      </c>
      <c r="T269">
        <f t="shared" si="39"/>
        <v>1</v>
      </c>
      <c r="U269" t="str" cm="1">
        <f t="array" ref="U269">_xlfn.IFS(D269&lt;40,"Young Adult",AND(D269&gt;=40,D269&lt;65),"Middle Aged", D269&gt;=65,"Elderly")</f>
        <v>Middle Aged</v>
      </c>
    </row>
    <row r="270" spans="1:21" x14ac:dyDescent="0.2">
      <c r="A270">
        <v>1070</v>
      </c>
      <c r="B270">
        <f t="shared" si="32"/>
        <v>269</v>
      </c>
      <c r="C270" t="s">
        <v>811</v>
      </c>
      <c r="D270">
        <v>68</v>
      </c>
      <c r="E270" t="s">
        <v>38</v>
      </c>
      <c r="F270" t="str">
        <f t="shared" si="33"/>
        <v>Female</v>
      </c>
      <c r="G270" s="1">
        <v>45807</v>
      </c>
      <c r="H270" s="1">
        <v>45426</v>
      </c>
      <c r="I270" t="s">
        <v>812</v>
      </c>
      <c r="J270" t="str">
        <f t="shared" si="34"/>
        <v>Rachel Allen</v>
      </c>
      <c r="K270" t="s">
        <v>28</v>
      </c>
      <c r="L270" t="str">
        <f t="shared" si="35"/>
        <v>General</v>
      </c>
      <c r="M270" t="s">
        <v>813</v>
      </c>
      <c r="N270" t="str">
        <f t="shared" si="36"/>
        <v>INR</v>
      </c>
      <c r="O270">
        <f t="shared" si="37"/>
        <v>390.97</v>
      </c>
      <c r="P270" cm="1">
        <f t="array" ref="P270">_xlfn.IFS(N270="USD",O270*1,N270="GBP",O270*1.27,N270="EUR",O270*1.09,N270="INR",O270*0.012,N270="N/A","N/A")</f>
        <v>4.6916400000000005</v>
      </c>
      <c r="Q270" t="s">
        <v>36</v>
      </c>
      <c r="R270" t="str" cm="1">
        <f t="array" ref="R270">_xlfn.IFS(Q270="Y","Yes", Q270="Yes","Yes", Q270="N","No", Q270="No","No", Q270=1,"N/A", Q270=0,"N/A", TRUE,"")</f>
        <v>Yes</v>
      </c>
      <c r="S270">
        <f t="shared" si="38"/>
        <v>13</v>
      </c>
      <c r="T270">
        <f t="shared" si="39"/>
        <v>1</v>
      </c>
      <c r="U270" t="str" cm="1">
        <f t="array" ref="U270">_xlfn.IFS(D270&lt;40,"Young Adult",AND(D270&gt;=40,D270&lt;65),"Middle Aged", D270&gt;=65,"Elderly")</f>
        <v>Elderly</v>
      </c>
    </row>
    <row r="271" spans="1:21" x14ac:dyDescent="0.2">
      <c r="A271">
        <v>1032</v>
      </c>
      <c r="B271">
        <f t="shared" si="32"/>
        <v>270</v>
      </c>
      <c r="C271" t="s">
        <v>814</v>
      </c>
      <c r="D271">
        <v>88</v>
      </c>
      <c r="E271" t="s">
        <v>22</v>
      </c>
      <c r="F271" t="str">
        <f t="shared" si="33"/>
        <v>Male</v>
      </c>
      <c r="G271" s="1">
        <v>46044</v>
      </c>
      <c r="H271" s="1">
        <v>45389</v>
      </c>
      <c r="I271" t="s">
        <v>815</v>
      </c>
      <c r="J271" t="str">
        <f t="shared" si="34"/>
        <v>Alexander Horton</v>
      </c>
      <c r="K271" t="s">
        <v>28</v>
      </c>
      <c r="L271" t="str">
        <f t="shared" si="35"/>
        <v>General</v>
      </c>
      <c r="M271" t="s">
        <v>816</v>
      </c>
      <c r="N271" t="str">
        <f t="shared" si="36"/>
        <v>INR</v>
      </c>
      <c r="O271">
        <f t="shared" si="37"/>
        <v>100.2</v>
      </c>
      <c r="P271" cm="1">
        <f t="array" ref="P271">_xlfn.IFS(N271="USD",O271*1,N271="GBP",O271*1.27,N271="EUR",O271*1.09,N271="INR",O271*0.012,N271="N/A","N/A")</f>
        <v>1.2024000000000001</v>
      </c>
      <c r="Q271" t="s">
        <v>30</v>
      </c>
      <c r="R271" t="str" cm="1">
        <f t="array" ref="R271">_xlfn.IFS(Q271="Y","Yes", Q271="Yes","Yes", Q271="N","No", Q271="No","No", Q271=1,"N/A", Q271=0,"N/A", TRUE,"")</f>
        <v>No</v>
      </c>
      <c r="S271">
        <f t="shared" si="38"/>
        <v>7</v>
      </c>
      <c r="T271">
        <f t="shared" si="39"/>
        <v>1</v>
      </c>
      <c r="U271" t="str" cm="1">
        <f t="array" ref="U271">_xlfn.IFS(D271&lt;40,"Young Adult",AND(D271&gt;=40,D271&lt;65),"Middle Aged", D271&gt;=65,"Elderly")</f>
        <v>Elderly</v>
      </c>
    </row>
    <row r="272" spans="1:21" x14ac:dyDescent="0.2">
      <c r="A272">
        <v>1036</v>
      </c>
      <c r="B272">
        <f t="shared" si="32"/>
        <v>271</v>
      </c>
      <c r="C272" t="s">
        <v>817</v>
      </c>
      <c r="D272">
        <v>75</v>
      </c>
      <c r="E272" t="s">
        <v>2937</v>
      </c>
      <c r="F272" t="str">
        <f t="shared" si="33"/>
        <v>N/A</v>
      </c>
      <c r="G272" s="1">
        <v>46076</v>
      </c>
      <c r="H272" s="1">
        <v>45581</v>
      </c>
      <c r="I272" t="s">
        <v>818</v>
      </c>
      <c r="J272" t="str">
        <f t="shared" si="34"/>
        <v>Kathryn Hooper</v>
      </c>
      <c r="K272" t="s">
        <v>13</v>
      </c>
      <c r="L272" t="str">
        <f t="shared" si="35"/>
        <v>Cardiology</v>
      </c>
      <c r="M272" t="s">
        <v>819</v>
      </c>
      <c r="N272" t="str">
        <f t="shared" si="36"/>
        <v>GBP</v>
      </c>
      <c r="O272">
        <f t="shared" si="37"/>
        <v>462.97</v>
      </c>
      <c r="P272" cm="1">
        <f t="array" ref="P272">_xlfn.IFS(N272="USD",O272*1,N272="GBP",O272*1.27,N272="EUR",O272*1.09,N272="INR",O272*0.012,N272="N/A","N/A")</f>
        <v>587.97190000000001</v>
      </c>
      <c r="Q272" t="s">
        <v>60</v>
      </c>
      <c r="R272" t="str" cm="1">
        <f t="array" ref="R272">_xlfn.IFS(Q272="Y","Yes", Q272="Yes","Yes", Q272="N","No", Q272="No","No", Q272=1,"N/A", Q272=0,"N/A", TRUE,"")</f>
        <v>No</v>
      </c>
      <c r="S272">
        <f t="shared" si="38"/>
        <v>14</v>
      </c>
      <c r="T272">
        <f t="shared" si="39"/>
        <v>1</v>
      </c>
      <c r="U272" t="str" cm="1">
        <f t="array" ref="U272">_xlfn.IFS(D272&lt;40,"Young Adult",AND(D272&gt;=40,D272&lt;65),"Middle Aged", D272&gt;=65,"Elderly")</f>
        <v>Elderly</v>
      </c>
    </row>
    <row r="273" spans="1:21" x14ac:dyDescent="0.2">
      <c r="A273">
        <v>1098</v>
      </c>
      <c r="B273">
        <f t="shared" si="32"/>
        <v>272</v>
      </c>
      <c r="C273" t="s">
        <v>820</v>
      </c>
      <c r="D273">
        <v>88</v>
      </c>
      <c r="E273" t="s">
        <v>38</v>
      </c>
      <c r="F273" t="str">
        <f t="shared" si="33"/>
        <v>Female</v>
      </c>
      <c r="G273" s="1">
        <v>46067</v>
      </c>
      <c r="H273" s="1">
        <v>45653</v>
      </c>
      <c r="I273" t="s">
        <v>821</v>
      </c>
      <c r="J273" t="str">
        <f t="shared" si="34"/>
        <v>Tamara Thompson</v>
      </c>
      <c r="K273" t="s">
        <v>18</v>
      </c>
      <c r="L273" t="str">
        <f t="shared" si="35"/>
        <v>Orthopedics</v>
      </c>
      <c r="M273" t="s">
        <v>822</v>
      </c>
      <c r="N273" t="str">
        <f t="shared" si="36"/>
        <v>USD</v>
      </c>
      <c r="O273">
        <f t="shared" si="37"/>
        <v>481.92</v>
      </c>
      <c r="P273" cm="1">
        <f t="array" ref="P273">_xlfn.IFS(N273="USD",O273*1,N273="GBP",O273*1.27,N273="EUR",O273*1.09,N273="INR",O273*0.012,N273="N/A","N/A")</f>
        <v>481.92</v>
      </c>
      <c r="Q273">
        <v>0</v>
      </c>
      <c r="R273" t="str" cm="1">
        <f t="array" ref="R273">_xlfn.IFS(Q273="Y","Yes", Q273="Yes","Yes", Q273="N","No", Q273="No","No", Q273=1,"N/A", Q273=0,"N/A", TRUE,"")</f>
        <v>N/A</v>
      </c>
      <c r="S273">
        <f t="shared" si="38"/>
        <v>12</v>
      </c>
      <c r="T273">
        <f t="shared" si="39"/>
        <v>1</v>
      </c>
      <c r="U273" t="str" cm="1">
        <f t="array" ref="U273">_xlfn.IFS(D273&lt;40,"Young Adult",AND(D273&gt;=40,D273&lt;65),"Middle Aged", D273&gt;=65,"Elderly")</f>
        <v>Elderly</v>
      </c>
    </row>
    <row r="274" spans="1:21" x14ac:dyDescent="0.2">
      <c r="A274">
        <v>1071</v>
      </c>
      <c r="B274">
        <f t="shared" si="32"/>
        <v>273</v>
      </c>
      <c r="C274" t="s">
        <v>823</v>
      </c>
      <c r="D274">
        <v>49</v>
      </c>
      <c r="E274" t="s">
        <v>71</v>
      </c>
      <c r="F274" t="str">
        <f t="shared" si="33"/>
        <v>Male</v>
      </c>
      <c r="G274" s="1">
        <v>45801</v>
      </c>
      <c r="H274" s="1">
        <v>45636</v>
      </c>
      <c r="I274" t="s">
        <v>824</v>
      </c>
      <c r="J274" t="str">
        <f t="shared" si="34"/>
        <v>Ryan Lopez</v>
      </c>
      <c r="K274" t="s">
        <v>18</v>
      </c>
      <c r="L274" t="str">
        <f t="shared" si="35"/>
        <v>Orthopedics</v>
      </c>
      <c r="M274" t="s">
        <v>825</v>
      </c>
      <c r="N274" t="str">
        <f t="shared" si="36"/>
        <v>GBP</v>
      </c>
      <c r="O274">
        <f t="shared" si="37"/>
        <v>350.41</v>
      </c>
      <c r="P274" cm="1">
        <f t="array" ref="P274">_xlfn.IFS(N274="USD",O274*1,N274="GBP",O274*1.27,N274="EUR",O274*1.09,N274="INR",O274*0.012,N274="N/A","N/A")</f>
        <v>445.02070000000003</v>
      </c>
      <c r="Q274" t="s">
        <v>60</v>
      </c>
      <c r="R274" t="str" cm="1">
        <f t="array" ref="R274">_xlfn.IFS(Q274="Y","Yes", Q274="Yes","Yes", Q274="N","No", Q274="No","No", Q274=1,"N/A", Q274=0,"N/A", TRUE,"")</f>
        <v>No</v>
      </c>
      <c r="S274">
        <f t="shared" si="38"/>
        <v>10</v>
      </c>
      <c r="T274">
        <f t="shared" si="39"/>
        <v>1</v>
      </c>
      <c r="U274" t="str" cm="1">
        <f t="array" ref="U274">_xlfn.IFS(D274&lt;40,"Young Adult",AND(D274&gt;=40,D274&lt;65),"Middle Aged", D274&gt;=65,"Elderly")</f>
        <v>Middle Aged</v>
      </c>
    </row>
    <row r="275" spans="1:21" x14ac:dyDescent="0.2">
      <c r="A275">
        <v>1054</v>
      </c>
      <c r="B275">
        <f t="shared" si="32"/>
        <v>274</v>
      </c>
      <c r="C275" t="s">
        <v>826</v>
      </c>
      <c r="D275">
        <v>82</v>
      </c>
      <c r="E275" t="s">
        <v>2937</v>
      </c>
      <c r="F275" t="str">
        <f t="shared" si="33"/>
        <v>N/A</v>
      </c>
      <c r="G275" s="1">
        <v>45984</v>
      </c>
      <c r="H275" s="1">
        <v>45633</v>
      </c>
      <c r="I275" t="s">
        <v>827</v>
      </c>
      <c r="J275" t="str">
        <f t="shared" si="34"/>
        <v>Kenneth Turner</v>
      </c>
      <c r="K275" t="s">
        <v>13</v>
      </c>
      <c r="L275" t="str">
        <f t="shared" si="35"/>
        <v>Cardiology</v>
      </c>
      <c r="M275" t="s">
        <v>828</v>
      </c>
      <c r="N275" t="str">
        <f t="shared" si="36"/>
        <v>INR</v>
      </c>
      <c r="O275">
        <f t="shared" si="37"/>
        <v>392.87</v>
      </c>
      <c r="P275" cm="1">
        <f t="array" ref="P275">_xlfn.IFS(N275="USD",O275*1,N275="GBP",O275*1.27,N275="EUR",O275*1.09,N275="INR",O275*0.012,N275="N/A","N/A")</f>
        <v>4.7144399999999997</v>
      </c>
      <c r="Q275" t="s">
        <v>36</v>
      </c>
      <c r="R275" t="str" cm="1">
        <f t="array" ref="R275">_xlfn.IFS(Q275="Y","Yes", Q275="Yes","Yes", Q275="N","No", Q275="No","No", Q275=1,"N/A", Q275=0,"N/A", TRUE,"")</f>
        <v>Yes</v>
      </c>
      <c r="S275">
        <f t="shared" si="38"/>
        <v>12</v>
      </c>
      <c r="T275">
        <f t="shared" si="39"/>
        <v>1</v>
      </c>
      <c r="U275" t="str" cm="1">
        <f t="array" ref="U275">_xlfn.IFS(D275&lt;40,"Young Adult",AND(D275&gt;=40,D275&lt;65),"Middle Aged", D275&gt;=65,"Elderly")</f>
        <v>Elderly</v>
      </c>
    </row>
    <row r="276" spans="1:21" x14ac:dyDescent="0.2">
      <c r="A276">
        <v>1054</v>
      </c>
      <c r="B276">
        <f t="shared" si="32"/>
        <v>275</v>
      </c>
      <c r="C276" t="s">
        <v>829</v>
      </c>
      <c r="D276">
        <v>62</v>
      </c>
      <c r="E276" t="s">
        <v>71</v>
      </c>
      <c r="F276" t="str">
        <f t="shared" si="33"/>
        <v>Male</v>
      </c>
      <c r="G276" s="1">
        <v>46038</v>
      </c>
      <c r="H276" s="1">
        <v>45852</v>
      </c>
      <c r="I276" t="s">
        <v>830</v>
      </c>
      <c r="J276" t="str">
        <f t="shared" si="34"/>
        <v>Stacey Miller</v>
      </c>
      <c r="K276" t="s">
        <v>18</v>
      </c>
      <c r="L276" t="str">
        <f t="shared" si="35"/>
        <v>Orthopedics</v>
      </c>
      <c r="N276" t="str">
        <f t="shared" si="36"/>
        <v>N/A</v>
      </c>
      <c r="O276" t="str">
        <f t="shared" si="37"/>
        <v/>
      </c>
      <c r="P276" t="str" cm="1">
        <f t="array" ref="P276">_xlfn.IFS(N276="USD",O276*1,N276="GBP",O276*1.27,N276="EUR",O276*1.09,N276="INR",O276*0.012,N276="N/A","N/A")</f>
        <v>N/A</v>
      </c>
      <c r="Q276" t="s">
        <v>30</v>
      </c>
      <c r="R276" t="str" cm="1">
        <f t="array" ref="R276">_xlfn.IFS(Q276="Y","Yes", Q276="Yes","Yes", Q276="N","No", Q276="No","No", Q276=1,"N/A", Q276=0,"N/A", TRUE,"")</f>
        <v>No</v>
      </c>
      <c r="S276">
        <f t="shared" si="38"/>
        <v>12</v>
      </c>
      <c r="T276">
        <f t="shared" si="39"/>
        <v>1</v>
      </c>
      <c r="U276" t="str" cm="1">
        <f t="array" ref="U276">_xlfn.IFS(D276&lt;40,"Young Adult",AND(D276&gt;=40,D276&lt;65),"Middle Aged", D276&gt;=65,"Elderly")</f>
        <v>Middle Aged</v>
      </c>
    </row>
    <row r="277" spans="1:21" x14ac:dyDescent="0.2">
      <c r="A277">
        <v>1090</v>
      </c>
      <c r="B277">
        <f t="shared" si="32"/>
        <v>276</v>
      </c>
      <c r="C277" t="s">
        <v>831</v>
      </c>
      <c r="D277">
        <v>55</v>
      </c>
      <c r="E277" t="s">
        <v>2937</v>
      </c>
      <c r="F277" t="str">
        <f t="shared" si="33"/>
        <v>N/A</v>
      </c>
      <c r="G277" s="1">
        <v>45921</v>
      </c>
      <c r="H277" s="1">
        <v>45461</v>
      </c>
      <c r="I277" t="s">
        <v>832</v>
      </c>
      <c r="J277" t="str">
        <f t="shared" si="34"/>
        <v>Isabel Harris</v>
      </c>
      <c r="K277" t="s">
        <v>18</v>
      </c>
      <c r="L277" t="str">
        <f t="shared" si="35"/>
        <v>Orthopedics</v>
      </c>
      <c r="M277" t="s">
        <v>833</v>
      </c>
      <c r="N277" t="str">
        <f t="shared" si="36"/>
        <v>USD</v>
      </c>
      <c r="O277">
        <f t="shared" si="37"/>
        <v>202.41</v>
      </c>
      <c r="P277" cm="1">
        <f t="array" ref="P277">_xlfn.IFS(N277="USD",O277*1,N277="GBP",O277*1.27,N277="EUR",O277*1.09,N277="INR",O277*0.012,N277="N/A","N/A")</f>
        <v>202.41</v>
      </c>
      <c r="Q277">
        <v>0</v>
      </c>
      <c r="R277" t="str" cm="1">
        <f t="array" ref="R277">_xlfn.IFS(Q277="Y","Yes", Q277="Yes","Yes", Q277="N","No", Q277="No","No", Q277=1,"N/A", Q277=0,"N/A", TRUE,"")</f>
        <v>N/A</v>
      </c>
      <c r="S277">
        <f t="shared" si="38"/>
        <v>8</v>
      </c>
      <c r="T277">
        <f t="shared" si="39"/>
        <v>1</v>
      </c>
      <c r="U277" t="str" cm="1">
        <f t="array" ref="U277">_xlfn.IFS(D277&lt;40,"Young Adult",AND(D277&gt;=40,D277&lt;65),"Middle Aged", D277&gt;=65,"Elderly")</f>
        <v>Middle Aged</v>
      </c>
    </row>
    <row r="278" spans="1:21" x14ac:dyDescent="0.2">
      <c r="A278">
        <v>1027</v>
      </c>
      <c r="B278">
        <f t="shared" si="32"/>
        <v>277</v>
      </c>
      <c r="C278" t="s">
        <v>834</v>
      </c>
      <c r="D278">
        <v>83</v>
      </c>
      <c r="E278" t="s">
        <v>2937</v>
      </c>
      <c r="F278" t="str">
        <f t="shared" si="33"/>
        <v>N/A</v>
      </c>
      <c r="G278" s="1">
        <v>45834</v>
      </c>
      <c r="H278" s="1">
        <v>45820</v>
      </c>
      <c r="I278" t="s">
        <v>835</v>
      </c>
      <c r="J278" t="str">
        <f t="shared" si="34"/>
        <v>Mary Thompson</v>
      </c>
      <c r="K278" t="s">
        <v>24</v>
      </c>
      <c r="L278" t="str">
        <f t="shared" si="35"/>
        <v>Neurology</v>
      </c>
      <c r="M278" t="s">
        <v>836</v>
      </c>
      <c r="N278" t="str">
        <f t="shared" si="36"/>
        <v>USD</v>
      </c>
      <c r="O278">
        <f t="shared" si="37"/>
        <v>225.1</v>
      </c>
      <c r="P278" cm="1">
        <f t="array" ref="P278">_xlfn.IFS(N278="USD",O278*1,N278="GBP",O278*1.27,N278="EUR",O278*1.09,N278="INR",O278*0.012,N278="N/A","N/A")</f>
        <v>225.1</v>
      </c>
      <c r="Q278" t="s">
        <v>36</v>
      </c>
      <c r="R278" t="str" cm="1">
        <f t="array" ref="R278">_xlfn.IFS(Q278="Y","Yes", Q278="Yes","Yes", Q278="N","No", Q278="No","No", Q278=1,"N/A", Q278=0,"N/A", TRUE,"")</f>
        <v>Yes</v>
      </c>
      <c r="S278">
        <f t="shared" si="38"/>
        <v>12</v>
      </c>
      <c r="T278">
        <f t="shared" si="39"/>
        <v>1</v>
      </c>
      <c r="U278" t="str" cm="1">
        <f t="array" ref="U278">_xlfn.IFS(D278&lt;40,"Young Adult",AND(D278&gt;=40,D278&lt;65),"Middle Aged", D278&gt;=65,"Elderly")</f>
        <v>Elderly</v>
      </c>
    </row>
    <row r="279" spans="1:21" x14ac:dyDescent="0.2">
      <c r="A279">
        <v>1017</v>
      </c>
      <c r="B279">
        <f t="shared" si="32"/>
        <v>278</v>
      </c>
      <c r="C279" t="s">
        <v>837</v>
      </c>
      <c r="D279">
        <v>86</v>
      </c>
      <c r="E279" t="s">
        <v>16</v>
      </c>
      <c r="F279" t="str">
        <f t="shared" si="33"/>
        <v>Female</v>
      </c>
      <c r="G279" s="1">
        <v>45805</v>
      </c>
      <c r="H279" s="1">
        <v>45483</v>
      </c>
      <c r="I279" t="s">
        <v>838</v>
      </c>
      <c r="J279" t="str">
        <f t="shared" si="34"/>
        <v>Sarah Holder</v>
      </c>
      <c r="K279" t="s">
        <v>13</v>
      </c>
      <c r="L279" t="str">
        <f t="shared" si="35"/>
        <v>Cardiology</v>
      </c>
      <c r="N279" t="str">
        <f t="shared" si="36"/>
        <v>N/A</v>
      </c>
      <c r="O279" t="str">
        <f t="shared" si="37"/>
        <v/>
      </c>
      <c r="P279" t="str" cm="1">
        <f t="array" ref="P279">_xlfn.IFS(N279="USD",O279*1,N279="GBP",O279*1.27,N279="EUR",O279*1.09,N279="INR",O279*0.012,N279="N/A","N/A")</f>
        <v>N/A</v>
      </c>
      <c r="Q279">
        <v>1</v>
      </c>
      <c r="R279" t="str" cm="1">
        <f t="array" ref="R279">_xlfn.IFS(Q279="Y","Yes", Q279="Yes","Yes", Q279="N","No", Q279="No","No", Q279=1,"N/A", Q279=0,"N/A", TRUE,"")</f>
        <v>N/A</v>
      </c>
      <c r="S279">
        <f t="shared" si="38"/>
        <v>8</v>
      </c>
      <c r="T279">
        <f t="shared" si="39"/>
        <v>1</v>
      </c>
      <c r="U279" t="str" cm="1">
        <f t="array" ref="U279">_xlfn.IFS(D279&lt;40,"Young Adult",AND(D279&gt;=40,D279&lt;65),"Middle Aged", D279&gt;=65,"Elderly")</f>
        <v>Elderly</v>
      </c>
    </row>
    <row r="280" spans="1:21" x14ac:dyDescent="0.2">
      <c r="A280">
        <v>1027</v>
      </c>
      <c r="B280">
        <f t="shared" si="32"/>
        <v>279</v>
      </c>
      <c r="C280" t="s">
        <v>839</v>
      </c>
      <c r="D280">
        <v>77</v>
      </c>
      <c r="E280" t="s">
        <v>38</v>
      </c>
      <c r="F280" t="str">
        <f t="shared" si="33"/>
        <v>Female</v>
      </c>
      <c r="G280" s="1">
        <v>45919</v>
      </c>
      <c r="H280" s="1">
        <v>45524</v>
      </c>
      <c r="I280" t="s">
        <v>840</v>
      </c>
      <c r="J280" t="str">
        <f t="shared" si="34"/>
        <v>Michael Duke</v>
      </c>
      <c r="K280" t="s">
        <v>13</v>
      </c>
      <c r="L280" t="str">
        <f t="shared" si="35"/>
        <v>Cardiology</v>
      </c>
      <c r="M280" t="s">
        <v>841</v>
      </c>
      <c r="N280" t="str">
        <f t="shared" si="36"/>
        <v>EUR</v>
      </c>
      <c r="O280">
        <f t="shared" si="37"/>
        <v>400.01</v>
      </c>
      <c r="P280" cm="1">
        <f t="array" ref="P280">_xlfn.IFS(N280="USD",O280*1,N280="GBP",O280*1.27,N280="EUR",O280*1.09,N280="INR",O280*0.012,N280="N/A","N/A")</f>
        <v>436.01090000000005</v>
      </c>
      <c r="Q280" t="s">
        <v>20</v>
      </c>
      <c r="R280" t="str" cm="1">
        <f t="array" ref="R280">_xlfn.IFS(Q280="Y","Yes", Q280="Yes","Yes", Q280="N","No", Q280="No","No", Q280=1,"N/A", Q280=0,"N/A", TRUE,"")</f>
        <v>Yes</v>
      </c>
      <c r="S280">
        <f t="shared" si="38"/>
        <v>12</v>
      </c>
      <c r="T280">
        <f t="shared" si="39"/>
        <v>1</v>
      </c>
      <c r="U280" t="str" cm="1">
        <f t="array" ref="U280">_xlfn.IFS(D280&lt;40,"Young Adult",AND(D280&gt;=40,D280&lt;65),"Middle Aged", D280&gt;=65,"Elderly")</f>
        <v>Elderly</v>
      </c>
    </row>
    <row r="281" spans="1:21" x14ac:dyDescent="0.2">
      <c r="A281">
        <v>1026</v>
      </c>
      <c r="B281">
        <f t="shared" si="32"/>
        <v>280</v>
      </c>
      <c r="C281" t="s">
        <v>842</v>
      </c>
      <c r="D281">
        <v>47</v>
      </c>
      <c r="E281" t="s">
        <v>16</v>
      </c>
      <c r="F281" t="str">
        <f t="shared" si="33"/>
        <v>Female</v>
      </c>
      <c r="G281" s="1">
        <v>46028</v>
      </c>
      <c r="H281" s="1">
        <v>45576</v>
      </c>
      <c r="I281" t="s">
        <v>843</v>
      </c>
      <c r="J281" t="str">
        <f t="shared" si="34"/>
        <v>Daniel Ryan</v>
      </c>
      <c r="K281" t="s">
        <v>24</v>
      </c>
      <c r="L281" t="str">
        <f t="shared" si="35"/>
        <v>Neurology</v>
      </c>
      <c r="M281" t="s">
        <v>844</v>
      </c>
      <c r="N281" t="str">
        <f t="shared" si="36"/>
        <v>USD</v>
      </c>
      <c r="O281">
        <f t="shared" si="37"/>
        <v>400.52</v>
      </c>
      <c r="P281" cm="1">
        <f t="array" ref="P281">_xlfn.IFS(N281="USD",O281*1,N281="GBP",O281*1.27,N281="EUR",O281*1.09,N281="INR",O281*0.012,N281="N/A","N/A")</f>
        <v>400.52</v>
      </c>
      <c r="Q281" t="s">
        <v>36</v>
      </c>
      <c r="R281" t="str" cm="1">
        <f t="array" ref="R281">_xlfn.IFS(Q281="Y","Yes", Q281="Yes","Yes", Q281="N","No", Q281="No","No", Q281=1,"N/A", Q281=0,"N/A", TRUE,"")</f>
        <v>Yes</v>
      </c>
      <c r="S281">
        <f t="shared" si="38"/>
        <v>10</v>
      </c>
      <c r="T281">
        <f t="shared" si="39"/>
        <v>1</v>
      </c>
      <c r="U281" t="str" cm="1">
        <f t="array" ref="U281">_xlfn.IFS(D281&lt;40,"Young Adult",AND(D281&gt;=40,D281&lt;65),"Middle Aged", D281&gt;=65,"Elderly")</f>
        <v>Middle Aged</v>
      </c>
    </row>
    <row r="282" spans="1:21" x14ac:dyDescent="0.2">
      <c r="A282">
        <v>1080</v>
      </c>
      <c r="B282">
        <f t="shared" si="32"/>
        <v>281</v>
      </c>
      <c r="C282" t="s">
        <v>845</v>
      </c>
      <c r="D282">
        <v>69</v>
      </c>
      <c r="E282" t="s">
        <v>71</v>
      </c>
      <c r="F282" t="str">
        <f t="shared" si="33"/>
        <v>Male</v>
      </c>
      <c r="G282" s="1">
        <v>45945</v>
      </c>
      <c r="H282" s="1">
        <v>45819</v>
      </c>
      <c r="I282" t="s">
        <v>846</v>
      </c>
      <c r="J282" t="str">
        <f t="shared" si="34"/>
        <v>Brenda Booth</v>
      </c>
      <c r="K282" t="s">
        <v>28</v>
      </c>
      <c r="L282" t="str">
        <f t="shared" si="35"/>
        <v>General</v>
      </c>
      <c r="M282" t="s">
        <v>847</v>
      </c>
      <c r="N282" t="str">
        <f t="shared" si="36"/>
        <v>GBP</v>
      </c>
      <c r="O282">
        <f t="shared" si="37"/>
        <v>152.69999999999999</v>
      </c>
      <c r="P282" cm="1">
        <f t="array" ref="P282">_xlfn.IFS(N282="USD",O282*1,N282="GBP",O282*1.27,N282="EUR",O282*1.09,N282="INR",O282*0.012,N282="N/A","N/A")</f>
        <v>193.929</v>
      </c>
      <c r="Q282">
        <v>0</v>
      </c>
      <c r="R282" t="str" cm="1">
        <f t="array" ref="R282">_xlfn.IFS(Q282="Y","Yes", Q282="Yes","Yes", Q282="N","No", Q282="No","No", Q282=1,"N/A", Q282=0,"N/A", TRUE,"")</f>
        <v>N/A</v>
      </c>
      <c r="S282">
        <f t="shared" si="38"/>
        <v>11</v>
      </c>
      <c r="T282">
        <f t="shared" si="39"/>
        <v>1</v>
      </c>
      <c r="U282" t="str" cm="1">
        <f t="array" ref="U282">_xlfn.IFS(D282&lt;40,"Young Adult",AND(D282&gt;=40,D282&lt;65),"Middle Aged", D282&gt;=65,"Elderly")</f>
        <v>Elderly</v>
      </c>
    </row>
    <row r="283" spans="1:21" x14ac:dyDescent="0.2">
      <c r="A283">
        <v>1039</v>
      </c>
      <c r="B283">
        <f t="shared" si="32"/>
        <v>282</v>
      </c>
      <c r="C283" t="s">
        <v>848</v>
      </c>
      <c r="D283">
        <v>40</v>
      </c>
      <c r="E283" t="s">
        <v>2937</v>
      </c>
      <c r="F283" t="str">
        <f t="shared" si="33"/>
        <v>N/A</v>
      </c>
      <c r="G283" s="1">
        <v>45903</v>
      </c>
      <c r="H283" s="1">
        <v>45390</v>
      </c>
      <c r="I283" t="s">
        <v>849</v>
      </c>
      <c r="J283" t="str">
        <f t="shared" si="34"/>
        <v>Joanne Adams</v>
      </c>
      <c r="K283" t="s">
        <v>13</v>
      </c>
      <c r="L283" t="str">
        <f t="shared" si="35"/>
        <v>Cardiology</v>
      </c>
      <c r="M283" t="s">
        <v>850</v>
      </c>
      <c r="N283" t="str">
        <f t="shared" si="36"/>
        <v>EUR</v>
      </c>
      <c r="O283">
        <f t="shared" si="37"/>
        <v>154.68</v>
      </c>
      <c r="P283" cm="1">
        <f t="array" ref="P283">_xlfn.IFS(N283="USD",O283*1,N283="GBP",O283*1.27,N283="EUR",O283*1.09,N283="INR",O283*0.012,N283="N/A","N/A")</f>
        <v>168.60120000000001</v>
      </c>
      <c r="Q283" t="s">
        <v>36</v>
      </c>
      <c r="R283" t="str" cm="1">
        <f t="array" ref="R283">_xlfn.IFS(Q283="Y","Yes", Q283="Yes","Yes", Q283="N","No", Q283="No","No", Q283=1,"N/A", Q283=0,"N/A", TRUE,"")</f>
        <v>Yes</v>
      </c>
      <c r="S283">
        <f t="shared" si="38"/>
        <v>8</v>
      </c>
      <c r="T283">
        <f t="shared" si="39"/>
        <v>1</v>
      </c>
      <c r="U283" t="str" cm="1">
        <f t="array" ref="U283">_xlfn.IFS(D283&lt;40,"Young Adult",AND(D283&gt;=40,D283&lt;65),"Middle Aged", D283&gt;=65,"Elderly")</f>
        <v>Middle Aged</v>
      </c>
    </row>
    <row r="284" spans="1:21" x14ac:dyDescent="0.2">
      <c r="A284">
        <v>1059</v>
      </c>
      <c r="B284">
        <f t="shared" si="32"/>
        <v>283</v>
      </c>
      <c r="C284" t="s">
        <v>851</v>
      </c>
      <c r="D284">
        <v>32</v>
      </c>
      <c r="E284" t="s">
        <v>51</v>
      </c>
      <c r="F284" t="str">
        <f t="shared" si="33"/>
        <v>Male</v>
      </c>
      <c r="G284" s="1">
        <v>46092</v>
      </c>
      <c r="H284" s="1">
        <v>45861</v>
      </c>
      <c r="I284" t="s">
        <v>852</v>
      </c>
      <c r="J284" t="str">
        <f t="shared" si="34"/>
        <v>Seth Ramirez</v>
      </c>
      <c r="K284" t="s">
        <v>28</v>
      </c>
      <c r="L284" t="str">
        <f t="shared" si="35"/>
        <v>General</v>
      </c>
      <c r="M284" t="s">
        <v>853</v>
      </c>
      <c r="N284" t="str">
        <f t="shared" si="36"/>
        <v>USD</v>
      </c>
      <c r="O284">
        <f t="shared" si="37"/>
        <v>300.70999999999998</v>
      </c>
      <c r="P284" cm="1">
        <f t="array" ref="P284">_xlfn.IFS(N284="USD",O284*1,N284="GBP",O284*1.27,N284="EUR",O284*1.09,N284="INR",O284*0.012,N284="N/A","N/A")</f>
        <v>300.70999999999998</v>
      </c>
      <c r="Q284" t="s">
        <v>36</v>
      </c>
      <c r="R284" t="str" cm="1">
        <f t="array" ref="R284">_xlfn.IFS(Q284="Y","Yes", Q284="Yes","Yes", Q284="N","No", Q284="No","No", Q284=1,"N/A", Q284=0,"N/A", TRUE,"")</f>
        <v>Yes</v>
      </c>
      <c r="S284">
        <f t="shared" si="38"/>
        <v>13</v>
      </c>
      <c r="T284">
        <f t="shared" si="39"/>
        <v>1</v>
      </c>
      <c r="U284" t="str" cm="1">
        <f t="array" ref="U284">_xlfn.IFS(D284&lt;40,"Young Adult",AND(D284&gt;=40,D284&lt;65),"Middle Aged", D284&gt;=65,"Elderly")</f>
        <v>Young Adult</v>
      </c>
    </row>
    <row r="285" spans="1:21" x14ac:dyDescent="0.2">
      <c r="A285">
        <v>1043</v>
      </c>
      <c r="B285">
        <f t="shared" si="32"/>
        <v>284</v>
      </c>
      <c r="C285" t="s">
        <v>854</v>
      </c>
      <c r="D285">
        <v>66</v>
      </c>
      <c r="E285" t="s">
        <v>2937</v>
      </c>
      <c r="F285" t="str">
        <f t="shared" si="33"/>
        <v>N/A</v>
      </c>
      <c r="G285" s="1">
        <v>45983</v>
      </c>
      <c r="H285" s="1">
        <v>45907</v>
      </c>
      <c r="I285" t="s">
        <v>855</v>
      </c>
      <c r="J285" t="str">
        <f t="shared" si="34"/>
        <v>Kevin Weaver</v>
      </c>
      <c r="K285" t="s">
        <v>24</v>
      </c>
      <c r="L285" t="str">
        <f t="shared" si="35"/>
        <v>Neurology</v>
      </c>
      <c r="M285" t="s">
        <v>856</v>
      </c>
      <c r="N285" t="str">
        <f t="shared" si="36"/>
        <v>GBP</v>
      </c>
      <c r="O285">
        <f t="shared" si="37"/>
        <v>166.59</v>
      </c>
      <c r="P285" cm="1">
        <f t="array" ref="P285">_xlfn.IFS(N285="USD",O285*1,N285="GBP",O285*1.27,N285="EUR",O285*1.09,N285="INR",O285*0.012,N285="N/A","N/A")</f>
        <v>211.5693</v>
      </c>
      <c r="Q285" t="s">
        <v>36</v>
      </c>
      <c r="R285" t="str" cm="1">
        <f t="array" ref="R285">_xlfn.IFS(Q285="Y","Yes", Q285="Yes","Yes", Q285="N","No", Q285="No","No", Q285=1,"N/A", Q285=0,"N/A", TRUE,"")</f>
        <v>Yes</v>
      </c>
      <c r="S285">
        <f t="shared" si="38"/>
        <v>12</v>
      </c>
      <c r="T285">
        <f t="shared" si="39"/>
        <v>1</v>
      </c>
      <c r="U285" t="str" cm="1">
        <f t="array" ref="U285">_xlfn.IFS(D285&lt;40,"Young Adult",AND(D285&gt;=40,D285&lt;65),"Middle Aged", D285&gt;=65,"Elderly")</f>
        <v>Elderly</v>
      </c>
    </row>
    <row r="286" spans="1:21" x14ac:dyDescent="0.2">
      <c r="A286">
        <v>1066</v>
      </c>
      <c r="B286">
        <f t="shared" si="32"/>
        <v>285</v>
      </c>
      <c r="C286" t="s">
        <v>857</v>
      </c>
      <c r="D286">
        <v>28</v>
      </c>
      <c r="E286" t="s">
        <v>71</v>
      </c>
      <c r="F286" t="str">
        <f t="shared" si="33"/>
        <v>Male</v>
      </c>
      <c r="G286" s="1">
        <v>45910</v>
      </c>
      <c r="H286" s="1">
        <v>45768</v>
      </c>
      <c r="I286" t="s">
        <v>858</v>
      </c>
      <c r="J286" t="str">
        <f t="shared" si="34"/>
        <v>Dr. William Terry</v>
      </c>
      <c r="K286" t="s">
        <v>13</v>
      </c>
      <c r="L286" t="str">
        <f t="shared" si="35"/>
        <v>Cardiology</v>
      </c>
      <c r="M286" t="s">
        <v>859</v>
      </c>
      <c r="N286" t="str">
        <f t="shared" si="36"/>
        <v>GBP</v>
      </c>
      <c r="O286">
        <f t="shared" si="37"/>
        <v>357.83</v>
      </c>
      <c r="P286" cm="1">
        <f t="array" ref="P286">_xlfn.IFS(N286="USD",O286*1,N286="GBP",O286*1.27,N286="EUR",O286*1.09,N286="INR",O286*0.012,N286="N/A","N/A")</f>
        <v>454.44409999999999</v>
      </c>
      <c r="Q286">
        <v>1</v>
      </c>
      <c r="R286" t="str" cm="1">
        <f t="array" ref="R286">_xlfn.IFS(Q286="Y","Yes", Q286="Yes","Yes", Q286="N","No", Q286="No","No", Q286=1,"N/A", Q286=0,"N/A", TRUE,"")</f>
        <v>N/A</v>
      </c>
      <c r="S286">
        <f t="shared" si="38"/>
        <v>11</v>
      </c>
      <c r="T286">
        <f t="shared" si="39"/>
        <v>1</v>
      </c>
      <c r="U286" t="str" cm="1">
        <f t="array" ref="U286">_xlfn.IFS(D286&lt;40,"Young Adult",AND(D286&gt;=40,D286&lt;65),"Middle Aged", D286&gt;=65,"Elderly")</f>
        <v>Young Adult</v>
      </c>
    </row>
    <row r="287" spans="1:21" x14ac:dyDescent="0.2">
      <c r="A287">
        <v>1040</v>
      </c>
      <c r="B287">
        <f t="shared" si="32"/>
        <v>286</v>
      </c>
      <c r="C287" t="s">
        <v>860</v>
      </c>
      <c r="D287">
        <v>35</v>
      </c>
      <c r="E287" t="s">
        <v>22</v>
      </c>
      <c r="F287" t="str">
        <f t="shared" si="33"/>
        <v>Male</v>
      </c>
      <c r="G287" s="1">
        <v>45888</v>
      </c>
      <c r="H287" s="1">
        <v>45823</v>
      </c>
      <c r="I287" t="s">
        <v>861</v>
      </c>
      <c r="J287" t="str">
        <f t="shared" si="34"/>
        <v>Brett Arnold</v>
      </c>
      <c r="K287" t="s">
        <v>28</v>
      </c>
      <c r="L287" t="str">
        <f t="shared" si="35"/>
        <v>General</v>
      </c>
      <c r="M287" t="s">
        <v>862</v>
      </c>
      <c r="N287" t="str">
        <f t="shared" si="36"/>
        <v>INR</v>
      </c>
      <c r="O287">
        <f t="shared" si="37"/>
        <v>458.11</v>
      </c>
      <c r="P287" cm="1">
        <f t="array" ref="P287">_xlfn.IFS(N287="USD",O287*1,N287="GBP",O287*1.27,N287="EUR",O287*1.09,N287="INR",O287*0.012,N287="N/A","N/A")</f>
        <v>5.4973200000000002</v>
      </c>
      <c r="Q287" t="s">
        <v>60</v>
      </c>
      <c r="R287" t="str" cm="1">
        <f t="array" ref="R287">_xlfn.IFS(Q287="Y","Yes", Q287="Yes","Yes", Q287="N","No", Q287="No","No", Q287=1,"N/A", Q287=0,"N/A", TRUE,"")</f>
        <v>No</v>
      </c>
      <c r="S287">
        <f t="shared" si="38"/>
        <v>13</v>
      </c>
      <c r="T287">
        <f t="shared" si="39"/>
        <v>1</v>
      </c>
      <c r="U287" t="str" cm="1">
        <f t="array" ref="U287">_xlfn.IFS(D287&lt;40,"Young Adult",AND(D287&gt;=40,D287&lt;65),"Middle Aged", D287&gt;=65,"Elderly")</f>
        <v>Young Adult</v>
      </c>
    </row>
    <row r="288" spans="1:21" x14ac:dyDescent="0.2">
      <c r="A288">
        <v>1090</v>
      </c>
      <c r="B288">
        <f t="shared" si="32"/>
        <v>287</v>
      </c>
      <c r="C288" t="s">
        <v>863</v>
      </c>
      <c r="D288">
        <v>25</v>
      </c>
      <c r="E288" t="s">
        <v>38</v>
      </c>
      <c r="F288" t="str">
        <f t="shared" si="33"/>
        <v>Female</v>
      </c>
      <c r="G288" s="1">
        <v>45974</v>
      </c>
      <c r="H288" s="1">
        <v>45639</v>
      </c>
      <c r="I288" t="s">
        <v>864</v>
      </c>
      <c r="J288" t="str">
        <f t="shared" si="34"/>
        <v>Amanda Flores</v>
      </c>
      <c r="K288" t="s">
        <v>28</v>
      </c>
      <c r="L288" t="str">
        <f t="shared" si="35"/>
        <v>General</v>
      </c>
      <c r="M288" t="s">
        <v>865</v>
      </c>
      <c r="N288" t="str">
        <f t="shared" si="36"/>
        <v>EUR</v>
      </c>
      <c r="O288">
        <f t="shared" si="37"/>
        <v>85.07</v>
      </c>
      <c r="P288" cm="1">
        <f t="array" ref="P288">_xlfn.IFS(N288="USD",O288*1,N288="GBP",O288*1.27,N288="EUR",O288*1.09,N288="INR",O288*0.012,N288="N/A","N/A")</f>
        <v>92.726299999999995</v>
      </c>
      <c r="Q288">
        <v>1</v>
      </c>
      <c r="R288" t="str" cm="1">
        <f t="array" ref="R288">_xlfn.IFS(Q288="Y","Yes", Q288="Yes","Yes", Q288="N","No", Q288="No","No", Q288=1,"N/A", Q288=0,"N/A", TRUE,"")</f>
        <v>N/A</v>
      </c>
      <c r="S288">
        <f t="shared" si="38"/>
        <v>8</v>
      </c>
      <c r="T288">
        <f t="shared" si="39"/>
        <v>1</v>
      </c>
      <c r="U288" t="str" cm="1">
        <f t="array" ref="U288">_xlfn.IFS(D288&lt;40,"Young Adult",AND(D288&gt;=40,D288&lt;65),"Middle Aged", D288&gt;=65,"Elderly")</f>
        <v>Young Adult</v>
      </c>
    </row>
    <row r="289" spans="1:21" x14ac:dyDescent="0.2">
      <c r="A289">
        <v>1003</v>
      </c>
      <c r="B289">
        <f t="shared" si="32"/>
        <v>288</v>
      </c>
      <c r="C289" t="s">
        <v>866</v>
      </c>
      <c r="D289">
        <v>81</v>
      </c>
      <c r="E289" t="s">
        <v>38</v>
      </c>
      <c r="F289" t="str">
        <f t="shared" si="33"/>
        <v>Female</v>
      </c>
      <c r="G289" s="1">
        <v>45799</v>
      </c>
      <c r="H289" s="1">
        <v>45397</v>
      </c>
      <c r="I289" t="s">
        <v>867</v>
      </c>
      <c r="J289" t="str">
        <f t="shared" si="34"/>
        <v>Shannon Martinez</v>
      </c>
      <c r="K289" t="s">
        <v>24</v>
      </c>
      <c r="L289" t="str">
        <f t="shared" si="35"/>
        <v>Neurology</v>
      </c>
      <c r="M289" t="s">
        <v>868</v>
      </c>
      <c r="N289" t="str">
        <f t="shared" si="36"/>
        <v>GBP</v>
      </c>
      <c r="O289">
        <f t="shared" si="37"/>
        <v>209.67</v>
      </c>
      <c r="P289" cm="1">
        <f t="array" ref="P289">_xlfn.IFS(N289="USD",O289*1,N289="GBP",O289*1.27,N289="EUR",O289*1.09,N289="INR",O289*0.012,N289="N/A","N/A")</f>
        <v>266.28089999999997</v>
      </c>
      <c r="Q289" t="s">
        <v>20</v>
      </c>
      <c r="R289" t="str" cm="1">
        <f t="array" ref="R289">_xlfn.IFS(Q289="Y","Yes", Q289="Yes","Yes", Q289="N","No", Q289="No","No", Q289=1,"N/A", Q289=0,"N/A", TRUE,"")</f>
        <v>Yes</v>
      </c>
      <c r="S289">
        <f t="shared" si="38"/>
        <v>12</v>
      </c>
      <c r="T289">
        <f t="shared" si="39"/>
        <v>1</v>
      </c>
      <c r="U289" t="str" cm="1">
        <f t="array" ref="U289">_xlfn.IFS(D289&lt;40,"Young Adult",AND(D289&gt;=40,D289&lt;65),"Middle Aged", D289&gt;=65,"Elderly")</f>
        <v>Elderly</v>
      </c>
    </row>
    <row r="290" spans="1:21" x14ac:dyDescent="0.2">
      <c r="A290">
        <v>1054</v>
      </c>
      <c r="B290">
        <f t="shared" si="32"/>
        <v>289</v>
      </c>
      <c r="C290" t="s">
        <v>869</v>
      </c>
      <c r="D290">
        <v>30</v>
      </c>
      <c r="E290" t="s">
        <v>51</v>
      </c>
      <c r="F290" t="str">
        <f t="shared" si="33"/>
        <v>Male</v>
      </c>
      <c r="G290" s="1">
        <v>46075</v>
      </c>
      <c r="H290" s="1">
        <v>45842</v>
      </c>
      <c r="I290" t="s">
        <v>870</v>
      </c>
      <c r="J290" t="str">
        <f t="shared" si="34"/>
        <v>Jeffery Smith</v>
      </c>
      <c r="K290" t="s">
        <v>28</v>
      </c>
      <c r="L290" t="str">
        <f t="shared" si="35"/>
        <v>General</v>
      </c>
      <c r="M290" t="s">
        <v>871</v>
      </c>
      <c r="N290" t="str">
        <f t="shared" si="36"/>
        <v>GBP</v>
      </c>
      <c r="O290">
        <f t="shared" si="37"/>
        <v>239.39</v>
      </c>
      <c r="P290" cm="1">
        <f t="array" ref="P290">_xlfn.IFS(N290="USD",O290*1,N290="GBP",O290*1.27,N290="EUR",O290*1.09,N290="INR",O290*0.012,N290="N/A","N/A")</f>
        <v>304.02529999999996</v>
      </c>
      <c r="Q290" t="s">
        <v>60</v>
      </c>
      <c r="R290" t="str" cm="1">
        <f t="array" ref="R290">_xlfn.IFS(Q290="Y","Yes", Q290="Yes","Yes", Q290="N","No", Q290="No","No", Q290=1,"N/A", Q290=0,"N/A", TRUE,"")</f>
        <v>No</v>
      </c>
      <c r="S290">
        <f t="shared" si="38"/>
        <v>12</v>
      </c>
      <c r="T290">
        <f t="shared" si="39"/>
        <v>1</v>
      </c>
      <c r="U290" t="str" cm="1">
        <f t="array" ref="U290">_xlfn.IFS(D290&lt;40,"Young Adult",AND(D290&gt;=40,D290&lt;65),"Middle Aged", D290&gt;=65,"Elderly")</f>
        <v>Young Adult</v>
      </c>
    </row>
    <row r="291" spans="1:21" x14ac:dyDescent="0.2">
      <c r="A291">
        <v>1003</v>
      </c>
      <c r="B291">
        <f t="shared" si="32"/>
        <v>290</v>
      </c>
      <c r="C291" t="s">
        <v>872</v>
      </c>
      <c r="D291">
        <v>41</v>
      </c>
      <c r="E291" t="s">
        <v>2937</v>
      </c>
      <c r="F291" t="str">
        <f t="shared" si="33"/>
        <v>N/A</v>
      </c>
      <c r="G291" s="1">
        <v>45791</v>
      </c>
      <c r="H291" s="1">
        <v>45387</v>
      </c>
      <c r="I291" t="s">
        <v>511</v>
      </c>
      <c r="J291" t="str">
        <f t="shared" si="34"/>
        <v>Michelle Johnson</v>
      </c>
      <c r="K291" t="s">
        <v>28</v>
      </c>
      <c r="L291" t="str">
        <f t="shared" si="35"/>
        <v>General</v>
      </c>
      <c r="M291" t="s">
        <v>873</v>
      </c>
      <c r="N291" t="str">
        <f t="shared" si="36"/>
        <v>INR</v>
      </c>
      <c r="O291">
        <f t="shared" si="37"/>
        <v>398.73</v>
      </c>
      <c r="P291" cm="1">
        <f t="array" ref="P291">_xlfn.IFS(N291="USD",O291*1,N291="GBP",O291*1.27,N291="EUR",O291*1.09,N291="INR",O291*0.012,N291="N/A","N/A")</f>
        <v>4.7847600000000003</v>
      </c>
      <c r="Q291" t="s">
        <v>30</v>
      </c>
      <c r="R291" t="str" cm="1">
        <f t="array" ref="R291">_xlfn.IFS(Q291="Y","Yes", Q291="Yes","Yes", Q291="N","No", Q291="No","No", Q291=1,"N/A", Q291=0,"N/A", TRUE,"")</f>
        <v>No</v>
      </c>
      <c r="S291">
        <f t="shared" si="38"/>
        <v>12</v>
      </c>
      <c r="T291">
        <f t="shared" si="39"/>
        <v>1</v>
      </c>
      <c r="U291" t="str" cm="1">
        <f t="array" ref="U291">_xlfn.IFS(D291&lt;40,"Young Adult",AND(D291&gt;=40,D291&lt;65),"Middle Aged", D291&gt;=65,"Elderly")</f>
        <v>Middle Aged</v>
      </c>
    </row>
    <row r="292" spans="1:21" x14ac:dyDescent="0.2">
      <c r="A292">
        <v>1011</v>
      </c>
      <c r="B292">
        <f t="shared" si="32"/>
        <v>291</v>
      </c>
      <c r="C292" t="s">
        <v>874</v>
      </c>
      <c r="D292">
        <v>54</v>
      </c>
      <c r="E292" t="s">
        <v>2937</v>
      </c>
      <c r="F292" t="str">
        <f t="shared" si="33"/>
        <v>N/A</v>
      </c>
      <c r="G292" s="1">
        <v>46066</v>
      </c>
      <c r="H292" s="1">
        <v>45602</v>
      </c>
      <c r="I292" t="s">
        <v>875</v>
      </c>
      <c r="J292" t="str">
        <f t="shared" si="34"/>
        <v>Michael Schmidt</v>
      </c>
      <c r="K292" t="s">
        <v>18</v>
      </c>
      <c r="L292" t="str">
        <f t="shared" si="35"/>
        <v>Orthopedics</v>
      </c>
      <c r="M292" t="s">
        <v>876</v>
      </c>
      <c r="N292" t="str">
        <f t="shared" si="36"/>
        <v>EUR</v>
      </c>
      <c r="O292">
        <f t="shared" si="37"/>
        <v>325.86</v>
      </c>
      <c r="P292" cm="1">
        <f t="array" ref="P292">_xlfn.IFS(N292="USD",O292*1,N292="GBP",O292*1.27,N292="EUR",O292*1.09,N292="INR",O292*0.012,N292="N/A","N/A")</f>
        <v>355.18740000000003</v>
      </c>
      <c r="Q292" t="s">
        <v>60</v>
      </c>
      <c r="R292" t="str" cm="1">
        <f t="array" ref="R292">_xlfn.IFS(Q292="Y","Yes", Q292="Yes","Yes", Q292="N","No", Q292="No","No", Q292=1,"N/A", Q292=0,"N/A", TRUE,"")</f>
        <v>No</v>
      </c>
      <c r="S292">
        <f t="shared" si="38"/>
        <v>7</v>
      </c>
      <c r="T292">
        <f t="shared" si="39"/>
        <v>1</v>
      </c>
      <c r="U292" t="str" cm="1">
        <f t="array" ref="U292">_xlfn.IFS(D292&lt;40,"Young Adult",AND(D292&gt;=40,D292&lt;65),"Middle Aged", D292&gt;=65,"Elderly")</f>
        <v>Middle Aged</v>
      </c>
    </row>
    <row r="293" spans="1:21" x14ac:dyDescent="0.2">
      <c r="A293">
        <v>1029</v>
      </c>
      <c r="B293">
        <f t="shared" si="32"/>
        <v>292</v>
      </c>
      <c r="C293" t="s">
        <v>877</v>
      </c>
      <c r="D293">
        <v>30</v>
      </c>
      <c r="E293" t="s">
        <v>16</v>
      </c>
      <c r="F293" t="str">
        <f t="shared" si="33"/>
        <v>Female</v>
      </c>
      <c r="G293" s="1">
        <v>45857</v>
      </c>
      <c r="H293" s="1">
        <v>45789</v>
      </c>
      <c r="I293" t="s">
        <v>878</v>
      </c>
      <c r="J293" t="str">
        <f t="shared" si="34"/>
        <v>Michelle Jones</v>
      </c>
      <c r="K293" t="s">
        <v>18</v>
      </c>
      <c r="L293" t="str">
        <f t="shared" si="35"/>
        <v>Orthopedics</v>
      </c>
      <c r="M293" t="s">
        <v>879</v>
      </c>
      <c r="N293" t="str">
        <f t="shared" si="36"/>
        <v>USD</v>
      </c>
      <c r="O293">
        <f t="shared" si="37"/>
        <v>451.11</v>
      </c>
      <c r="P293" cm="1">
        <f t="array" ref="P293">_xlfn.IFS(N293="USD",O293*1,N293="GBP",O293*1.27,N293="EUR",O293*1.09,N293="INR",O293*0.012,N293="N/A","N/A")</f>
        <v>451.11</v>
      </c>
      <c r="Q293" t="s">
        <v>60</v>
      </c>
      <c r="R293" t="str" cm="1">
        <f t="array" ref="R293">_xlfn.IFS(Q293="Y","Yes", Q293="Yes","Yes", Q293="N","No", Q293="No","No", Q293=1,"N/A", Q293=0,"N/A", TRUE,"")</f>
        <v>No</v>
      </c>
      <c r="S293">
        <f t="shared" si="38"/>
        <v>8</v>
      </c>
      <c r="T293">
        <f t="shared" si="39"/>
        <v>1</v>
      </c>
      <c r="U293" t="str" cm="1">
        <f t="array" ref="U293">_xlfn.IFS(D293&lt;40,"Young Adult",AND(D293&gt;=40,D293&lt;65),"Middle Aged", D293&gt;=65,"Elderly")</f>
        <v>Young Adult</v>
      </c>
    </row>
    <row r="294" spans="1:21" x14ac:dyDescent="0.2">
      <c r="A294">
        <v>1051</v>
      </c>
      <c r="B294">
        <f t="shared" si="32"/>
        <v>293</v>
      </c>
      <c r="C294" t="s">
        <v>880</v>
      </c>
      <c r="D294">
        <v>53</v>
      </c>
      <c r="E294" t="s">
        <v>2937</v>
      </c>
      <c r="F294" t="str">
        <f t="shared" si="33"/>
        <v>N/A</v>
      </c>
      <c r="G294" s="1">
        <v>45837</v>
      </c>
      <c r="H294" s="1">
        <v>45548</v>
      </c>
      <c r="I294" t="s">
        <v>881</v>
      </c>
      <c r="J294" t="str">
        <f t="shared" si="34"/>
        <v>Regina Cox</v>
      </c>
      <c r="K294" t="s">
        <v>24</v>
      </c>
      <c r="L294" t="str">
        <f t="shared" si="35"/>
        <v>Neurology</v>
      </c>
      <c r="M294" t="s">
        <v>882</v>
      </c>
      <c r="N294" t="str">
        <f t="shared" si="36"/>
        <v>GBP</v>
      </c>
      <c r="O294">
        <f t="shared" si="37"/>
        <v>416.39</v>
      </c>
      <c r="P294" cm="1">
        <f t="array" ref="P294">_xlfn.IFS(N294="USD",O294*1,N294="GBP",O294*1.27,N294="EUR",O294*1.09,N294="INR",O294*0.012,N294="N/A","N/A")</f>
        <v>528.81529999999998</v>
      </c>
      <c r="Q294" t="s">
        <v>30</v>
      </c>
      <c r="R294" t="str" cm="1">
        <f t="array" ref="R294">_xlfn.IFS(Q294="Y","Yes", Q294="Yes","Yes", Q294="N","No", Q294="No","No", Q294=1,"N/A", Q294=0,"N/A", TRUE,"")</f>
        <v>No</v>
      </c>
      <c r="S294">
        <f t="shared" si="38"/>
        <v>9</v>
      </c>
      <c r="T294">
        <f t="shared" si="39"/>
        <v>1</v>
      </c>
      <c r="U294" t="str" cm="1">
        <f t="array" ref="U294">_xlfn.IFS(D294&lt;40,"Young Adult",AND(D294&gt;=40,D294&lt;65),"Middle Aged", D294&gt;=65,"Elderly")</f>
        <v>Middle Aged</v>
      </c>
    </row>
    <row r="295" spans="1:21" x14ac:dyDescent="0.2">
      <c r="A295">
        <v>1041</v>
      </c>
      <c r="B295">
        <f t="shared" si="32"/>
        <v>294</v>
      </c>
      <c r="C295" t="s">
        <v>883</v>
      </c>
      <c r="D295">
        <v>65</v>
      </c>
      <c r="E295" t="s">
        <v>2937</v>
      </c>
      <c r="F295" t="str">
        <f t="shared" si="33"/>
        <v>N/A</v>
      </c>
      <c r="G295" s="1">
        <v>45958</v>
      </c>
      <c r="H295" s="1">
        <v>45887</v>
      </c>
      <c r="I295" t="s">
        <v>884</v>
      </c>
      <c r="J295" t="str">
        <f t="shared" si="34"/>
        <v>Gregory Neal</v>
      </c>
      <c r="K295" t="s">
        <v>24</v>
      </c>
      <c r="L295" t="str">
        <f t="shared" si="35"/>
        <v>Neurology</v>
      </c>
      <c r="M295" t="s">
        <v>885</v>
      </c>
      <c r="N295" t="str">
        <f t="shared" si="36"/>
        <v>EUR</v>
      </c>
      <c r="O295">
        <f t="shared" si="37"/>
        <v>303.42</v>
      </c>
      <c r="P295" cm="1">
        <f t="array" ref="P295">_xlfn.IFS(N295="USD",O295*1,N295="GBP",O295*1.27,N295="EUR",O295*1.09,N295="INR",O295*0.012,N295="N/A","N/A")</f>
        <v>330.72780000000006</v>
      </c>
      <c r="Q295" t="s">
        <v>60</v>
      </c>
      <c r="R295" t="str" cm="1">
        <f t="array" ref="R295">_xlfn.IFS(Q295="Y","Yes", Q295="Yes","Yes", Q295="N","No", Q295="No","No", Q295=1,"N/A", Q295=0,"N/A", TRUE,"")</f>
        <v>No</v>
      </c>
      <c r="S295">
        <f t="shared" si="38"/>
        <v>8</v>
      </c>
      <c r="T295">
        <f t="shared" si="39"/>
        <v>1</v>
      </c>
      <c r="U295" t="str" cm="1">
        <f t="array" ref="U295">_xlfn.IFS(D295&lt;40,"Young Adult",AND(D295&gt;=40,D295&lt;65),"Middle Aged", D295&gt;=65,"Elderly")</f>
        <v>Elderly</v>
      </c>
    </row>
    <row r="296" spans="1:21" x14ac:dyDescent="0.2">
      <c r="A296">
        <v>1004</v>
      </c>
      <c r="B296">
        <f t="shared" si="32"/>
        <v>295</v>
      </c>
      <c r="C296" t="s">
        <v>886</v>
      </c>
      <c r="D296">
        <v>64</v>
      </c>
      <c r="E296" t="s">
        <v>2937</v>
      </c>
      <c r="F296" t="str">
        <f t="shared" si="33"/>
        <v>N/A</v>
      </c>
      <c r="G296" s="1">
        <v>46093</v>
      </c>
      <c r="H296" s="1">
        <v>45447</v>
      </c>
      <c r="I296" t="s">
        <v>887</v>
      </c>
      <c r="J296" t="str">
        <f t="shared" si="34"/>
        <v>Darryl Garcia</v>
      </c>
      <c r="K296" t="s">
        <v>28</v>
      </c>
      <c r="L296" t="str">
        <f t="shared" si="35"/>
        <v>General</v>
      </c>
      <c r="M296" t="s">
        <v>888</v>
      </c>
      <c r="N296" t="str">
        <f t="shared" si="36"/>
        <v>USD</v>
      </c>
      <c r="O296">
        <f t="shared" si="37"/>
        <v>124.85</v>
      </c>
      <c r="P296" cm="1">
        <f t="array" ref="P296">_xlfn.IFS(N296="USD",O296*1,N296="GBP",O296*1.27,N296="EUR",O296*1.09,N296="INR",O296*0.012,N296="N/A","N/A")</f>
        <v>124.85</v>
      </c>
      <c r="Q296">
        <v>1</v>
      </c>
      <c r="R296" t="str" cm="1">
        <f t="array" ref="R296">_xlfn.IFS(Q296="Y","Yes", Q296="Yes","Yes", Q296="N","No", Q296="No","No", Q296=1,"N/A", Q296=0,"N/A", TRUE,"")</f>
        <v>N/A</v>
      </c>
      <c r="S296">
        <f t="shared" si="38"/>
        <v>9</v>
      </c>
      <c r="T296">
        <f t="shared" si="39"/>
        <v>1</v>
      </c>
      <c r="U296" t="str" cm="1">
        <f t="array" ref="U296">_xlfn.IFS(D296&lt;40,"Young Adult",AND(D296&gt;=40,D296&lt;65),"Middle Aged", D296&gt;=65,"Elderly")</f>
        <v>Middle Aged</v>
      </c>
    </row>
    <row r="297" spans="1:21" x14ac:dyDescent="0.2">
      <c r="A297">
        <v>1054</v>
      </c>
      <c r="B297">
        <f t="shared" si="32"/>
        <v>296</v>
      </c>
      <c r="C297" t="s">
        <v>889</v>
      </c>
      <c r="D297">
        <v>78</v>
      </c>
      <c r="E297" t="s">
        <v>71</v>
      </c>
      <c r="F297" t="str">
        <f t="shared" si="33"/>
        <v>Male</v>
      </c>
      <c r="G297" s="1">
        <v>46016</v>
      </c>
      <c r="H297" s="1">
        <v>45639</v>
      </c>
      <c r="I297" t="s">
        <v>890</v>
      </c>
      <c r="J297" t="str">
        <f t="shared" si="34"/>
        <v>Steven Mercer</v>
      </c>
      <c r="K297" t="s">
        <v>24</v>
      </c>
      <c r="L297" t="str">
        <f t="shared" si="35"/>
        <v>Neurology</v>
      </c>
      <c r="M297" t="s">
        <v>891</v>
      </c>
      <c r="N297" t="str">
        <f t="shared" si="36"/>
        <v>USD</v>
      </c>
      <c r="O297">
        <f t="shared" si="37"/>
        <v>370.37</v>
      </c>
      <c r="P297" cm="1">
        <f t="array" ref="P297">_xlfn.IFS(N297="USD",O297*1,N297="GBP",O297*1.27,N297="EUR",O297*1.09,N297="INR",O297*0.012,N297="N/A","N/A")</f>
        <v>370.37</v>
      </c>
      <c r="Q297" t="s">
        <v>30</v>
      </c>
      <c r="R297" t="str" cm="1">
        <f t="array" ref="R297">_xlfn.IFS(Q297="Y","Yes", Q297="Yes","Yes", Q297="N","No", Q297="No","No", Q297=1,"N/A", Q297=0,"N/A", TRUE,"")</f>
        <v>No</v>
      </c>
      <c r="S297">
        <f t="shared" si="38"/>
        <v>12</v>
      </c>
      <c r="T297">
        <f t="shared" si="39"/>
        <v>1</v>
      </c>
      <c r="U297" t="str" cm="1">
        <f t="array" ref="U297">_xlfn.IFS(D297&lt;40,"Young Adult",AND(D297&gt;=40,D297&lt;65),"Middle Aged", D297&gt;=65,"Elderly")</f>
        <v>Elderly</v>
      </c>
    </row>
    <row r="298" spans="1:21" x14ac:dyDescent="0.2">
      <c r="A298">
        <v>1006</v>
      </c>
      <c r="B298">
        <f t="shared" si="32"/>
        <v>297</v>
      </c>
      <c r="C298" t="s">
        <v>892</v>
      </c>
      <c r="D298">
        <v>63</v>
      </c>
      <c r="E298" t="s">
        <v>22</v>
      </c>
      <c r="F298" t="str">
        <f t="shared" si="33"/>
        <v>Male</v>
      </c>
      <c r="G298" s="1">
        <v>46004</v>
      </c>
      <c r="H298" s="1">
        <v>45721</v>
      </c>
      <c r="I298" t="s">
        <v>893</v>
      </c>
      <c r="J298" t="str">
        <f t="shared" si="34"/>
        <v>John Wolf</v>
      </c>
      <c r="K298" t="s">
        <v>24</v>
      </c>
      <c r="L298" t="str">
        <f t="shared" si="35"/>
        <v>Neurology</v>
      </c>
      <c r="M298" t="s">
        <v>894</v>
      </c>
      <c r="N298" t="str">
        <f t="shared" si="36"/>
        <v>INR</v>
      </c>
      <c r="O298">
        <f t="shared" si="37"/>
        <v>416.85</v>
      </c>
      <c r="P298" cm="1">
        <f t="array" ref="P298">_xlfn.IFS(N298="USD",O298*1,N298="GBP",O298*1.27,N298="EUR",O298*1.09,N298="INR",O298*0.012,N298="N/A","N/A")</f>
        <v>5.0022000000000002</v>
      </c>
      <c r="Q298" t="s">
        <v>60</v>
      </c>
      <c r="R298" t="str" cm="1">
        <f t="array" ref="R298">_xlfn.IFS(Q298="Y","Yes", Q298="Yes","Yes", Q298="N","No", Q298="No","No", Q298=1,"N/A", Q298=0,"N/A", TRUE,"")</f>
        <v>No</v>
      </c>
      <c r="S298">
        <f t="shared" si="38"/>
        <v>8</v>
      </c>
      <c r="T298">
        <f t="shared" si="39"/>
        <v>1</v>
      </c>
      <c r="U298" t="str" cm="1">
        <f t="array" ref="U298">_xlfn.IFS(D298&lt;40,"Young Adult",AND(D298&gt;=40,D298&lt;65),"Middle Aged", D298&gt;=65,"Elderly")</f>
        <v>Middle Aged</v>
      </c>
    </row>
    <row r="299" spans="1:21" x14ac:dyDescent="0.2">
      <c r="A299">
        <v>1076</v>
      </c>
      <c r="B299">
        <f t="shared" si="32"/>
        <v>298</v>
      </c>
      <c r="C299" t="s">
        <v>895</v>
      </c>
      <c r="D299">
        <v>23</v>
      </c>
      <c r="E299" t="s">
        <v>71</v>
      </c>
      <c r="F299" t="str">
        <f t="shared" si="33"/>
        <v>Male</v>
      </c>
      <c r="G299" s="1">
        <v>45935</v>
      </c>
      <c r="H299" s="1">
        <v>45736</v>
      </c>
      <c r="I299" t="s">
        <v>896</v>
      </c>
      <c r="J299" t="str">
        <f t="shared" si="34"/>
        <v>David Robertson</v>
      </c>
      <c r="K299" t="s">
        <v>28</v>
      </c>
      <c r="L299" t="str">
        <f t="shared" si="35"/>
        <v>General</v>
      </c>
      <c r="N299" t="str">
        <f t="shared" si="36"/>
        <v>N/A</v>
      </c>
      <c r="O299" t="str">
        <f t="shared" si="37"/>
        <v/>
      </c>
      <c r="P299" t="str" cm="1">
        <f t="array" ref="P299">_xlfn.IFS(N299="USD",O299*1,N299="GBP",O299*1.27,N299="EUR",O299*1.09,N299="INR",O299*0.012,N299="N/A","N/A")</f>
        <v>N/A</v>
      </c>
      <c r="Q299" t="s">
        <v>30</v>
      </c>
      <c r="R299" t="str" cm="1">
        <f t="array" ref="R299">_xlfn.IFS(Q299="Y","Yes", Q299="Yes","Yes", Q299="N","No", Q299="No","No", Q299=1,"N/A", Q299=0,"N/A", TRUE,"")</f>
        <v>No</v>
      </c>
      <c r="S299">
        <f t="shared" si="38"/>
        <v>6</v>
      </c>
      <c r="T299">
        <f t="shared" si="39"/>
        <v>1</v>
      </c>
      <c r="U299" t="str" cm="1">
        <f t="array" ref="U299">_xlfn.IFS(D299&lt;40,"Young Adult",AND(D299&gt;=40,D299&lt;65),"Middle Aged", D299&gt;=65,"Elderly")</f>
        <v>Young Adult</v>
      </c>
    </row>
    <row r="300" spans="1:21" x14ac:dyDescent="0.2">
      <c r="A300">
        <v>1054</v>
      </c>
      <c r="B300">
        <f t="shared" si="32"/>
        <v>299</v>
      </c>
      <c r="C300" t="s">
        <v>897</v>
      </c>
      <c r="D300">
        <v>70</v>
      </c>
      <c r="E300" t="s">
        <v>2937</v>
      </c>
      <c r="F300" t="str">
        <f t="shared" si="33"/>
        <v>N/A</v>
      </c>
      <c r="G300" s="1">
        <v>45964</v>
      </c>
      <c r="H300" s="1">
        <v>45824</v>
      </c>
      <c r="I300" t="s">
        <v>898</v>
      </c>
      <c r="J300" t="str">
        <f t="shared" si="34"/>
        <v>Joseph Park</v>
      </c>
      <c r="K300" t="s">
        <v>13</v>
      </c>
      <c r="L300" t="str">
        <f t="shared" si="35"/>
        <v>Cardiology</v>
      </c>
      <c r="M300" t="s">
        <v>899</v>
      </c>
      <c r="N300" t="str">
        <f t="shared" si="36"/>
        <v>GBP</v>
      </c>
      <c r="O300">
        <f t="shared" si="37"/>
        <v>231.18</v>
      </c>
      <c r="P300" cm="1">
        <f t="array" ref="P300">_xlfn.IFS(N300="USD",O300*1,N300="GBP",O300*1.27,N300="EUR",O300*1.09,N300="INR",O300*0.012,N300="N/A","N/A")</f>
        <v>293.59860000000003</v>
      </c>
      <c r="Q300" t="s">
        <v>36</v>
      </c>
      <c r="R300" t="str" cm="1">
        <f t="array" ref="R300">_xlfn.IFS(Q300="Y","Yes", Q300="Yes","Yes", Q300="N","No", Q300="No","No", Q300=1,"N/A", Q300=0,"N/A", TRUE,"")</f>
        <v>Yes</v>
      </c>
      <c r="S300">
        <f t="shared" si="38"/>
        <v>12</v>
      </c>
      <c r="T300">
        <f t="shared" si="39"/>
        <v>1</v>
      </c>
      <c r="U300" t="str" cm="1">
        <f t="array" ref="U300">_xlfn.IFS(D300&lt;40,"Young Adult",AND(D300&gt;=40,D300&lt;65),"Middle Aged", D300&gt;=65,"Elderly")</f>
        <v>Elderly</v>
      </c>
    </row>
    <row r="301" spans="1:21" x14ac:dyDescent="0.2">
      <c r="A301">
        <v>1021</v>
      </c>
      <c r="B301">
        <f t="shared" si="32"/>
        <v>300</v>
      </c>
      <c r="C301" t="s">
        <v>900</v>
      </c>
      <c r="D301">
        <v>54</v>
      </c>
      <c r="E301" t="s">
        <v>51</v>
      </c>
      <c r="F301" t="str">
        <f t="shared" si="33"/>
        <v>Male</v>
      </c>
      <c r="G301" s="1">
        <v>45920</v>
      </c>
      <c r="H301" s="1">
        <v>45467</v>
      </c>
      <c r="I301" t="s">
        <v>901</v>
      </c>
      <c r="J301" t="str">
        <f t="shared" si="34"/>
        <v>Megan Lopez</v>
      </c>
      <c r="K301" t="s">
        <v>13</v>
      </c>
      <c r="L301" t="str">
        <f t="shared" si="35"/>
        <v>Cardiology</v>
      </c>
      <c r="M301" t="s">
        <v>902</v>
      </c>
      <c r="N301" t="str">
        <f t="shared" si="36"/>
        <v>INR</v>
      </c>
      <c r="O301">
        <f t="shared" si="37"/>
        <v>119.4</v>
      </c>
      <c r="P301" cm="1">
        <f t="array" ref="P301">_xlfn.IFS(N301="USD",O301*1,N301="GBP",O301*1.27,N301="EUR",O301*1.09,N301="INR",O301*0.012,N301="N/A","N/A")</f>
        <v>1.4328000000000001</v>
      </c>
      <c r="Q301">
        <v>0</v>
      </c>
      <c r="R301" t="str" cm="1">
        <f t="array" ref="R301">_xlfn.IFS(Q301="Y","Yes", Q301="Yes","Yes", Q301="N","No", Q301="No","No", Q301=1,"N/A", Q301=0,"N/A", TRUE,"")</f>
        <v>N/A</v>
      </c>
      <c r="S301">
        <f t="shared" si="38"/>
        <v>16</v>
      </c>
      <c r="T301">
        <f t="shared" si="39"/>
        <v>1</v>
      </c>
      <c r="U301" t="str" cm="1">
        <f t="array" ref="U301">_xlfn.IFS(D301&lt;40,"Young Adult",AND(D301&gt;=40,D301&lt;65),"Middle Aged", D301&gt;=65,"Elderly")</f>
        <v>Middle Aged</v>
      </c>
    </row>
    <row r="302" spans="1:21" x14ac:dyDescent="0.2">
      <c r="A302">
        <v>1015</v>
      </c>
      <c r="B302">
        <f t="shared" si="32"/>
        <v>301</v>
      </c>
      <c r="C302" t="s">
        <v>903</v>
      </c>
      <c r="D302">
        <v>50</v>
      </c>
      <c r="E302" t="s">
        <v>2937</v>
      </c>
      <c r="F302" t="str">
        <f t="shared" si="33"/>
        <v>N/A</v>
      </c>
      <c r="G302" s="1">
        <v>45894</v>
      </c>
      <c r="H302" s="1">
        <v>45461</v>
      </c>
      <c r="I302" t="s">
        <v>904</v>
      </c>
      <c r="J302" t="str">
        <f t="shared" si="34"/>
        <v>Robert Davies</v>
      </c>
      <c r="K302" t="s">
        <v>24</v>
      </c>
      <c r="L302" t="str">
        <f t="shared" si="35"/>
        <v>Neurology</v>
      </c>
      <c r="M302" t="s">
        <v>905</v>
      </c>
      <c r="N302" t="str">
        <f t="shared" si="36"/>
        <v>USD</v>
      </c>
      <c r="O302">
        <f t="shared" si="37"/>
        <v>63.38</v>
      </c>
      <c r="P302" cm="1">
        <f t="array" ref="P302">_xlfn.IFS(N302="USD",O302*1,N302="GBP",O302*1.27,N302="EUR",O302*1.09,N302="INR",O302*0.012,N302="N/A","N/A")</f>
        <v>63.38</v>
      </c>
      <c r="Q302" t="s">
        <v>36</v>
      </c>
      <c r="R302" t="str" cm="1">
        <f t="array" ref="R302">_xlfn.IFS(Q302="Y","Yes", Q302="Yes","Yes", Q302="N","No", Q302="No","No", Q302=1,"N/A", Q302=0,"N/A", TRUE,"")</f>
        <v>Yes</v>
      </c>
      <c r="S302">
        <f t="shared" si="38"/>
        <v>17</v>
      </c>
      <c r="T302">
        <f t="shared" si="39"/>
        <v>1</v>
      </c>
      <c r="U302" t="str" cm="1">
        <f t="array" ref="U302">_xlfn.IFS(D302&lt;40,"Young Adult",AND(D302&gt;=40,D302&lt;65),"Middle Aged", D302&gt;=65,"Elderly")</f>
        <v>Middle Aged</v>
      </c>
    </row>
    <row r="303" spans="1:21" x14ac:dyDescent="0.2">
      <c r="A303">
        <v>1014</v>
      </c>
      <c r="B303">
        <f t="shared" si="32"/>
        <v>302</v>
      </c>
      <c r="C303" t="s">
        <v>906</v>
      </c>
      <c r="D303">
        <v>79</v>
      </c>
      <c r="E303" t="s">
        <v>2937</v>
      </c>
      <c r="F303" t="str">
        <f t="shared" si="33"/>
        <v>N/A</v>
      </c>
      <c r="G303" s="1">
        <v>46050</v>
      </c>
      <c r="H303" s="1">
        <v>45385</v>
      </c>
      <c r="I303" t="s">
        <v>907</v>
      </c>
      <c r="J303" t="str">
        <f t="shared" si="34"/>
        <v>Christopher Garrett</v>
      </c>
      <c r="K303" t="s">
        <v>24</v>
      </c>
      <c r="L303" t="str">
        <f t="shared" si="35"/>
        <v>Neurology</v>
      </c>
      <c r="M303" t="s">
        <v>908</v>
      </c>
      <c r="N303" t="str">
        <f t="shared" si="36"/>
        <v>INR</v>
      </c>
      <c r="O303">
        <f t="shared" si="37"/>
        <v>341.27</v>
      </c>
      <c r="P303" cm="1">
        <f t="array" ref="P303">_xlfn.IFS(N303="USD",O303*1,N303="GBP",O303*1.27,N303="EUR",O303*1.09,N303="INR",O303*0.012,N303="N/A","N/A")</f>
        <v>4.0952399999999995</v>
      </c>
      <c r="Q303" t="s">
        <v>36</v>
      </c>
      <c r="R303" t="str" cm="1">
        <f t="array" ref="R303">_xlfn.IFS(Q303="Y","Yes", Q303="Yes","Yes", Q303="N","No", Q303="No","No", Q303=1,"N/A", Q303=0,"N/A", TRUE,"")</f>
        <v>Yes</v>
      </c>
      <c r="S303">
        <f t="shared" si="38"/>
        <v>10</v>
      </c>
      <c r="T303">
        <f t="shared" si="39"/>
        <v>1</v>
      </c>
      <c r="U303" t="str" cm="1">
        <f t="array" ref="U303">_xlfn.IFS(D303&lt;40,"Young Adult",AND(D303&gt;=40,D303&lt;65),"Middle Aged", D303&gt;=65,"Elderly")</f>
        <v>Elderly</v>
      </c>
    </row>
    <row r="304" spans="1:21" x14ac:dyDescent="0.2">
      <c r="A304">
        <v>1088</v>
      </c>
      <c r="B304">
        <f t="shared" si="32"/>
        <v>303</v>
      </c>
      <c r="C304" t="s">
        <v>909</v>
      </c>
      <c r="D304">
        <v>83</v>
      </c>
      <c r="E304" t="s">
        <v>71</v>
      </c>
      <c r="F304" t="str">
        <f t="shared" si="33"/>
        <v>Male</v>
      </c>
      <c r="G304" s="1">
        <v>46025</v>
      </c>
      <c r="H304" s="1">
        <v>45647</v>
      </c>
      <c r="I304" t="s">
        <v>910</v>
      </c>
      <c r="J304" t="str">
        <f t="shared" si="34"/>
        <v>Charles Hess</v>
      </c>
      <c r="K304" t="s">
        <v>18</v>
      </c>
      <c r="L304" t="str">
        <f t="shared" si="35"/>
        <v>Orthopedics</v>
      </c>
      <c r="M304" t="s">
        <v>911</v>
      </c>
      <c r="N304" t="str">
        <f t="shared" si="36"/>
        <v>USD</v>
      </c>
      <c r="O304">
        <f t="shared" si="37"/>
        <v>483.19</v>
      </c>
      <c r="P304" cm="1">
        <f t="array" ref="P304">_xlfn.IFS(N304="USD",O304*1,N304="GBP",O304*1.27,N304="EUR",O304*1.09,N304="INR",O304*0.012,N304="N/A","N/A")</f>
        <v>483.19</v>
      </c>
      <c r="Q304" t="s">
        <v>36</v>
      </c>
      <c r="R304" t="str" cm="1">
        <f t="array" ref="R304">_xlfn.IFS(Q304="Y","Yes", Q304="Yes","Yes", Q304="N","No", Q304="No","No", Q304=1,"N/A", Q304=0,"N/A", TRUE,"")</f>
        <v>Yes</v>
      </c>
      <c r="S304">
        <f t="shared" si="38"/>
        <v>16</v>
      </c>
      <c r="T304">
        <f t="shared" si="39"/>
        <v>1</v>
      </c>
      <c r="U304" t="str" cm="1">
        <f t="array" ref="U304">_xlfn.IFS(D304&lt;40,"Young Adult",AND(D304&gt;=40,D304&lt;65),"Middle Aged", D304&gt;=65,"Elderly")</f>
        <v>Elderly</v>
      </c>
    </row>
    <row r="305" spans="1:21" x14ac:dyDescent="0.2">
      <c r="A305">
        <v>1034</v>
      </c>
      <c r="B305">
        <f t="shared" si="32"/>
        <v>304</v>
      </c>
      <c r="C305" t="s">
        <v>912</v>
      </c>
      <c r="D305">
        <v>37</v>
      </c>
      <c r="E305" t="s">
        <v>2937</v>
      </c>
      <c r="F305" t="str">
        <f t="shared" si="33"/>
        <v>N/A</v>
      </c>
      <c r="G305" s="1">
        <v>45939</v>
      </c>
      <c r="H305" s="1">
        <v>45752</v>
      </c>
      <c r="I305" t="s">
        <v>913</v>
      </c>
      <c r="J305" t="str">
        <f t="shared" si="34"/>
        <v>Theresa Osborne</v>
      </c>
      <c r="K305" t="s">
        <v>24</v>
      </c>
      <c r="L305" t="str">
        <f t="shared" si="35"/>
        <v>Neurology</v>
      </c>
      <c r="M305" t="s">
        <v>914</v>
      </c>
      <c r="N305" t="str">
        <f t="shared" si="36"/>
        <v>EUR</v>
      </c>
      <c r="O305">
        <f t="shared" si="37"/>
        <v>371.49</v>
      </c>
      <c r="P305" cm="1">
        <f t="array" ref="P305">_xlfn.IFS(N305="USD",O305*1,N305="GBP",O305*1.27,N305="EUR",O305*1.09,N305="INR",O305*0.012,N305="N/A","N/A")</f>
        <v>404.92410000000007</v>
      </c>
      <c r="Q305" t="s">
        <v>60</v>
      </c>
      <c r="R305" t="str" cm="1">
        <f t="array" ref="R305">_xlfn.IFS(Q305="Y","Yes", Q305="Yes","Yes", Q305="N","No", Q305="No","No", Q305=1,"N/A", Q305=0,"N/A", TRUE,"")</f>
        <v>No</v>
      </c>
      <c r="S305">
        <f t="shared" si="38"/>
        <v>8</v>
      </c>
      <c r="T305">
        <f t="shared" si="39"/>
        <v>1</v>
      </c>
      <c r="U305" t="str" cm="1">
        <f t="array" ref="U305">_xlfn.IFS(D305&lt;40,"Young Adult",AND(D305&gt;=40,D305&lt;65),"Middle Aged", D305&gt;=65,"Elderly")</f>
        <v>Young Adult</v>
      </c>
    </row>
    <row r="306" spans="1:21" x14ac:dyDescent="0.2">
      <c r="A306">
        <v>1020</v>
      </c>
      <c r="B306">
        <f t="shared" si="32"/>
        <v>305</v>
      </c>
      <c r="C306" t="s">
        <v>915</v>
      </c>
      <c r="D306">
        <v>40</v>
      </c>
      <c r="E306" t="s">
        <v>38</v>
      </c>
      <c r="F306" t="str">
        <f t="shared" si="33"/>
        <v>Female</v>
      </c>
      <c r="G306" s="1">
        <v>46036</v>
      </c>
      <c r="H306" s="1">
        <v>45974</v>
      </c>
      <c r="I306" t="s">
        <v>916</v>
      </c>
      <c r="J306" t="str">
        <f t="shared" si="34"/>
        <v>Lisa Garcia</v>
      </c>
      <c r="K306" t="s">
        <v>24</v>
      </c>
      <c r="L306" t="str">
        <f t="shared" si="35"/>
        <v>Neurology</v>
      </c>
      <c r="M306" t="s">
        <v>917</v>
      </c>
      <c r="N306" t="str">
        <f t="shared" si="36"/>
        <v>EUR</v>
      </c>
      <c r="O306">
        <f t="shared" si="37"/>
        <v>406.43</v>
      </c>
      <c r="P306" cm="1">
        <f t="array" ref="P306">_xlfn.IFS(N306="USD",O306*1,N306="GBP",O306*1.27,N306="EUR",O306*1.09,N306="INR",O306*0.012,N306="N/A","N/A")</f>
        <v>443.00870000000003</v>
      </c>
      <c r="Q306" t="s">
        <v>60</v>
      </c>
      <c r="R306" t="str" cm="1">
        <f t="array" ref="R306">_xlfn.IFS(Q306="Y","Yes", Q306="Yes","Yes", Q306="N","No", Q306="No","No", Q306=1,"N/A", Q306=0,"N/A", TRUE,"")</f>
        <v>No</v>
      </c>
      <c r="S306">
        <f t="shared" si="38"/>
        <v>10</v>
      </c>
      <c r="T306">
        <f t="shared" si="39"/>
        <v>1</v>
      </c>
      <c r="U306" t="str" cm="1">
        <f t="array" ref="U306">_xlfn.IFS(D306&lt;40,"Young Adult",AND(D306&gt;=40,D306&lt;65),"Middle Aged", D306&gt;=65,"Elderly")</f>
        <v>Middle Aged</v>
      </c>
    </row>
    <row r="307" spans="1:21" x14ac:dyDescent="0.2">
      <c r="A307">
        <v>1053</v>
      </c>
      <c r="B307">
        <f t="shared" si="32"/>
        <v>306</v>
      </c>
      <c r="C307" t="s">
        <v>918</v>
      </c>
      <c r="D307">
        <v>76</v>
      </c>
      <c r="E307" t="s">
        <v>71</v>
      </c>
      <c r="F307" t="str">
        <f t="shared" si="33"/>
        <v>Male</v>
      </c>
      <c r="G307" s="1">
        <v>45827</v>
      </c>
      <c r="H307" s="1">
        <v>45777</v>
      </c>
      <c r="I307" t="s">
        <v>919</v>
      </c>
      <c r="J307" t="str">
        <f t="shared" si="34"/>
        <v>Denise Hall</v>
      </c>
      <c r="K307" t="s">
        <v>13</v>
      </c>
      <c r="L307" t="str">
        <f t="shared" si="35"/>
        <v>Cardiology</v>
      </c>
      <c r="M307" t="s">
        <v>920</v>
      </c>
      <c r="N307" t="str">
        <f t="shared" si="36"/>
        <v>EUR</v>
      </c>
      <c r="O307">
        <f t="shared" si="37"/>
        <v>334.38</v>
      </c>
      <c r="P307" cm="1">
        <f t="array" ref="P307">_xlfn.IFS(N307="USD",O307*1,N307="GBP",O307*1.27,N307="EUR",O307*1.09,N307="INR",O307*0.012,N307="N/A","N/A")</f>
        <v>364.4742</v>
      </c>
      <c r="Q307">
        <v>0</v>
      </c>
      <c r="R307" t="str" cm="1">
        <f t="array" ref="R307">_xlfn.IFS(Q307="Y","Yes", Q307="Yes","Yes", Q307="N","No", Q307="No","No", Q307=1,"N/A", Q307=0,"N/A", TRUE,"")</f>
        <v>N/A</v>
      </c>
      <c r="S307">
        <f t="shared" si="38"/>
        <v>14</v>
      </c>
      <c r="T307">
        <f t="shared" si="39"/>
        <v>1</v>
      </c>
      <c r="U307" t="str" cm="1">
        <f t="array" ref="U307">_xlfn.IFS(D307&lt;40,"Young Adult",AND(D307&gt;=40,D307&lt;65),"Middle Aged", D307&gt;=65,"Elderly")</f>
        <v>Elderly</v>
      </c>
    </row>
    <row r="308" spans="1:21" x14ac:dyDescent="0.2">
      <c r="A308">
        <v>1011</v>
      </c>
      <c r="B308">
        <f t="shared" si="32"/>
        <v>307</v>
      </c>
      <c r="C308" t="s">
        <v>921</v>
      </c>
      <c r="D308">
        <v>60</v>
      </c>
      <c r="E308" t="s">
        <v>71</v>
      </c>
      <c r="F308" t="str">
        <f t="shared" si="33"/>
        <v>Male</v>
      </c>
      <c r="G308" s="1">
        <v>45830</v>
      </c>
      <c r="H308" s="1">
        <v>45408</v>
      </c>
      <c r="I308" t="s">
        <v>922</v>
      </c>
      <c r="J308" t="str">
        <f t="shared" si="34"/>
        <v>Morgan Mccoy</v>
      </c>
      <c r="K308" t="s">
        <v>13</v>
      </c>
      <c r="L308" t="str">
        <f t="shared" si="35"/>
        <v>Cardiology</v>
      </c>
      <c r="M308" t="s">
        <v>923</v>
      </c>
      <c r="N308" t="str">
        <f t="shared" si="36"/>
        <v>INR</v>
      </c>
      <c r="O308">
        <f t="shared" si="37"/>
        <v>125.6</v>
      </c>
      <c r="P308" cm="1">
        <f t="array" ref="P308">_xlfn.IFS(N308="USD",O308*1,N308="GBP",O308*1.27,N308="EUR",O308*1.09,N308="INR",O308*0.012,N308="N/A","N/A")</f>
        <v>1.5071999999999999</v>
      </c>
      <c r="Q308">
        <v>0</v>
      </c>
      <c r="R308" t="str" cm="1">
        <f t="array" ref="R308">_xlfn.IFS(Q308="Y","Yes", Q308="Yes","Yes", Q308="N","No", Q308="No","No", Q308=1,"N/A", Q308=0,"N/A", TRUE,"")</f>
        <v>N/A</v>
      </c>
      <c r="S308">
        <f t="shared" si="38"/>
        <v>7</v>
      </c>
      <c r="T308">
        <f t="shared" si="39"/>
        <v>1</v>
      </c>
      <c r="U308" t="str" cm="1">
        <f t="array" ref="U308">_xlfn.IFS(D308&lt;40,"Young Adult",AND(D308&gt;=40,D308&lt;65),"Middle Aged", D308&gt;=65,"Elderly")</f>
        <v>Middle Aged</v>
      </c>
    </row>
    <row r="309" spans="1:21" x14ac:dyDescent="0.2">
      <c r="A309">
        <v>1074</v>
      </c>
      <c r="B309">
        <f t="shared" si="32"/>
        <v>308</v>
      </c>
      <c r="C309" t="s">
        <v>924</v>
      </c>
      <c r="D309">
        <v>51</v>
      </c>
      <c r="E309" t="s">
        <v>22</v>
      </c>
      <c r="F309" t="str">
        <f t="shared" si="33"/>
        <v>Male</v>
      </c>
      <c r="G309" s="1">
        <v>46019</v>
      </c>
      <c r="H309" s="1">
        <v>45764</v>
      </c>
      <c r="I309" t="s">
        <v>925</v>
      </c>
      <c r="J309" t="str">
        <f t="shared" si="34"/>
        <v>Timothy Beasley</v>
      </c>
      <c r="K309" t="s">
        <v>28</v>
      </c>
      <c r="L309" t="str">
        <f t="shared" si="35"/>
        <v>General</v>
      </c>
      <c r="M309" t="s">
        <v>926</v>
      </c>
      <c r="N309" t="str">
        <f t="shared" si="36"/>
        <v>GBP</v>
      </c>
      <c r="O309">
        <f t="shared" si="37"/>
        <v>377.85</v>
      </c>
      <c r="P309" cm="1">
        <f t="array" ref="P309">_xlfn.IFS(N309="USD",O309*1,N309="GBP",O309*1.27,N309="EUR",O309*1.09,N309="INR",O309*0.012,N309="N/A","N/A")</f>
        <v>479.86950000000002</v>
      </c>
      <c r="Q309" t="s">
        <v>60</v>
      </c>
      <c r="R309" t="str" cm="1">
        <f t="array" ref="R309">_xlfn.IFS(Q309="Y","Yes", Q309="Yes","Yes", Q309="N","No", Q309="No","No", Q309=1,"N/A", Q309=0,"N/A", TRUE,"")</f>
        <v>No</v>
      </c>
      <c r="S309">
        <f t="shared" si="38"/>
        <v>17</v>
      </c>
      <c r="T309">
        <f t="shared" si="39"/>
        <v>1</v>
      </c>
      <c r="U309" t="str" cm="1">
        <f t="array" ref="U309">_xlfn.IFS(D309&lt;40,"Young Adult",AND(D309&gt;=40,D309&lt;65),"Middle Aged", D309&gt;=65,"Elderly")</f>
        <v>Middle Aged</v>
      </c>
    </row>
    <row r="310" spans="1:21" x14ac:dyDescent="0.2">
      <c r="A310">
        <v>1051</v>
      </c>
      <c r="B310">
        <f t="shared" si="32"/>
        <v>309</v>
      </c>
      <c r="C310" t="s">
        <v>927</v>
      </c>
      <c r="D310">
        <v>52</v>
      </c>
      <c r="E310" t="s">
        <v>2937</v>
      </c>
      <c r="F310" t="str">
        <f t="shared" si="33"/>
        <v>N/A</v>
      </c>
      <c r="G310" s="1">
        <v>45907</v>
      </c>
      <c r="H310" s="1">
        <v>45405</v>
      </c>
      <c r="I310" t="s">
        <v>928</v>
      </c>
      <c r="J310" t="str">
        <f t="shared" si="34"/>
        <v>Michelle Carter</v>
      </c>
      <c r="K310" t="s">
        <v>13</v>
      </c>
      <c r="L310" t="str">
        <f t="shared" si="35"/>
        <v>Cardiology</v>
      </c>
      <c r="M310" t="s">
        <v>929</v>
      </c>
      <c r="N310" t="str">
        <f t="shared" si="36"/>
        <v>GBP</v>
      </c>
      <c r="O310">
        <f t="shared" si="37"/>
        <v>450.24</v>
      </c>
      <c r="P310" cm="1">
        <f t="array" ref="P310">_xlfn.IFS(N310="USD",O310*1,N310="GBP",O310*1.27,N310="EUR",O310*1.09,N310="INR",O310*0.012,N310="N/A","N/A")</f>
        <v>571.8048</v>
      </c>
      <c r="Q310">
        <v>1</v>
      </c>
      <c r="R310" t="str" cm="1">
        <f t="array" ref="R310">_xlfn.IFS(Q310="Y","Yes", Q310="Yes","Yes", Q310="N","No", Q310="No","No", Q310=1,"N/A", Q310=0,"N/A", TRUE,"")</f>
        <v>N/A</v>
      </c>
      <c r="S310">
        <f t="shared" si="38"/>
        <v>9</v>
      </c>
      <c r="T310">
        <f t="shared" si="39"/>
        <v>1</v>
      </c>
      <c r="U310" t="str" cm="1">
        <f t="array" ref="U310">_xlfn.IFS(D310&lt;40,"Young Adult",AND(D310&gt;=40,D310&lt;65),"Middle Aged", D310&gt;=65,"Elderly")</f>
        <v>Middle Aged</v>
      </c>
    </row>
    <row r="311" spans="1:21" x14ac:dyDescent="0.2">
      <c r="A311">
        <v>1029</v>
      </c>
      <c r="B311">
        <f t="shared" si="32"/>
        <v>310</v>
      </c>
      <c r="C311" t="s">
        <v>930</v>
      </c>
      <c r="D311">
        <v>43</v>
      </c>
      <c r="E311" t="s">
        <v>38</v>
      </c>
      <c r="F311" t="str">
        <f t="shared" si="33"/>
        <v>Female</v>
      </c>
      <c r="G311" s="1">
        <v>45925</v>
      </c>
      <c r="H311" s="1">
        <v>45595</v>
      </c>
      <c r="I311" t="s">
        <v>931</v>
      </c>
      <c r="J311" t="str">
        <f t="shared" si="34"/>
        <v>Christopher Sexton</v>
      </c>
      <c r="K311" t="s">
        <v>13</v>
      </c>
      <c r="L311" t="str">
        <f t="shared" si="35"/>
        <v>Cardiology</v>
      </c>
      <c r="M311" t="s">
        <v>932</v>
      </c>
      <c r="N311" t="str">
        <f t="shared" si="36"/>
        <v>EUR</v>
      </c>
      <c r="O311">
        <f t="shared" si="37"/>
        <v>382.81</v>
      </c>
      <c r="P311" cm="1">
        <f t="array" ref="P311">_xlfn.IFS(N311="USD",O311*1,N311="GBP",O311*1.27,N311="EUR",O311*1.09,N311="INR",O311*0.012,N311="N/A","N/A")</f>
        <v>417.26290000000006</v>
      </c>
      <c r="Q311">
        <v>1</v>
      </c>
      <c r="R311" t="str" cm="1">
        <f t="array" ref="R311">_xlfn.IFS(Q311="Y","Yes", Q311="Yes","Yes", Q311="N","No", Q311="No","No", Q311=1,"N/A", Q311=0,"N/A", TRUE,"")</f>
        <v>N/A</v>
      </c>
      <c r="S311">
        <f t="shared" si="38"/>
        <v>8</v>
      </c>
      <c r="T311">
        <f t="shared" si="39"/>
        <v>1</v>
      </c>
      <c r="U311" t="str" cm="1">
        <f t="array" ref="U311">_xlfn.IFS(D311&lt;40,"Young Adult",AND(D311&gt;=40,D311&lt;65),"Middle Aged", D311&gt;=65,"Elderly")</f>
        <v>Middle Aged</v>
      </c>
    </row>
    <row r="312" spans="1:21" x14ac:dyDescent="0.2">
      <c r="A312">
        <v>1043</v>
      </c>
      <c r="B312">
        <f t="shared" si="32"/>
        <v>311</v>
      </c>
      <c r="C312" t="s">
        <v>933</v>
      </c>
      <c r="D312">
        <v>38</v>
      </c>
      <c r="E312" t="s">
        <v>71</v>
      </c>
      <c r="F312" t="str">
        <f t="shared" si="33"/>
        <v>Male</v>
      </c>
      <c r="G312" s="1">
        <v>46047</v>
      </c>
      <c r="H312" s="1">
        <v>45391</v>
      </c>
      <c r="I312" t="s">
        <v>934</v>
      </c>
      <c r="J312" t="str">
        <f t="shared" si="34"/>
        <v>Adam Moore</v>
      </c>
      <c r="K312" t="s">
        <v>24</v>
      </c>
      <c r="L312" t="str">
        <f t="shared" si="35"/>
        <v>Neurology</v>
      </c>
      <c r="M312" t="s">
        <v>935</v>
      </c>
      <c r="N312" t="str">
        <f t="shared" si="36"/>
        <v>USD</v>
      </c>
      <c r="O312">
        <f t="shared" si="37"/>
        <v>424.21</v>
      </c>
      <c r="P312" cm="1">
        <f t="array" ref="P312">_xlfn.IFS(N312="USD",O312*1,N312="GBP",O312*1.27,N312="EUR",O312*1.09,N312="INR",O312*0.012,N312="N/A","N/A")</f>
        <v>424.21</v>
      </c>
      <c r="Q312" t="s">
        <v>60</v>
      </c>
      <c r="R312" t="str" cm="1">
        <f t="array" ref="R312">_xlfn.IFS(Q312="Y","Yes", Q312="Yes","Yes", Q312="N","No", Q312="No","No", Q312=1,"N/A", Q312=0,"N/A", TRUE,"")</f>
        <v>No</v>
      </c>
      <c r="S312">
        <f t="shared" si="38"/>
        <v>12</v>
      </c>
      <c r="T312">
        <f t="shared" si="39"/>
        <v>1</v>
      </c>
      <c r="U312" t="str" cm="1">
        <f t="array" ref="U312">_xlfn.IFS(D312&lt;40,"Young Adult",AND(D312&gt;=40,D312&lt;65),"Middle Aged", D312&gt;=65,"Elderly")</f>
        <v>Young Adult</v>
      </c>
    </row>
    <row r="313" spans="1:21" x14ac:dyDescent="0.2">
      <c r="A313">
        <v>1095</v>
      </c>
      <c r="B313">
        <f t="shared" si="32"/>
        <v>312</v>
      </c>
      <c r="C313" t="s">
        <v>936</v>
      </c>
      <c r="D313">
        <v>84</v>
      </c>
      <c r="E313" t="s">
        <v>16</v>
      </c>
      <c r="F313" t="str">
        <f t="shared" si="33"/>
        <v>Female</v>
      </c>
      <c r="G313" s="1">
        <v>46068</v>
      </c>
      <c r="H313" s="1">
        <v>45982</v>
      </c>
      <c r="I313" t="s">
        <v>937</v>
      </c>
      <c r="J313" t="str">
        <f t="shared" si="34"/>
        <v>Melissa Schmidt</v>
      </c>
      <c r="K313" t="s">
        <v>18</v>
      </c>
      <c r="L313" t="str">
        <f t="shared" si="35"/>
        <v>Orthopedics</v>
      </c>
      <c r="M313" t="s">
        <v>938</v>
      </c>
      <c r="N313" t="str">
        <f t="shared" si="36"/>
        <v>EUR</v>
      </c>
      <c r="O313">
        <f t="shared" si="37"/>
        <v>258.38</v>
      </c>
      <c r="P313" cm="1">
        <f t="array" ref="P313">_xlfn.IFS(N313="USD",O313*1,N313="GBP",O313*1.27,N313="EUR",O313*1.09,N313="INR",O313*0.012,N313="N/A","N/A")</f>
        <v>281.63420000000002</v>
      </c>
      <c r="Q313" t="s">
        <v>20</v>
      </c>
      <c r="R313" t="str" cm="1">
        <f t="array" ref="R313">_xlfn.IFS(Q313="Y","Yes", Q313="Yes","Yes", Q313="N","No", Q313="No","No", Q313=1,"N/A", Q313=0,"N/A", TRUE,"")</f>
        <v>Yes</v>
      </c>
      <c r="S313">
        <f t="shared" si="38"/>
        <v>12</v>
      </c>
      <c r="T313">
        <f t="shared" si="39"/>
        <v>1</v>
      </c>
      <c r="U313" t="str" cm="1">
        <f t="array" ref="U313">_xlfn.IFS(D313&lt;40,"Young Adult",AND(D313&gt;=40,D313&lt;65),"Middle Aged", D313&gt;=65,"Elderly")</f>
        <v>Elderly</v>
      </c>
    </row>
    <row r="314" spans="1:21" x14ac:dyDescent="0.2">
      <c r="A314">
        <v>1080</v>
      </c>
      <c r="B314">
        <f t="shared" si="32"/>
        <v>313</v>
      </c>
      <c r="C314" t="s">
        <v>939</v>
      </c>
      <c r="D314">
        <v>40</v>
      </c>
      <c r="E314" t="s">
        <v>2937</v>
      </c>
      <c r="F314" t="str">
        <f t="shared" si="33"/>
        <v>N/A</v>
      </c>
      <c r="G314" s="1">
        <v>45896</v>
      </c>
      <c r="H314" s="1">
        <v>45851</v>
      </c>
      <c r="I314" t="s">
        <v>940</v>
      </c>
      <c r="J314" t="str">
        <f t="shared" si="34"/>
        <v>Christine Wilson</v>
      </c>
      <c r="K314" t="s">
        <v>18</v>
      </c>
      <c r="L314" t="str">
        <f t="shared" si="35"/>
        <v>Orthopedics</v>
      </c>
      <c r="M314" t="s">
        <v>941</v>
      </c>
      <c r="N314" t="str">
        <f t="shared" si="36"/>
        <v>INR</v>
      </c>
      <c r="O314">
        <f t="shared" si="37"/>
        <v>366.15</v>
      </c>
      <c r="P314" cm="1">
        <f t="array" ref="P314">_xlfn.IFS(N314="USD",O314*1,N314="GBP",O314*1.27,N314="EUR",O314*1.09,N314="INR",O314*0.012,N314="N/A","N/A")</f>
        <v>4.3937999999999997</v>
      </c>
      <c r="Q314" t="s">
        <v>36</v>
      </c>
      <c r="R314" t="str" cm="1">
        <f t="array" ref="R314">_xlfn.IFS(Q314="Y","Yes", Q314="Yes","Yes", Q314="N","No", Q314="No","No", Q314=1,"N/A", Q314=0,"N/A", TRUE,"")</f>
        <v>Yes</v>
      </c>
      <c r="S314">
        <f t="shared" si="38"/>
        <v>11</v>
      </c>
      <c r="T314">
        <f t="shared" si="39"/>
        <v>1</v>
      </c>
      <c r="U314" t="str" cm="1">
        <f t="array" ref="U314">_xlfn.IFS(D314&lt;40,"Young Adult",AND(D314&gt;=40,D314&lt;65),"Middle Aged", D314&gt;=65,"Elderly")</f>
        <v>Middle Aged</v>
      </c>
    </row>
    <row r="315" spans="1:21" x14ac:dyDescent="0.2">
      <c r="A315">
        <v>1082</v>
      </c>
      <c r="B315">
        <f t="shared" si="32"/>
        <v>314</v>
      </c>
      <c r="C315" t="s">
        <v>942</v>
      </c>
      <c r="D315">
        <v>89</v>
      </c>
      <c r="E315" t="s">
        <v>2937</v>
      </c>
      <c r="F315" t="str">
        <f t="shared" si="33"/>
        <v>N/A</v>
      </c>
      <c r="G315" s="1">
        <v>45743</v>
      </c>
      <c r="H315" s="1">
        <v>45642</v>
      </c>
      <c r="I315" t="s">
        <v>943</v>
      </c>
      <c r="J315" t="str">
        <f t="shared" si="34"/>
        <v>Barry Bennett</v>
      </c>
      <c r="K315" t="s">
        <v>13</v>
      </c>
      <c r="L315" t="str">
        <f t="shared" si="35"/>
        <v>Cardiology</v>
      </c>
      <c r="M315" t="s">
        <v>944</v>
      </c>
      <c r="N315" t="str">
        <f t="shared" si="36"/>
        <v>INR</v>
      </c>
      <c r="O315">
        <f t="shared" si="37"/>
        <v>466.92</v>
      </c>
      <c r="P315" cm="1">
        <f t="array" ref="P315">_xlfn.IFS(N315="USD",O315*1,N315="GBP",O315*1.27,N315="EUR",O315*1.09,N315="INR",O315*0.012,N315="N/A","N/A")</f>
        <v>5.60304</v>
      </c>
      <c r="Q315" t="s">
        <v>60</v>
      </c>
      <c r="R315" t="str" cm="1">
        <f t="array" ref="R315">_xlfn.IFS(Q315="Y","Yes", Q315="Yes","Yes", Q315="N","No", Q315="No","No", Q315=1,"N/A", Q315=0,"N/A", TRUE,"")</f>
        <v>No</v>
      </c>
      <c r="S315">
        <f t="shared" si="38"/>
        <v>14</v>
      </c>
      <c r="T315">
        <f t="shared" si="39"/>
        <v>1</v>
      </c>
      <c r="U315" t="str" cm="1">
        <f t="array" ref="U315">_xlfn.IFS(D315&lt;40,"Young Adult",AND(D315&gt;=40,D315&lt;65),"Middle Aged", D315&gt;=65,"Elderly")</f>
        <v>Elderly</v>
      </c>
    </row>
    <row r="316" spans="1:21" x14ac:dyDescent="0.2">
      <c r="A316">
        <v>1058</v>
      </c>
      <c r="B316">
        <f t="shared" si="32"/>
        <v>315</v>
      </c>
      <c r="C316" t="s">
        <v>945</v>
      </c>
      <c r="D316">
        <v>57</v>
      </c>
      <c r="E316" t="s">
        <v>2937</v>
      </c>
      <c r="F316" t="str">
        <f t="shared" si="33"/>
        <v>N/A</v>
      </c>
      <c r="G316" s="1">
        <v>45960</v>
      </c>
      <c r="H316" s="1">
        <v>45531</v>
      </c>
      <c r="I316" t="s">
        <v>946</v>
      </c>
      <c r="J316" t="str">
        <f t="shared" si="34"/>
        <v>Kimberly Douglas</v>
      </c>
      <c r="K316" t="s">
        <v>24</v>
      </c>
      <c r="L316" t="str">
        <f t="shared" si="35"/>
        <v>Neurology</v>
      </c>
      <c r="M316" t="s">
        <v>947</v>
      </c>
      <c r="N316" t="str">
        <f t="shared" si="36"/>
        <v>GBP</v>
      </c>
      <c r="O316">
        <f t="shared" si="37"/>
        <v>114.67</v>
      </c>
      <c r="P316" cm="1">
        <f t="array" ref="P316">_xlfn.IFS(N316="USD",O316*1,N316="GBP",O316*1.27,N316="EUR",O316*1.09,N316="INR",O316*0.012,N316="N/A","N/A")</f>
        <v>145.6309</v>
      </c>
      <c r="Q316" t="s">
        <v>20</v>
      </c>
      <c r="R316" t="str" cm="1">
        <f t="array" ref="R316">_xlfn.IFS(Q316="Y","Yes", Q316="Yes","Yes", Q316="N","No", Q316="No","No", Q316=1,"N/A", Q316=0,"N/A", TRUE,"")</f>
        <v>Yes</v>
      </c>
      <c r="S316">
        <f t="shared" si="38"/>
        <v>17</v>
      </c>
      <c r="T316">
        <f t="shared" si="39"/>
        <v>1</v>
      </c>
      <c r="U316" t="str" cm="1">
        <f t="array" ref="U316">_xlfn.IFS(D316&lt;40,"Young Adult",AND(D316&gt;=40,D316&lt;65),"Middle Aged", D316&gt;=65,"Elderly")</f>
        <v>Middle Aged</v>
      </c>
    </row>
    <row r="317" spans="1:21" x14ac:dyDescent="0.2">
      <c r="A317">
        <v>1088</v>
      </c>
      <c r="B317">
        <f t="shared" si="32"/>
        <v>316</v>
      </c>
      <c r="C317" t="s">
        <v>948</v>
      </c>
      <c r="D317">
        <v>26</v>
      </c>
      <c r="E317" t="s">
        <v>38</v>
      </c>
      <c r="F317" t="str">
        <f t="shared" si="33"/>
        <v>Female</v>
      </c>
      <c r="G317" s="1">
        <v>46085</v>
      </c>
      <c r="H317" s="1">
        <v>46019</v>
      </c>
      <c r="I317" t="s">
        <v>949</v>
      </c>
      <c r="J317" t="str">
        <f t="shared" si="34"/>
        <v>Michael Wright</v>
      </c>
      <c r="K317" t="s">
        <v>13</v>
      </c>
      <c r="L317" t="str">
        <f t="shared" si="35"/>
        <v>Cardiology</v>
      </c>
      <c r="M317" t="s">
        <v>950</v>
      </c>
      <c r="N317" t="str">
        <f t="shared" si="36"/>
        <v>INR</v>
      </c>
      <c r="O317">
        <f t="shared" si="37"/>
        <v>71.67</v>
      </c>
      <c r="P317" cm="1">
        <f t="array" ref="P317">_xlfn.IFS(N317="USD",O317*1,N317="GBP",O317*1.27,N317="EUR",O317*1.09,N317="INR",O317*0.012,N317="N/A","N/A")</f>
        <v>0.86004000000000003</v>
      </c>
      <c r="Q317">
        <v>0</v>
      </c>
      <c r="R317" t="str" cm="1">
        <f t="array" ref="R317">_xlfn.IFS(Q317="Y","Yes", Q317="Yes","Yes", Q317="N","No", Q317="No","No", Q317=1,"N/A", Q317=0,"N/A", TRUE,"")</f>
        <v>N/A</v>
      </c>
      <c r="S317">
        <f t="shared" si="38"/>
        <v>16</v>
      </c>
      <c r="T317">
        <f t="shared" si="39"/>
        <v>1</v>
      </c>
      <c r="U317" t="str" cm="1">
        <f t="array" ref="U317">_xlfn.IFS(D317&lt;40,"Young Adult",AND(D317&gt;=40,D317&lt;65),"Middle Aged", D317&gt;=65,"Elderly")</f>
        <v>Young Adult</v>
      </c>
    </row>
    <row r="318" spans="1:21" x14ac:dyDescent="0.2">
      <c r="A318">
        <v>1039</v>
      </c>
      <c r="B318">
        <f t="shared" si="32"/>
        <v>317</v>
      </c>
      <c r="C318" t="s">
        <v>951</v>
      </c>
      <c r="D318">
        <v>61</v>
      </c>
      <c r="E318" t="s">
        <v>2937</v>
      </c>
      <c r="F318" t="str">
        <f t="shared" si="33"/>
        <v>N/A</v>
      </c>
      <c r="G318" s="1">
        <v>45968</v>
      </c>
      <c r="H318" s="1">
        <v>45921</v>
      </c>
      <c r="I318" t="s">
        <v>952</v>
      </c>
      <c r="J318" t="str">
        <f t="shared" si="34"/>
        <v>Stephanie Douglas</v>
      </c>
      <c r="K318" t="s">
        <v>28</v>
      </c>
      <c r="L318" t="str">
        <f t="shared" si="35"/>
        <v>General</v>
      </c>
      <c r="M318" t="s">
        <v>953</v>
      </c>
      <c r="N318" t="str">
        <f t="shared" si="36"/>
        <v>INR</v>
      </c>
      <c r="O318">
        <f t="shared" si="37"/>
        <v>264.27</v>
      </c>
      <c r="P318" cm="1">
        <f t="array" ref="P318">_xlfn.IFS(N318="USD",O318*1,N318="GBP",O318*1.27,N318="EUR",O318*1.09,N318="INR",O318*0.012,N318="N/A","N/A")</f>
        <v>3.1712400000000001</v>
      </c>
      <c r="Q318">
        <v>0</v>
      </c>
      <c r="R318" t="str" cm="1">
        <f t="array" ref="R318">_xlfn.IFS(Q318="Y","Yes", Q318="Yes","Yes", Q318="N","No", Q318="No","No", Q318=1,"N/A", Q318=0,"N/A", TRUE,"")</f>
        <v>N/A</v>
      </c>
      <c r="S318">
        <f t="shared" si="38"/>
        <v>8</v>
      </c>
      <c r="T318">
        <f t="shared" si="39"/>
        <v>1</v>
      </c>
      <c r="U318" t="str" cm="1">
        <f t="array" ref="U318">_xlfn.IFS(D318&lt;40,"Young Adult",AND(D318&gt;=40,D318&lt;65),"Middle Aged", D318&gt;=65,"Elderly")</f>
        <v>Middle Aged</v>
      </c>
    </row>
    <row r="319" spans="1:21" x14ac:dyDescent="0.2">
      <c r="A319">
        <v>1016</v>
      </c>
      <c r="B319">
        <f t="shared" si="32"/>
        <v>318</v>
      </c>
      <c r="C319" t="s">
        <v>954</v>
      </c>
      <c r="D319">
        <v>78</v>
      </c>
      <c r="E319" t="s">
        <v>16</v>
      </c>
      <c r="F319" t="str">
        <f t="shared" si="33"/>
        <v>Female</v>
      </c>
      <c r="G319" s="1">
        <v>45798</v>
      </c>
      <c r="H319" s="1">
        <v>45522</v>
      </c>
      <c r="I319" t="s">
        <v>955</v>
      </c>
      <c r="J319" t="str">
        <f t="shared" si="34"/>
        <v>Diana Neal</v>
      </c>
      <c r="K319" t="s">
        <v>24</v>
      </c>
      <c r="L319" t="str">
        <f t="shared" si="35"/>
        <v>Neurology</v>
      </c>
      <c r="M319" t="s">
        <v>956</v>
      </c>
      <c r="N319" t="str">
        <f t="shared" si="36"/>
        <v>INR</v>
      </c>
      <c r="O319">
        <f t="shared" si="37"/>
        <v>92.45</v>
      </c>
      <c r="P319" cm="1">
        <f t="array" ref="P319">_xlfn.IFS(N319="USD",O319*1,N319="GBP",O319*1.27,N319="EUR",O319*1.09,N319="INR",O319*0.012,N319="N/A","N/A")</f>
        <v>1.1094000000000002</v>
      </c>
      <c r="Q319" t="s">
        <v>20</v>
      </c>
      <c r="R319" t="str" cm="1">
        <f t="array" ref="R319">_xlfn.IFS(Q319="Y","Yes", Q319="Yes","Yes", Q319="N","No", Q319="No","No", Q319=1,"N/A", Q319=0,"N/A", TRUE,"")</f>
        <v>Yes</v>
      </c>
      <c r="S319">
        <f t="shared" si="38"/>
        <v>15</v>
      </c>
      <c r="T319">
        <f t="shared" si="39"/>
        <v>1</v>
      </c>
      <c r="U319" t="str" cm="1">
        <f t="array" ref="U319">_xlfn.IFS(D319&lt;40,"Young Adult",AND(D319&gt;=40,D319&lt;65),"Middle Aged", D319&gt;=65,"Elderly")</f>
        <v>Elderly</v>
      </c>
    </row>
    <row r="320" spans="1:21" x14ac:dyDescent="0.2">
      <c r="A320">
        <v>1098</v>
      </c>
      <c r="B320">
        <f t="shared" si="32"/>
        <v>319</v>
      </c>
      <c r="C320" t="s">
        <v>957</v>
      </c>
      <c r="D320">
        <v>35</v>
      </c>
      <c r="E320" t="s">
        <v>2937</v>
      </c>
      <c r="F320" t="str">
        <f t="shared" si="33"/>
        <v>N/A</v>
      </c>
      <c r="G320" s="1">
        <v>46008</v>
      </c>
      <c r="H320" s="1">
        <v>45409</v>
      </c>
      <c r="I320" t="s">
        <v>958</v>
      </c>
      <c r="J320" t="str">
        <f t="shared" si="34"/>
        <v>Christopher Perez</v>
      </c>
      <c r="K320" t="s">
        <v>18</v>
      </c>
      <c r="L320" t="str">
        <f t="shared" si="35"/>
        <v>Orthopedics</v>
      </c>
      <c r="M320" t="s">
        <v>959</v>
      </c>
      <c r="N320" t="str">
        <f t="shared" si="36"/>
        <v>INR</v>
      </c>
      <c r="O320">
        <f t="shared" si="37"/>
        <v>441.33</v>
      </c>
      <c r="P320" cm="1">
        <f t="array" ref="P320">_xlfn.IFS(N320="USD",O320*1,N320="GBP",O320*1.27,N320="EUR",O320*1.09,N320="INR",O320*0.012,N320="N/A","N/A")</f>
        <v>5.29596</v>
      </c>
      <c r="Q320" t="s">
        <v>60</v>
      </c>
      <c r="R320" t="str" cm="1">
        <f t="array" ref="R320">_xlfn.IFS(Q320="Y","Yes", Q320="Yes","Yes", Q320="N","No", Q320="No","No", Q320=1,"N/A", Q320=0,"N/A", TRUE,"")</f>
        <v>No</v>
      </c>
      <c r="S320">
        <f t="shared" si="38"/>
        <v>12</v>
      </c>
      <c r="T320">
        <f t="shared" si="39"/>
        <v>1</v>
      </c>
      <c r="U320" t="str" cm="1">
        <f t="array" ref="U320">_xlfn.IFS(D320&lt;40,"Young Adult",AND(D320&gt;=40,D320&lt;65),"Middle Aged", D320&gt;=65,"Elderly")</f>
        <v>Young Adult</v>
      </c>
    </row>
    <row r="321" spans="1:21" x14ac:dyDescent="0.2">
      <c r="A321">
        <v>1025</v>
      </c>
      <c r="B321">
        <f t="shared" si="32"/>
        <v>320</v>
      </c>
      <c r="C321" t="s">
        <v>960</v>
      </c>
      <c r="D321">
        <v>40</v>
      </c>
      <c r="E321" t="s">
        <v>51</v>
      </c>
      <c r="F321" t="str">
        <f t="shared" si="33"/>
        <v>Male</v>
      </c>
      <c r="G321" s="1">
        <v>45880</v>
      </c>
      <c r="H321" s="1">
        <v>45506</v>
      </c>
      <c r="I321" t="s">
        <v>961</v>
      </c>
      <c r="J321" t="str">
        <f t="shared" si="34"/>
        <v>Matthew Mccann</v>
      </c>
      <c r="K321" t="s">
        <v>18</v>
      </c>
      <c r="L321" t="str">
        <f t="shared" si="35"/>
        <v>Orthopedics</v>
      </c>
      <c r="M321" t="s">
        <v>962</v>
      </c>
      <c r="N321" t="str">
        <f t="shared" si="36"/>
        <v>INR</v>
      </c>
      <c r="O321">
        <f t="shared" si="37"/>
        <v>258.77999999999997</v>
      </c>
      <c r="P321" cm="1">
        <f t="array" ref="P321">_xlfn.IFS(N321="USD",O321*1,N321="GBP",O321*1.27,N321="EUR",O321*1.09,N321="INR",O321*0.012,N321="N/A","N/A")</f>
        <v>3.1053599999999997</v>
      </c>
      <c r="Q321">
        <v>0</v>
      </c>
      <c r="R321" t="str" cm="1">
        <f t="array" ref="R321">_xlfn.IFS(Q321="Y","Yes", Q321="Yes","Yes", Q321="N","No", Q321="No","No", Q321=1,"N/A", Q321=0,"N/A", TRUE,"")</f>
        <v>N/A</v>
      </c>
      <c r="S321">
        <f t="shared" si="38"/>
        <v>9</v>
      </c>
      <c r="T321">
        <f t="shared" si="39"/>
        <v>1</v>
      </c>
      <c r="U321" t="str" cm="1">
        <f t="array" ref="U321">_xlfn.IFS(D321&lt;40,"Young Adult",AND(D321&gt;=40,D321&lt;65),"Middle Aged", D321&gt;=65,"Elderly")</f>
        <v>Middle Aged</v>
      </c>
    </row>
    <row r="322" spans="1:21" x14ac:dyDescent="0.2">
      <c r="A322">
        <v>1012</v>
      </c>
      <c r="B322">
        <f t="shared" si="32"/>
        <v>321</v>
      </c>
      <c r="C322" t="s">
        <v>963</v>
      </c>
      <c r="D322">
        <v>59</v>
      </c>
      <c r="E322" t="s">
        <v>38</v>
      </c>
      <c r="F322" t="str">
        <f t="shared" si="33"/>
        <v>Female</v>
      </c>
      <c r="G322" s="1">
        <v>45778</v>
      </c>
      <c r="H322" s="1">
        <v>45567</v>
      </c>
      <c r="I322" t="s">
        <v>964</v>
      </c>
      <c r="J322" t="str">
        <f t="shared" si="34"/>
        <v>Lynn Cruz</v>
      </c>
      <c r="K322" t="s">
        <v>28</v>
      </c>
      <c r="L322" t="str">
        <f t="shared" si="35"/>
        <v>General</v>
      </c>
      <c r="M322" t="s">
        <v>965</v>
      </c>
      <c r="N322" t="str">
        <f t="shared" si="36"/>
        <v>INR</v>
      </c>
      <c r="O322">
        <f t="shared" si="37"/>
        <v>156.71</v>
      </c>
      <c r="P322" cm="1">
        <f t="array" ref="P322">_xlfn.IFS(N322="USD",O322*1,N322="GBP",O322*1.27,N322="EUR",O322*1.09,N322="INR",O322*0.012,N322="N/A","N/A")</f>
        <v>1.8805200000000002</v>
      </c>
      <c r="Q322">
        <v>1</v>
      </c>
      <c r="R322" t="str" cm="1">
        <f t="array" ref="R322">_xlfn.IFS(Q322="Y","Yes", Q322="Yes","Yes", Q322="N","No", Q322="No","No", Q322=1,"N/A", Q322=0,"N/A", TRUE,"")</f>
        <v>N/A</v>
      </c>
      <c r="S322">
        <f t="shared" si="38"/>
        <v>9</v>
      </c>
      <c r="T322">
        <f t="shared" si="39"/>
        <v>1</v>
      </c>
      <c r="U322" t="str" cm="1">
        <f t="array" ref="U322">_xlfn.IFS(D322&lt;40,"Young Adult",AND(D322&gt;=40,D322&lt;65),"Middle Aged", D322&gt;=65,"Elderly")</f>
        <v>Middle Aged</v>
      </c>
    </row>
    <row r="323" spans="1:21" x14ac:dyDescent="0.2">
      <c r="A323">
        <v>1038</v>
      </c>
      <c r="B323">
        <f t="shared" ref="B323:B386" si="40">ROW()-1</f>
        <v>322</v>
      </c>
      <c r="C323" t="s">
        <v>966</v>
      </c>
      <c r="D323">
        <v>57</v>
      </c>
      <c r="E323" t="s">
        <v>38</v>
      </c>
      <c r="F323" t="str">
        <f t="shared" ref="F323:F386" si="41">IF(E323="male","Male",IF(E323="female","Female",IF(E323="F","Female",IF(E323="M","Male",IF(E323="N/A","N/A")))))</f>
        <v>Female</v>
      </c>
      <c r="G323" s="1">
        <v>45776</v>
      </c>
      <c r="H323" s="1">
        <v>45398</v>
      </c>
      <c r="I323" t="s">
        <v>967</v>
      </c>
      <c r="J323" t="str">
        <f t="shared" ref="J323:J386" si="42">PROPER(I323)</f>
        <v>Jacob Mendoza</v>
      </c>
      <c r="K323" t="s">
        <v>24</v>
      </c>
      <c r="L323" t="str">
        <f t="shared" ref="L323:L386" si="43">PROPER(K323)</f>
        <v>Neurology</v>
      </c>
      <c r="M323" t="s">
        <v>968</v>
      </c>
      <c r="N323" t="str">
        <f t="shared" ref="N323:N386" si="44">IF(LEFT(M323,1)="$","USD",IF(LEFT(M323,2)="Rs","INR",IF(LEFT(M323,2)="¬£","GBP",IF(LEFT(M323,3)="‚Ç¨","EUR","N/A"))))</f>
        <v>INR</v>
      </c>
      <c r="O323">
        <f t="shared" ref="O323:O386" si="45">IFERROR(VALUE(SUBSTITUTE(SUBSTITUTE(SUBSTITUTE(SUBSTITUTE(M323,"$",""), "Rs",""),"¬£",""),"‚Ç¨","")), "")</f>
        <v>110.47</v>
      </c>
      <c r="P323" cm="1">
        <f t="array" ref="P323">_xlfn.IFS(N323="USD",O323*1,N323="GBP",O323*1.27,N323="EUR",O323*1.09,N323="INR",O323*0.012,N323="N/A","N/A")</f>
        <v>1.3256399999999999</v>
      </c>
      <c r="Q323" t="s">
        <v>20</v>
      </c>
      <c r="R323" t="str" cm="1">
        <f t="array" ref="R323">_xlfn.IFS(Q323="Y","Yes", Q323="Yes","Yes", Q323="N","No", Q323="No","No", Q323=1,"N/A", Q323=0,"N/A", TRUE,"")</f>
        <v>Yes</v>
      </c>
      <c r="S323">
        <f t="shared" ref="S323:S386" si="46">COUNTIF($A$2:$A$1001, A323)</f>
        <v>10</v>
      </c>
      <c r="T323">
        <f t="shared" ref="T323:T386" si="47">COUNTIFS($A$2:$A$1001, A323, $C$2:$C$1001, C323)</f>
        <v>1</v>
      </c>
      <c r="U323" t="str" cm="1">
        <f t="array" ref="U323">_xlfn.IFS(D323&lt;40,"Young Adult",AND(D323&gt;=40,D323&lt;65),"Middle Aged", D323&gt;=65,"Elderly")</f>
        <v>Middle Aged</v>
      </c>
    </row>
    <row r="324" spans="1:21" x14ac:dyDescent="0.2">
      <c r="A324">
        <v>1000</v>
      </c>
      <c r="B324">
        <f t="shared" si="40"/>
        <v>323</v>
      </c>
      <c r="C324" t="s">
        <v>969</v>
      </c>
      <c r="D324">
        <v>85</v>
      </c>
      <c r="E324" t="s">
        <v>22</v>
      </c>
      <c r="F324" t="str">
        <f t="shared" si="41"/>
        <v>Male</v>
      </c>
      <c r="G324" s="1">
        <v>45823</v>
      </c>
      <c r="H324" s="1">
        <v>45476</v>
      </c>
      <c r="I324" t="s">
        <v>970</v>
      </c>
      <c r="J324" t="str">
        <f t="shared" si="42"/>
        <v>Brian Bowman</v>
      </c>
      <c r="K324" t="s">
        <v>24</v>
      </c>
      <c r="L324" t="str">
        <f t="shared" si="43"/>
        <v>Neurology</v>
      </c>
      <c r="M324" t="s">
        <v>971</v>
      </c>
      <c r="N324" t="str">
        <f t="shared" si="44"/>
        <v>EUR</v>
      </c>
      <c r="O324">
        <f t="shared" si="45"/>
        <v>361.32</v>
      </c>
      <c r="P324" cm="1">
        <f t="array" ref="P324">_xlfn.IFS(N324="USD",O324*1,N324="GBP",O324*1.27,N324="EUR",O324*1.09,N324="INR",O324*0.012,N324="N/A","N/A")</f>
        <v>393.83880000000005</v>
      </c>
      <c r="Q324">
        <v>0</v>
      </c>
      <c r="R324" t="str" cm="1">
        <f t="array" ref="R324">_xlfn.IFS(Q324="Y","Yes", Q324="Yes","Yes", Q324="N","No", Q324="No","No", Q324=1,"N/A", Q324=0,"N/A", TRUE,"")</f>
        <v>N/A</v>
      </c>
      <c r="S324">
        <f t="shared" si="46"/>
        <v>3</v>
      </c>
      <c r="T324">
        <f t="shared" si="47"/>
        <v>1</v>
      </c>
      <c r="U324" t="str" cm="1">
        <f t="array" ref="U324">_xlfn.IFS(D324&lt;40,"Young Adult",AND(D324&gt;=40,D324&lt;65),"Middle Aged", D324&gt;=65,"Elderly")</f>
        <v>Elderly</v>
      </c>
    </row>
    <row r="325" spans="1:21" x14ac:dyDescent="0.2">
      <c r="A325">
        <v>1020</v>
      </c>
      <c r="B325">
        <f t="shared" si="40"/>
        <v>324</v>
      </c>
      <c r="C325" t="s">
        <v>972</v>
      </c>
      <c r="D325">
        <v>76</v>
      </c>
      <c r="E325" t="s">
        <v>38</v>
      </c>
      <c r="F325" t="str">
        <f t="shared" si="41"/>
        <v>Female</v>
      </c>
      <c r="G325" s="1">
        <v>45807</v>
      </c>
      <c r="H325" s="1">
        <v>45500</v>
      </c>
      <c r="I325" t="s">
        <v>973</v>
      </c>
      <c r="J325" t="str">
        <f t="shared" si="42"/>
        <v>Dylan Gibson</v>
      </c>
      <c r="K325" t="s">
        <v>28</v>
      </c>
      <c r="L325" t="str">
        <f t="shared" si="43"/>
        <v>General</v>
      </c>
      <c r="M325" t="s">
        <v>974</v>
      </c>
      <c r="N325" t="str">
        <f t="shared" si="44"/>
        <v>EUR</v>
      </c>
      <c r="O325">
        <f t="shared" si="45"/>
        <v>405.85</v>
      </c>
      <c r="P325" cm="1">
        <f t="array" ref="P325">_xlfn.IFS(N325="USD",O325*1,N325="GBP",O325*1.27,N325="EUR",O325*1.09,N325="INR",O325*0.012,N325="N/A","N/A")</f>
        <v>442.37650000000008</v>
      </c>
      <c r="Q325" t="s">
        <v>30</v>
      </c>
      <c r="R325" t="str" cm="1">
        <f t="array" ref="R325">_xlfn.IFS(Q325="Y","Yes", Q325="Yes","Yes", Q325="N","No", Q325="No","No", Q325=1,"N/A", Q325=0,"N/A", TRUE,"")</f>
        <v>No</v>
      </c>
      <c r="S325">
        <f t="shared" si="46"/>
        <v>10</v>
      </c>
      <c r="T325">
        <f t="shared" si="47"/>
        <v>1</v>
      </c>
      <c r="U325" t="str" cm="1">
        <f t="array" ref="U325">_xlfn.IFS(D325&lt;40,"Young Adult",AND(D325&gt;=40,D325&lt;65),"Middle Aged", D325&gt;=65,"Elderly")</f>
        <v>Elderly</v>
      </c>
    </row>
    <row r="326" spans="1:21" x14ac:dyDescent="0.2">
      <c r="A326">
        <v>1010</v>
      </c>
      <c r="B326">
        <f t="shared" si="40"/>
        <v>325</v>
      </c>
      <c r="C326" t="s">
        <v>975</v>
      </c>
      <c r="D326">
        <v>87</v>
      </c>
      <c r="E326" t="s">
        <v>2937</v>
      </c>
      <c r="F326" t="str">
        <f t="shared" si="41"/>
        <v>N/A</v>
      </c>
      <c r="G326" s="1">
        <v>45813</v>
      </c>
      <c r="H326" s="1">
        <v>45396</v>
      </c>
      <c r="I326" t="s">
        <v>976</v>
      </c>
      <c r="J326" t="str">
        <f t="shared" si="42"/>
        <v>Lori Reid</v>
      </c>
      <c r="K326" t="s">
        <v>24</v>
      </c>
      <c r="L326" t="str">
        <f t="shared" si="43"/>
        <v>Neurology</v>
      </c>
      <c r="M326" t="s">
        <v>977</v>
      </c>
      <c r="N326" t="str">
        <f t="shared" si="44"/>
        <v>INR</v>
      </c>
      <c r="O326">
        <f t="shared" si="45"/>
        <v>496.78</v>
      </c>
      <c r="P326" cm="1">
        <f t="array" ref="P326">_xlfn.IFS(N326="USD",O326*1,N326="GBP",O326*1.27,N326="EUR",O326*1.09,N326="INR",O326*0.012,N326="N/A","N/A")</f>
        <v>5.96136</v>
      </c>
      <c r="Q326">
        <v>1</v>
      </c>
      <c r="R326" t="str" cm="1">
        <f t="array" ref="R326">_xlfn.IFS(Q326="Y","Yes", Q326="Yes","Yes", Q326="N","No", Q326="No","No", Q326=1,"N/A", Q326=0,"N/A", TRUE,"")</f>
        <v>N/A</v>
      </c>
      <c r="S326">
        <f t="shared" si="46"/>
        <v>10</v>
      </c>
      <c r="T326">
        <f t="shared" si="47"/>
        <v>1</v>
      </c>
      <c r="U326" t="str" cm="1">
        <f t="array" ref="U326">_xlfn.IFS(D326&lt;40,"Young Adult",AND(D326&gt;=40,D326&lt;65),"Middle Aged", D326&gt;=65,"Elderly")</f>
        <v>Elderly</v>
      </c>
    </row>
    <row r="327" spans="1:21" x14ac:dyDescent="0.2">
      <c r="A327">
        <v>1031</v>
      </c>
      <c r="B327">
        <f t="shared" si="40"/>
        <v>326</v>
      </c>
      <c r="C327" t="s">
        <v>978</v>
      </c>
      <c r="D327">
        <v>40</v>
      </c>
      <c r="E327" t="s">
        <v>2937</v>
      </c>
      <c r="F327" t="str">
        <f t="shared" si="41"/>
        <v>N/A</v>
      </c>
      <c r="G327" s="1">
        <v>46065</v>
      </c>
      <c r="H327" s="1">
        <v>45394</v>
      </c>
      <c r="I327" t="s">
        <v>979</v>
      </c>
      <c r="J327" t="str">
        <f t="shared" si="42"/>
        <v>Dr. Deborah Fitzgerald</v>
      </c>
      <c r="K327" t="s">
        <v>24</v>
      </c>
      <c r="L327" t="str">
        <f t="shared" si="43"/>
        <v>Neurology</v>
      </c>
      <c r="M327" t="s">
        <v>980</v>
      </c>
      <c r="N327" t="str">
        <f t="shared" si="44"/>
        <v>USD</v>
      </c>
      <c r="O327">
        <f t="shared" si="45"/>
        <v>364.33</v>
      </c>
      <c r="P327" cm="1">
        <f t="array" ref="P327">_xlfn.IFS(N327="USD",O327*1,N327="GBP",O327*1.27,N327="EUR",O327*1.09,N327="INR",O327*0.012,N327="N/A","N/A")</f>
        <v>364.33</v>
      </c>
      <c r="Q327" t="s">
        <v>60</v>
      </c>
      <c r="R327" t="str" cm="1">
        <f t="array" ref="R327">_xlfn.IFS(Q327="Y","Yes", Q327="Yes","Yes", Q327="N","No", Q327="No","No", Q327=1,"N/A", Q327=0,"N/A", TRUE,"")</f>
        <v>No</v>
      </c>
      <c r="S327">
        <f t="shared" si="46"/>
        <v>13</v>
      </c>
      <c r="T327">
        <f t="shared" si="47"/>
        <v>1</v>
      </c>
      <c r="U327" t="str" cm="1">
        <f t="array" ref="U327">_xlfn.IFS(D327&lt;40,"Young Adult",AND(D327&gt;=40,D327&lt;65),"Middle Aged", D327&gt;=65,"Elderly")</f>
        <v>Middle Aged</v>
      </c>
    </row>
    <row r="328" spans="1:21" x14ac:dyDescent="0.2">
      <c r="A328">
        <v>1006</v>
      </c>
      <c r="B328">
        <f t="shared" si="40"/>
        <v>327</v>
      </c>
      <c r="C328" t="s">
        <v>981</v>
      </c>
      <c r="D328">
        <v>54</v>
      </c>
      <c r="E328" t="s">
        <v>38</v>
      </c>
      <c r="F328" t="str">
        <f t="shared" si="41"/>
        <v>Female</v>
      </c>
      <c r="G328" s="1">
        <v>45826</v>
      </c>
      <c r="H328" s="1">
        <v>45602</v>
      </c>
      <c r="I328" t="s">
        <v>982</v>
      </c>
      <c r="J328" t="str">
        <f t="shared" si="42"/>
        <v>Alex Richards</v>
      </c>
      <c r="K328" t="s">
        <v>24</v>
      </c>
      <c r="L328" t="str">
        <f t="shared" si="43"/>
        <v>Neurology</v>
      </c>
      <c r="M328" t="s">
        <v>983</v>
      </c>
      <c r="N328" t="str">
        <f t="shared" si="44"/>
        <v>INR</v>
      </c>
      <c r="O328">
        <f t="shared" si="45"/>
        <v>119.63</v>
      </c>
      <c r="P328" cm="1">
        <f t="array" ref="P328">_xlfn.IFS(N328="USD",O328*1,N328="GBP",O328*1.27,N328="EUR",O328*1.09,N328="INR",O328*0.012,N328="N/A","N/A")</f>
        <v>1.4355599999999999</v>
      </c>
      <c r="Q328" t="s">
        <v>30</v>
      </c>
      <c r="R328" t="str" cm="1">
        <f t="array" ref="R328">_xlfn.IFS(Q328="Y","Yes", Q328="Yes","Yes", Q328="N","No", Q328="No","No", Q328=1,"N/A", Q328=0,"N/A", TRUE,"")</f>
        <v>No</v>
      </c>
      <c r="S328">
        <f t="shared" si="46"/>
        <v>8</v>
      </c>
      <c r="T328">
        <f t="shared" si="47"/>
        <v>1</v>
      </c>
      <c r="U328" t="str" cm="1">
        <f t="array" ref="U328">_xlfn.IFS(D328&lt;40,"Young Adult",AND(D328&gt;=40,D328&lt;65),"Middle Aged", D328&gt;=65,"Elderly")</f>
        <v>Middle Aged</v>
      </c>
    </row>
    <row r="329" spans="1:21" x14ac:dyDescent="0.2">
      <c r="A329">
        <v>1078</v>
      </c>
      <c r="B329">
        <f t="shared" si="40"/>
        <v>328</v>
      </c>
      <c r="C329" t="s">
        <v>984</v>
      </c>
      <c r="D329">
        <v>85</v>
      </c>
      <c r="E329" t="s">
        <v>16</v>
      </c>
      <c r="F329" t="str">
        <f t="shared" si="41"/>
        <v>Female</v>
      </c>
      <c r="G329" s="1">
        <v>45858</v>
      </c>
      <c r="H329" s="1">
        <v>45623</v>
      </c>
      <c r="I329" t="s">
        <v>985</v>
      </c>
      <c r="J329" t="str">
        <f t="shared" si="42"/>
        <v>Jennifer Tanner</v>
      </c>
      <c r="K329" t="s">
        <v>28</v>
      </c>
      <c r="L329" t="str">
        <f t="shared" si="43"/>
        <v>General</v>
      </c>
      <c r="M329" t="s">
        <v>986</v>
      </c>
      <c r="N329" t="str">
        <f t="shared" si="44"/>
        <v>GBP</v>
      </c>
      <c r="O329">
        <f t="shared" si="45"/>
        <v>399.55</v>
      </c>
      <c r="P329" cm="1">
        <f t="array" ref="P329">_xlfn.IFS(N329="USD",O329*1,N329="GBP",O329*1.27,N329="EUR",O329*1.09,N329="INR",O329*0.012,N329="N/A","N/A")</f>
        <v>507.42850000000004</v>
      </c>
      <c r="Q329">
        <v>0</v>
      </c>
      <c r="R329" t="str" cm="1">
        <f t="array" ref="R329">_xlfn.IFS(Q329="Y","Yes", Q329="Yes","Yes", Q329="N","No", Q329="No","No", Q329=1,"N/A", Q329=0,"N/A", TRUE,"")</f>
        <v>N/A</v>
      </c>
      <c r="S329">
        <f t="shared" si="46"/>
        <v>8</v>
      </c>
      <c r="T329">
        <f t="shared" si="47"/>
        <v>1</v>
      </c>
      <c r="U329" t="str" cm="1">
        <f t="array" ref="U329">_xlfn.IFS(D329&lt;40,"Young Adult",AND(D329&gt;=40,D329&lt;65),"Middle Aged", D329&gt;=65,"Elderly")</f>
        <v>Elderly</v>
      </c>
    </row>
    <row r="330" spans="1:21" x14ac:dyDescent="0.2">
      <c r="A330">
        <v>1021</v>
      </c>
      <c r="B330">
        <f t="shared" si="40"/>
        <v>329</v>
      </c>
      <c r="C330" t="s">
        <v>987</v>
      </c>
      <c r="D330">
        <v>43</v>
      </c>
      <c r="E330" t="s">
        <v>16</v>
      </c>
      <c r="F330" t="str">
        <f t="shared" si="41"/>
        <v>Female</v>
      </c>
      <c r="G330" s="1">
        <v>45772</v>
      </c>
      <c r="H330" s="1">
        <v>45748</v>
      </c>
      <c r="I330" t="s">
        <v>988</v>
      </c>
      <c r="J330" t="str">
        <f t="shared" si="42"/>
        <v>Alison Castro</v>
      </c>
      <c r="K330" t="s">
        <v>24</v>
      </c>
      <c r="L330" t="str">
        <f t="shared" si="43"/>
        <v>Neurology</v>
      </c>
      <c r="M330" t="s">
        <v>989</v>
      </c>
      <c r="N330" t="str">
        <f t="shared" si="44"/>
        <v>INR</v>
      </c>
      <c r="O330">
        <f t="shared" si="45"/>
        <v>186.4</v>
      </c>
      <c r="P330" cm="1">
        <f t="array" ref="P330">_xlfn.IFS(N330="USD",O330*1,N330="GBP",O330*1.27,N330="EUR",O330*1.09,N330="INR",O330*0.012,N330="N/A","N/A")</f>
        <v>2.2368000000000001</v>
      </c>
      <c r="Q330">
        <v>0</v>
      </c>
      <c r="R330" t="str" cm="1">
        <f t="array" ref="R330">_xlfn.IFS(Q330="Y","Yes", Q330="Yes","Yes", Q330="N","No", Q330="No","No", Q330=1,"N/A", Q330=0,"N/A", TRUE,"")</f>
        <v>N/A</v>
      </c>
      <c r="S330">
        <f t="shared" si="46"/>
        <v>16</v>
      </c>
      <c r="T330">
        <f t="shared" si="47"/>
        <v>1</v>
      </c>
      <c r="U330" t="str" cm="1">
        <f t="array" ref="U330">_xlfn.IFS(D330&lt;40,"Young Adult",AND(D330&gt;=40,D330&lt;65),"Middle Aged", D330&gt;=65,"Elderly")</f>
        <v>Middle Aged</v>
      </c>
    </row>
    <row r="331" spans="1:21" x14ac:dyDescent="0.2">
      <c r="A331">
        <v>1084</v>
      </c>
      <c r="B331">
        <f t="shared" si="40"/>
        <v>330</v>
      </c>
      <c r="C331" t="s">
        <v>990</v>
      </c>
      <c r="D331">
        <v>53</v>
      </c>
      <c r="E331" t="s">
        <v>38</v>
      </c>
      <c r="F331" t="str">
        <f t="shared" si="41"/>
        <v>Female</v>
      </c>
      <c r="G331" s="1">
        <v>45966</v>
      </c>
      <c r="H331" s="1">
        <v>45870</v>
      </c>
      <c r="I331" t="s">
        <v>991</v>
      </c>
      <c r="J331" t="str">
        <f t="shared" si="42"/>
        <v>Megan Austin</v>
      </c>
      <c r="K331" t="s">
        <v>24</v>
      </c>
      <c r="L331" t="str">
        <f t="shared" si="43"/>
        <v>Neurology</v>
      </c>
      <c r="M331" t="s">
        <v>992</v>
      </c>
      <c r="N331" t="str">
        <f t="shared" si="44"/>
        <v>INR</v>
      </c>
      <c r="O331">
        <f t="shared" si="45"/>
        <v>234.99</v>
      </c>
      <c r="P331" cm="1">
        <f t="array" ref="P331">_xlfn.IFS(N331="USD",O331*1,N331="GBP",O331*1.27,N331="EUR",O331*1.09,N331="INR",O331*0.012,N331="N/A","N/A")</f>
        <v>2.8198800000000004</v>
      </c>
      <c r="Q331" t="s">
        <v>36</v>
      </c>
      <c r="R331" t="str" cm="1">
        <f t="array" ref="R331">_xlfn.IFS(Q331="Y","Yes", Q331="Yes","Yes", Q331="N","No", Q331="No","No", Q331=1,"N/A", Q331=0,"N/A", TRUE,"")</f>
        <v>Yes</v>
      </c>
      <c r="S331">
        <f t="shared" si="46"/>
        <v>15</v>
      </c>
      <c r="T331">
        <f t="shared" si="47"/>
        <v>1</v>
      </c>
      <c r="U331" t="str" cm="1">
        <f t="array" ref="U331">_xlfn.IFS(D331&lt;40,"Young Adult",AND(D331&gt;=40,D331&lt;65),"Middle Aged", D331&gt;=65,"Elderly")</f>
        <v>Middle Aged</v>
      </c>
    </row>
    <row r="332" spans="1:21" x14ac:dyDescent="0.2">
      <c r="A332">
        <v>1025</v>
      </c>
      <c r="B332">
        <f t="shared" si="40"/>
        <v>331</v>
      </c>
      <c r="C332" t="s">
        <v>993</v>
      </c>
      <c r="D332">
        <v>55</v>
      </c>
      <c r="E332" t="s">
        <v>38</v>
      </c>
      <c r="F332" t="str">
        <f t="shared" si="41"/>
        <v>Female</v>
      </c>
      <c r="G332" s="1">
        <v>45976</v>
      </c>
      <c r="H332" s="1">
        <v>45479</v>
      </c>
      <c r="I332" t="s">
        <v>994</v>
      </c>
      <c r="J332" t="str">
        <f t="shared" si="42"/>
        <v>Rebecca Ward</v>
      </c>
      <c r="K332" t="s">
        <v>28</v>
      </c>
      <c r="L332" t="str">
        <f t="shared" si="43"/>
        <v>General</v>
      </c>
      <c r="M332" t="s">
        <v>995</v>
      </c>
      <c r="N332" t="str">
        <f t="shared" si="44"/>
        <v>INR</v>
      </c>
      <c r="O332">
        <f t="shared" si="45"/>
        <v>316.26</v>
      </c>
      <c r="P332" cm="1">
        <f t="array" ref="P332">_xlfn.IFS(N332="USD",O332*1,N332="GBP",O332*1.27,N332="EUR",O332*1.09,N332="INR",O332*0.012,N332="N/A","N/A")</f>
        <v>3.7951199999999998</v>
      </c>
      <c r="Q332" t="s">
        <v>30</v>
      </c>
      <c r="R332" t="str" cm="1">
        <f t="array" ref="R332">_xlfn.IFS(Q332="Y","Yes", Q332="Yes","Yes", Q332="N","No", Q332="No","No", Q332=1,"N/A", Q332=0,"N/A", TRUE,"")</f>
        <v>No</v>
      </c>
      <c r="S332">
        <f t="shared" si="46"/>
        <v>9</v>
      </c>
      <c r="T332">
        <f t="shared" si="47"/>
        <v>1</v>
      </c>
      <c r="U332" t="str" cm="1">
        <f t="array" ref="U332">_xlfn.IFS(D332&lt;40,"Young Adult",AND(D332&gt;=40,D332&lt;65),"Middle Aged", D332&gt;=65,"Elderly")</f>
        <v>Middle Aged</v>
      </c>
    </row>
    <row r="333" spans="1:21" x14ac:dyDescent="0.2">
      <c r="A333">
        <v>1015</v>
      </c>
      <c r="B333">
        <f t="shared" si="40"/>
        <v>332</v>
      </c>
      <c r="C333" t="s">
        <v>996</v>
      </c>
      <c r="D333">
        <v>21</v>
      </c>
      <c r="E333" t="s">
        <v>16</v>
      </c>
      <c r="F333" t="str">
        <f t="shared" si="41"/>
        <v>Female</v>
      </c>
      <c r="G333" s="1">
        <v>45998</v>
      </c>
      <c r="H333" s="1">
        <v>45716</v>
      </c>
      <c r="I333" t="s">
        <v>997</v>
      </c>
      <c r="J333" t="str">
        <f t="shared" si="42"/>
        <v>Pamela Wiley</v>
      </c>
      <c r="K333" t="s">
        <v>18</v>
      </c>
      <c r="L333" t="str">
        <f t="shared" si="43"/>
        <v>Orthopedics</v>
      </c>
      <c r="M333" t="s">
        <v>998</v>
      </c>
      <c r="N333" t="str">
        <f t="shared" si="44"/>
        <v>INR</v>
      </c>
      <c r="O333">
        <f t="shared" si="45"/>
        <v>129.91</v>
      </c>
      <c r="P333" cm="1">
        <f t="array" ref="P333">_xlfn.IFS(N333="USD",O333*1,N333="GBP",O333*1.27,N333="EUR",O333*1.09,N333="INR",O333*0.012,N333="N/A","N/A")</f>
        <v>1.5589200000000001</v>
      </c>
      <c r="Q333">
        <v>1</v>
      </c>
      <c r="R333" t="str" cm="1">
        <f t="array" ref="R333">_xlfn.IFS(Q333="Y","Yes", Q333="Yes","Yes", Q333="N","No", Q333="No","No", Q333=1,"N/A", Q333=0,"N/A", TRUE,"")</f>
        <v>N/A</v>
      </c>
      <c r="S333">
        <f t="shared" si="46"/>
        <v>17</v>
      </c>
      <c r="T333">
        <f t="shared" si="47"/>
        <v>1</v>
      </c>
      <c r="U333" t="str" cm="1">
        <f t="array" ref="U333">_xlfn.IFS(D333&lt;40,"Young Adult",AND(D333&gt;=40,D333&lt;65),"Middle Aged", D333&gt;=65,"Elderly")</f>
        <v>Young Adult</v>
      </c>
    </row>
    <row r="334" spans="1:21" x14ac:dyDescent="0.2">
      <c r="A334">
        <v>1084</v>
      </c>
      <c r="B334">
        <f t="shared" si="40"/>
        <v>333</v>
      </c>
      <c r="C334" t="s">
        <v>999</v>
      </c>
      <c r="D334">
        <v>78</v>
      </c>
      <c r="E334" t="s">
        <v>51</v>
      </c>
      <c r="F334" t="str">
        <f t="shared" si="41"/>
        <v>Male</v>
      </c>
      <c r="G334" s="1">
        <v>46064</v>
      </c>
      <c r="H334" s="1">
        <v>45610</v>
      </c>
      <c r="I334" t="s">
        <v>1000</v>
      </c>
      <c r="J334" t="str">
        <f t="shared" si="42"/>
        <v>Tracey Johnson</v>
      </c>
      <c r="K334" t="s">
        <v>24</v>
      </c>
      <c r="L334" t="str">
        <f t="shared" si="43"/>
        <v>Neurology</v>
      </c>
      <c r="M334" t="s">
        <v>1001</v>
      </c>
      <c r="N334" t="str">
        <f t="shared" si="44"/>
        <v>EUR</v>
      </c>
      <c r="O334">
        <f t="shared" si="45"/>
        <v>468.01</v>
      </c>
      <c r="P334" cm="1">
        <f t="array" ref="P334">_xlfn.IFS(N334="USD",O334*1,N334="GBP",O334*1.27,N334="EUR",O334*1.09,N334="INR",O334*0.012,N334="N/A","N/A")</f>
        <v>510.13090000000005</v>
      </c>
      <c r="Q334">
        <v>0</v>
      </c>
      <c r="R334" t="str" cm="1">
        <f t="array" ref="R334">_xlfn.IFS(Q334="Y","Yes", Q334="Yes","Yes", Q334="N","No", Q334="No","No", Q334=1,"N/A", Q334=0,"N/A", TRUE,"")</f>
        <v>N/A</v>
      </c>
      <c r="S334">
        <f t="shared" si="46"/>
        <v>15</v>
      </c>
      <c r="T334">
        <f t="shared" si="47"/>
        <v>1</v>
      </c>
      <c r="U334" t="str" cm="1">
        <f t="array" ref="U334">_xlfn.IFS(D334&lt;40,"Young Adult",AND(D334&gt;=40,D334&lt;65),"Middle Aged", D334&gt;=65,"Elderly")</f>
        <v>Elderly</v>
      </c>
    </row>
    <row r="335" spans="1:21" x14ac:dyDescent="0.2">
      <c r="A335">
        <v>1015</v>
      </c>
      <c r="B335">
        <f t="shared" si="40"/>
        <v>334</v>
      </c>
      <c r="C335" t="s">
        <v>1002</v>
      </c>
      <c r="D335">
        <v>86</v>
      </c>
      <c r="E335" t="s">
        <v>16</v>
      </c>
      <c r="F335" t="str">
        <f t="shared" si="41"/>
        <v>Female</v>
      </c>
      <c r="G335" s="1">
        <v>45882</v>
      </c>
      <c r="H335" s="1">
        <v>45556</v>
      </c>
      <c r="I335" t="s">
        <v>1003</v>
      </c>
      <c r="J335" t="str">
        <f t="shared" si="42"/>
        <v>Ashley Cuevas</v>
      </c>
      <c r="K335" t="s">
        <v>13</v>
      </c>
      <c r="L335" t="str">
        <f t="shared" si="43"/>
        <v>Cardiology</v>
      </c>
      <c r="M335" t="s">
        <v>1004</v>
      </c>
      <c r="N335" t="str">
        <f t="shared" si="44"/>
        <v>INR</v>
      </c>
      <c r="O335">
        <f t="shared" si="45"/>
        <v>459.41</v>
      </c>
      <c r="P335" cm="1">
        <f t="array" ref="P335">_xlfn.IFS(N335="USD",O335*1,N335="GBP",O335*1.27,N335="EUR",O335*1.09,N335="INR",O335*0.012,N335="N/A","N/A")</f>
        <v>5.5129200000000003</v>
      </c>
      <c r="Q335" t="s">
        <v>20</v>
      </c>
      <c r="R335" t="str" cm="1">
        <f t="array" ref="R335">_xlfn.IFS(Q335="Y","Yes", Q335="Yes","Yes", Q335="N","No", Q335="No","No", Q335=1,"N/A", Q335=0,"N/A", TRUE,"")</f>
        <v>Yes</v>
      </c>
      <c r="S335">
        <f t="shared" si="46"/>
        <v>17</v>
      </c>
      <c r="T335">
        <f t="shared" si="47"/>
        <v>1</v>
      </c>
      <c r="U335" t="str" cm="1">
        <f t="array" ref="U335">_xlfn.IFS(D335&lt;40,"Young Adult",AND(D335&gt;=40,D335&lt;65),"Middle Aged", D335&gt;=65,"Elderly")</f>
        <v>Elderly</v>
      </c>
    </row>
    <row r="336" spans="1:21" x14ac:dyDescent="0.2">
      <c r="A336">
        <v>1091</v>
      </c>
      <c r="B336">
        <f t="shared" si="40"/>
        <v>335</v>
      </c>
      <c r="C336" t="s">
        <v>1005</v>
      </c>
      <c r="D336">
        <v>27</v>
      </c>
      <c r="E336" t="s">
        <v>71</v>
      </c>
      <c r="F336" t="str">
        <f t="shared" si="41"/>
        <v>Male</v>
      </c>
      <c r="G336" s="1">
        <v>46031</v>
      </c>
      <c r="H336" s="1">
        <v>45732</v>
      </c>
      <c r="I336" t="s">
        <v>1006</v>
      </c>
      <c r="J336" t="str">
        <f t="shared" si="42"/>
        <v>Amy Dunlap</v>
      </c>
      <c r="K336" t="s">
        <v>18</v>
      </c>
      <c r="L336" t="str">
        <f t="shared" si="43"/>
        <v>Orthopedics</v>
      </c>
      <c r="M336" t="s">
        <v>1007</v>
      </c>
      <c r="N336" t="str">
        <f t="shared" si="44"/>
        <v>EUR</v>
      </c>
      <c r="O336">
        <f t="shared" si="45"/>
        <v>370.25</v>
      </c>
      <c r="P336" cm="1">
        <f t="array" ref="P336">_xlfn.IFS(N336="USD",O336*1,N336="GBP",O336*1.27,N336="EUR",O336*1.09,N336="INR",O336*0.012,N336="N/A","N/A")</f>
        <v>403.57250000000005</v>
      </c>
      <c r="Q336">
        <v>0</v>
      </c>
      <c r="R336" t="str" cm="1">
        <f t="array" ref="R336">_xlfn.IFS(Q336="Y","Yes", Q336="Yes","Yes", Q336="N","No", Q336="No","No", Q336=1,"N/A", Q336=0,"N/A", TRUE,"")</f>
        <v>N/A</v>
      </c>
      <c r="S336">
        <f t="shared" si="46"/>
        <v>9</v>
      </c>
      <c r="T336">
        <f t="shared" si="47"/>
        <v>1</v>
      </c>
      <c r="U336" t="str" cm="1">
        <f t="array" ref="U336">_xlfn.IFS(D336&lt;40,"Young Adult",AND(D336&gt;=40,D336&lt;65),"Middle Aged", D336&gt;=65,"Elderly")</f>
        <v>Young Adult</v>
      </c>
    </row>
    <row r="337" spans="1:21" x14ac:dyDescent="0.2">
      <c r="A337">
        <v>1065</v>
      </c>
      <c r="B337">
        <f t="shared" si="40"/>
        <v>336</v>
      </c>
      <c r="C337" t="s">
        <v>1008</v>
      </c>
      <c r="D337">
        <v>76</v>
      </c>
      <c r="E337" t="s">
        <v>51</v>
      </c>
      <c r="F337" t="str">
        <f t="shared" si="41"/>
        <v>Male</v>
      </c>
      <c r="G337" s="1">
        <v>45836</v>
      </c>
      <c r="H337" s="1">
        <v>45648</v>
      </c>
      <c r="I337" t="s">
        <v>1009</v>
      </c>
      <c r="J337" t="str">
        <f t="shared" si="42"/>
        <v>Charles Jackson</v>
      </c>
      <c r="K337" t="s">
        <v>18</v>
      </c>
      <c r="L337" t="str">
        <f t="shared" si="43"/>
        <v>Orthopedics</v>
      </c>
      <c r="M337" t="s">
        <v>1010</v>
      </c>
      <c r="N337" t="str">
        <f t="shared" si="44"/>
        <v>INR</v>
      </c>
      <c r="O337">
        <f t="shared" si="45"/>
        <v>145.83000000000001</v>
      </c>
      <c r="P337" cm="1">
        <f t="array" ref="P337">_xlfn.IFS(N337="USD",O337*1,N337="GBP",O337*1.27,N337="EUR",O337*1.09,N337="INR",O337*0.012,N337="N/A","N/A")</f>
        <v>1.7499600000000002</v>
      </c>
      <c r="Q337" t="s">
        <v>20</v>
      </c>
      <c r="R337" t="str" cm="1">
        <f t="array" ref="R337">_xlfn.IFS(Q337="Y","Yes", Q337="Yes","Yes", Q337="N","No", Q337="No","No", Q337=1,"N/A", Q337=0,"N/A", TRUE,"")</f>
        <v>Yes</v>
      </c>
      <c r="S337">
        <f t="shared" si="46"/>
        <v>9</v>
      </c>
      <c r="T337">
        <f t="shared" si="47"/>
        <v>1</v>
      </c>
      <c r="U337" t="str" cm="1">
        <f t="array" ref="U337">_xlfn.IFS(D337&lt;40,"Young Adult",AND(D337&gt;=40,D337&lt;65),"Middle Aged", D337&gt;=65,"Elderly")</f>
        <v>Elderly</v>
      </c>
    </row>
    <row r="338" spans="1:21" x14ac:dyDescent="0.2">
      <c r="A338">
        <v>1045</v>
      </c>
      <c r="B338">
        <f t="shared" si="40"/>
        <v>337</v>
      </c>
      <c r="C338" t="s">
        <v>1011</v>
      </c>
      <c r="D338">
        <v>38</v>
      </c>
      <c r="E338" t="s">
        <v>51</v>
      </c>
      <c r="F338" t="str">
        <f t="shared" si="41"/>
        <v>Male</v>
      </c>
      <c r="G338" s="1">
        <v>45888</v>
      </c>
      <c r="H338" s="1">
        <v>45817</v>
      </c>
      <c r="I338" t="s">
        <v>1012</v>
      </c>
      <c r="J338" t="str">
        <f t="shared" si="42"/>
        <v>Jason Morales</v>
      </c>
      <c r="K338" t="s">
        <v>28</v>
      </c>
      <c r="L338" t="str">
        <f t="shared" si="43"/>
        <v>General</v>
      </c>
      <c r="M338" t="s">
        <v>281</v>
      </c>
      <c r="N338" t="str">
        <f t="shared" si="44"/>
        <v>EUR</v>
      </c>
      <c r="O338">
        <f t="shared" si="45"/>
        <v>243.78</v>
      </c>
      <c r="P338" cm="1">
        <f t="array" ref="P338">_xlfn.IFS(N338="USD",O338*1,N338="GBP",O338*1.27,N338="EUR",O338*1.09,N338="INR",O338*0.012,N338="N/A","N/A")</f>
        <v>265.72020000000003</v>
      </c>
      <c r="Q338" t="s">
        <v>36</v>
      </c>
      <c r="R338" t="str" cm="1">
        <f t="array" ref="R338">_xlfn.IFS(Q338="Y","Yes", Q338="Yes","Yes", Q338="N","No", Q338="No","No", Q338=1,"N/A", Q338=0,"N/A", TRUE,"")</f>
        <v>Yes</v>
      </c>
      <c r="S338">
        <f t="shared" si="46"/>
        <v>8</v>
      </c>
      <c r="T338">
        <f t="shared" si="47"/>
        <v>1</v>
      </c>
      <c r="U338" t="str" cm="1">
        <f t="array" ref="U338">_xlfn.IFS(D338&lt;40,"Young Adult",AND(D338&gt;=40,D338&lt;65),"Middle Aged", D338&gt;=65,"Elderly")</f>
        <v>Young Adult</v>
      </c>
    </row>
    <row r="339" spans="1:21" x14ac:dyDescent="0.2">
      <c r="A339">
        <v>1050</v>
      </c>
      <c r="B339">
        <f t="shared" si="40"/>
        <v>338</v>
      </c>
      <c r="C339" t="s">
        <v>1013</v>
      </c>
      <c r="D339">
        <v>81</v>
      </c>
      <c r="E339" t="s">
        <v>51</v>
      </c>
      <c r="F339" t="str">
        <f t="shared" si="41"/>
        <v>Male</v>
      </c>
      <c r="G339" s="1">
        <v>45804</v>
      </c>
      <c r="H339" s="1">
        <v>45555</v>
      </c>
      <c r="I339" t="s">
        <v>1014</v>
      </c>
      <c r="J339" t="str">
        <f t="shared" si="42"/>
        <v>Logan Cooper</v>
      </c>
      <c r="K339" t="s">
        <v>13</v>
      </c>
      <c r="L339" t="str">
        <f t="shared" si="43"/>
        <v>Cardiology</v>
      </c>
      <c r="M339" t="s">
        <v>1015</v>
      </c>
      <c r="N339" t="str">
        <f t="shared" si="44"/>
        <v>USD</v>
      </c>
      <c r="O339">
        <f t="shared" si="45"/>
        <v>184.28</v>
      </c>
      <c r="P339" cm="1">
        <f t="array" ref="P339">_xlfn.IFS(N339="USD",O339*1,N339="GBP",O339*1.27,N339="EUR",O339*1.09,N339="INR",O339*0.012,N339="N/A","N/A")</f>
        <v>184.28</v>
      </c>
      <c r="Q339" t="s">
        <v>20</v>
      </c>
      <c r="R339" t="str" cm="1">
        <f t="array" ref="R339">_xlfn.IFS(Q339="Y","Yes", Q339="Yes","Yes", Q339="N","No", Q339="No","No", Q339=1,"N/A", Q339=0,"N/A", TRUE,"")</f>
        <v>Yes</v>
      </c>
      <c r="S339">
        <f t="shared" si="46"/>
        <v>12</v>
      </c>
      <c r="T339">
        <f t="shared" si="47"/>
        <v>1</v>
      </c>
      <c r="U339" t="str" cm="1">
        <f t="array" ref="U339">_xlfn.IFS(D339&lt;40,"Young Adult",AND(D339&gt;=40,D339&lt;65),"Middle Aged", D339&gt;=65,"Elderly")</f>
        <v>Elderly</v>
      </c>
    </row>
    <row r="340" spans="1:21" x14ac:dyDescent="0.2">
      <c r="A340">
        <v>1058</v>
      </c>
      <c r="B340">
        <f t="shared" si="40"/>
        <v>339</v>
      </c>
      <c r="C340" t="s">
        <v>1016</v>
      </c>
      <c r="D340">
        <v>90</v>
      </c>
      <c r="E340" t="s">
        <v>71</v>
      </c>
      <c r="F340" t="str">
        <f t="shared" si="41"/>
        <v>Male</v>
      </c>
      <c r="G340" s="1">
        <v>45790</v>
      </c>
      <c r="H340" s="1">
        <v>45460</v>
      </c>
      <c r="I340" t="s">
        <v>1017</v>
      </c>
      <c r="J340" t="str">
        <f t="shared" si="42"/>
        <v>Nathaniel Thompson</v>
      </c>
      <c r="K340" t="s">
        <v>28</v>
      </c>
      <c r="L340" t="str">
        <f t="shared" si="43"/>
        <v>General</v>
      </c>
      <c r="M340" t="s">
        <v>1018</v>
      </c>
      <c r="N340" t="str">
        <f t="shared" si="44"/>
        <v>GBP</v>
      </c>
      <c r="O340">
        <f t="shared" si="45"/>
        <v>109.61</v>
      </c>
      <c r="P340" cm="1">
        <f t="array" ref="P340">_xlfn.IFS(N340="USD",O340*1,N340="GBP",O340*1.27,N340="EUR",O340*1.09,N340="INR",O340*0.012,N340="N/A","N/A")</f>
        <v>139.2047</v>
      </c>
      <c r="Q340" t="s">
        <v>36</v>
      </c>
      <c r="R340" t="str" cm="1">
        <f t="array" ref="R340">_xlfn.IFS(Q340="Y","Yes", Q340="Yes","Yes", Q340="N","No", Q340="No","No", Q340=1,"N/A", Q340=0,"N/A", TRUE,"")</f>
        <v>Yes</v>
      </c>
      <c r="S340">
        <f t="shared" si="46"/>
        <v>17</v>
      </c>
      <c r="T340">
        <f t="shared" si="47"/>
        <v>1</v>
      </c>
      <c r="U340" t="str" cm="1">
        <f t="array" ref="U340">_xlfn.IFS(D340&lt;40,"Young Adult",AND(D340&gt;=40,D340&lt;65),"Middle Aged", D340&gt;=65,"Elderly")</f>
        <v>Elderly</v>
      </c>
    </row>
    <row r="341" spans="1:21" x14ac:dyDescent="0.2">
      <c r="A341">
        <v>1047</v>
      </c>
      <c r="B341">
        <f t="shared" si="40"/>
        <v>340</v>
      </c>
      <c r="C341" t="s">
        <v>1019</v>
      </c>
      <c r="D341">
        <v>87</v>
      </c>
      <c r="E341" t="s">
        <v>38</v>
      </c>
      <c r="F341" t="str">
        <f t="shared" si="41"/>
        <v>Female</v>
      </c>
      <c r="G341" s="1">
        <v>45936</v>
      </c>
      <c r="H341" s="1">
        <v>45628</v>
      </c>
      <c r="I341" t="s">
        <v>1020</v>
      </c>
      <c r="J341" t="str">
        <f t="shared" si="42"/>
        <v>Natalie Turner</v>
      </c>
      <c r="K341" t="s">
        <v>28</v>
      </c>
      <c r="L341" t="str">
        <f t="shared" si="43"/>
        <v>General</v>
      </c>
      <c r="M341" t="s">
        <v>1021</v>
      </c>
      <c r="N341" t="str">
        <f t="shared" si="44"/>
        <v>USD</v>
      </c>
      <c r="O341">
        <f t="shared" si="45"/>
        <v>135.41</v>
      </c>
      <c r="P341" cm="1">
        <f t="array" ref="P341">_xlfn.IFS(N341="USD",O341*1,N341="GBP",O341*1.27,N341="EUR",O341*1.09,N341="INR",O341*0.012,N341="N/A","N/A")</f>
        <v>135.41</v>
      </c>
      <c r="Q341" t="s">
        <v>60</v>
      </c>
      <c r="R341" t="str" cm="1">
        <f t="array" ref="R341">_xlfn.IFS(Q341="Y","Yes", Q341="Yes","Yes", Q341="N","No", Q341="No","No", Q341=1,"N/A", Q341=0,"N/A", TRUE,"")</f>
        <v>No</v>
      </c>
      <c r="S341">
        <f t="shared" si="46"/>
        <v>17</v>
      </c>
      <c r="T341">
        <f t="shared" si="47"/>
        <v>1</v>
      </c>
      <c r="U341" t="str" cm="1">
        <f t="array" ref="U341">_xlfn.IFS(D341&lt;40,"Young Adult",AND(D341&gt;=40,D341&lt;65),"Middle Aged", D341&gt;=65,"Elderly")</f>
        <v>Elderly</v>
      </c>
    </row>
    <row r="342" spans="1:21" x14ac:dyDescent="0.2">
      <c r="A342">
        <v>1044</v>
      </c>
      <c r="B342">
        <f t="shared" si="40"/>
        <v>341</v>
      </c>
      <c r="C342" t="s">
        <v>1022</v>
      </c>
      <c r="D342">
        <v>74</v>
      </c>
      <c r="E342" t="s">
        <v>16</v>
      </c>
      <c r="F342" t="str">
        <f t="shared" si="41"/>
        <v>Female</v>
      </c>
      <c r="G342" s="1">
        <v>45749</v>
      </c>
      <c r="H342" s="1">
        <v>45676</v>
      </c>
      <c r="I342" t="s">
        <v>1023</v>
      </c>
      <c r="J342" t="str">
        <f t="shared" si="42"/>
        <v>Kurt Cain</v>
      </c>
      <c r="K342" t="s">
        <v>18</v>
      </c>
      <c r="L342" t="str">
        <f t="shared" si="43"/>
        <v>Orthopedics</v>
      </c>
      <c r="M342" t="s">
        <v>1024</v>
      </c>
      <c r="N342" t="str">
        <f t="shared" si="44"/>
        <v>GBP</v>
      </c>
      <c r="O342">
        <f t="shared" si="45"/>
        <v>109.02</v>
      </c>
      <c r="P342" cm="1">
        <f t="array" ref="P342">_xlfn.IFS(N342="USD",O342*1,N342="GBP",O342*1.27,N342="EUR",O342*1.09,N342="INR",O342*0.012,N342="N/A","N/A")</f>
        <v>138.4554</v>
      </c>
      <c r="Q342">
        <v>0</v>
      </c>
      <c r="R342" t="str" cm="1">
        <f t="array" ref="R342">_xlfn.IFS(Q342="Y","Yes", Q342="Yes","Yes", Q342="N","No", Q342="No","No", Q342=1,"N/A", Q342=0,"N/A", TRUE,"")</f>
        <v>N/A</v>
      </c>
      <c r="S342">
        <f t="shared" si="46"/>
        <v>12</v>
      </c>
      <c r="T342">
        <f t="shared" si="47"/>
        <v>1</v>
      </c>
      <c r="U342" t="str" cm="1">
        <f t="array" ref="U342">_xlfn.IFS(D342&lt;40,"Young Adult",AND(D342&gt;=40,D342&lt;65),"Middle Aged", D342&gt;=65,"Elderly")</f>
        <v>Elderly</v>
      </c>
    </row>
    <row r="343" spans="1:21" x14ac:dyDescent="0.2">
      <c r="A343">
        <v>1049</v>
      </c>
      <c r="B343">
        <f t="shared" si="40"/>
        <v>342</v>
      </c>
      <c r="C343" t="s">
        <v>1025</v>
      </c>
      <c r="D343">
        <v>65</v>
      </c>
      <c r="E343" t="s">
        <v>38</v>
      </c>
      <c r="F343" t="str">
        <f t="shared" si="41"/>
        <v>Female</v>
      </c>
      <c r="G343" s="1">
        <v>46070</v>
      </c>
      <c r="H343" s="1">
        <v>45443</v>
      </c>
      <c r="I343" t="s">
        <v>1026</v>
      </c>
      <c r="J343" t="str">
        <f t="shared" si="42"/>
        <v>Laura Edwards</v>
      </c>
      <c r="K343" t="s">
        <v>13</v>
      </c>
      <c r="L343" t="str">
        <f t="shared" si="43"/>
        <v>Cardiology</v>
      </c>
      <c r="M343" t="s">
        <v>1027</v>
      </c>
      <c r="N343" t="str">
        <f t="shared" si="44"/>
        <v>USD</v>
      </c>
      <c r="O343">
        <f t="shared" si="45"/>
        <v>205.16</v>
      </c>
      <c r="P343" cm="1">
        <f t="array" ref="P343">_xlfn.IFS(N343="USD",O343*1,N343="GBP",O343*1.27,N343="EUR",O343*1.09,N343="INR",O343*0.012,N343="N/A","N/A")</f>
        <v>205.16</v>
      </c>
      <c r="Q343">
        <v>1</v>
      </c>
      <c r="R343" t="str" cm="1">
        <f t="array" ref="R343">_xlfn.IFS(Q343="Y","Yes", Q343="Yes","Yes", Q343="N","No", Q343="No","No", Q343=1,"N/A", Q343=0,"N/A", TRUE,"")</f>
        <v>N/A</v>
      </c>
      <c r="S343">
        <f t="shared" si="46"/>
        <v>8</v>
      </c>
      <c r="T343">
        <f t="shared" si="47"/>
        <v>1</v>
      </c>
      <c r="U343" t="str" cm="1">
        <f t="array" ref="U343">_xlfn.IFS(D343&lt;40,"Young Adult",AND(D343&gt;=40,D343&lt;65),"Middle Aged", D343&gt;=65,"Elderly")</f>
        <v>Elderly</v>
      </c>
    </row>
    <row r="344" spans="1:21" x14ac:dyDescent="0.2">
      <c r="A344">
        <v>1095</v>
      </c>
      <c r="B344">
        <f t="shared" si="40"/>
        <v>343</v>
      </c>
      <c r="C344" t="s">
        <v>1028</v>
      </c>
      <c r="D344">
        <v>53</v>
      </c>
      <c r="E344" t="s">
        <v>16</v>
      </c>
      <c r="F344" t="str">
        <f t="shared" si="41"/>
        <v>Female</v>
      </c>
      <c r="G344" s="1">
        <v>46104</v>
      </c>
      <c r="H344" s="1">
        <v>45749</v>
      </c>
      <c r="I344" t="s">
        <v>1029</v>
      </c>
      <c r="J344" t="str">
        <f t="shared" si="42"/>
        <v>Paula Freeman</v>
      </c>
      <c r="K344" t="s">
        <v>13</v>
      </c>
      <c r="L344" t="str">
        <f t="shared" si="43"/>
        <v>Cardiology</v>
      </c>
      <c r="N344" t="str">
        <f t="shared" si="44"/>
        <v>N/A</v>
      </c>
      <c r="O344" t="str">
        <f t="shared" si="45"/>
        <v/>
      </c>
      <c r="P344" t="str" cm="1">
        <f t="array" ref="P344">_xlfn.IFS(N344="USD",O344*1,N344="GBP",O344*1.27,N344="EUR",O344*1.09,N344="INR",O344*0.012,N344="N/A","N/A")</f>
        <v>N/A</v>
      </c>
      <c r="Q344" t="s">
        <v>20</v>
      </c>
      <c r="R344" t="str" cm="1">
        <f t="array" ref="R344">_xlfn.IFS(Q344="Y","Yes", Q344="Yes","Yes", Q344="N","No", Q344="No","No", Q344=1,"N/A", Q344=0,"N/A", TRUE,"")</f>
        <v>Yes</v>
      </c>
      <c r="S344">
        <f t="shared" si="46"/>
        <v>12</v>
      </c>
      <c r="T344">
        <f t="shared" si="47"/>
        <v>1</v>
      </c>
      <c r="U344" t="str" cm="1">
        <f t="array" ref="U344">_xlfn.IFS(D344&lt;40,"Young Adult",AND(D344&gt;=40,D344&lt;65),"Middle Aged", D344&gt;=65,"Elderly")</f>
        <v>Middle Aged</v>
      </c>
    </row>
    <row r="345" spans="1:21" x14ac:dyDescent="0.2">
      <c r="A345">
        <v>1098</v>
      </c>
      <c r="B345">
        <f t="shared" si="40"/>
        <v>344</v>
      </c>
      <c r="C345" t="s">
        <v>1030</v>
      </c>
      <c r="D345">
        <v>48</v>
      </c>
      <c r="E345" t="s">
        <v>16</v>
      </c>
      <c r="F345" t="str">
        <f t="shared" si="41"/>
        <v>Female</v>
      </c>
      <c r="G345" s="1">
        <v>46027</v>
      </c>
      <c r="H345" s="1">
        <v>45807</v>
      </c>
      <c r="I345" t="s">
        <v>1031</v>
      </c>
      <c r="J345" t="str">
        <f t="shared" si="42"/>
        <v>Linda French</v>
      </c>
      <c r="K345" t="s">
        <v>28</v>
      </c>
      <c r="L345" t="str">
        <f t="shared" si="43"/>
        <v>General</v>
      </c>
      <c r="M345" t="s">
        <v>1032</v>
      </c>
      <c r="N345" t="str">
        <f t="shared" si="44"/>
        <v>USD</v>
      </c>
      <c r="O345">
        <f t="shared" si="45"/>
        <v>296.43</v>
      </c>
      <c r="P345" cm="1">
        <f t="array" ref="P345">_xlfn.IFS(N345="USD",O345*1,N345="GBP",O345*1.27,N345="EUR",O345*1.09,N345="INR",O345*0.012,N345="N/A","N/A")</f>
        <v>296.43</v>
      </c>
      <c r="Q345" t="s">
        <v>36</v>
      </c>
      <c r="R345" t="str" cm="1">
        <f t="array" ref="R345">_xlfn.IFS(Q345="Y","Yes", Q345="Yes","Yes", Q345="N","No", Q345="No","No", Q345=1,"N/A", Q345=0,"N/A", TRUE,"")</f>
        <v>Yes</v>
      </c>
      <c r="S345">
        <f t="shared" si="46"/>
        <v>12</v>
      </c>
      <c r="T345">
        <f t="shared" si="47"/>
        <v>1</v>
      </c>
      <c r="U345" t="str" cm="1">
        <f t="array" ref="U345">_xlfn.IFS(D345&lt;40,"Young Adult",AND(D345&gt;=40,D345&lt;65),"Middle Aged", D345&gt;=65,"Elderly")</f>
        <v>Middle Aged</v>
      </c>
    </row>
    <row r="346" spans="1:21" x14ac:dyDescent="0.2">
      <c r="A346">
        <v>1066</v>
      </c>
      <c r="B346">
        <f t="shared" si="40"/>
        <v>345</v>
      </c>
      <c r="C346" t="s">
        <v>1033</v>
      </c>
      <c r="D346">
        <v>33</v>
      </c>
      <c r="E346" t="s">
        <v>22</v>
      </c>
      <c r="F346" t="str">
        <f t="shared" si="41"/>
        <v>Male</v>
      </c>
      <c r="G346" s="1">
        <v>45840</v>
      </c>
      <c r="H346" s="1">
        <v>45518</v>
      </c>
      <c r="I346" t="s">
        <v>1034</v>
      </c>
      <c r="J346" t="str">
        <f t="shared" si="42"/>
        <v>Joshua Reed</v>
      </c>
      <c r="K346" t="s">
        <v>28</v>
      </c>
      <c r="L346" t="str">
        <f t="shared" si="43"/>
        <v>General</v>
      </c>
      <c r="M346" t="s">
        <v>1035</v>
      </c>
      <c r="N346" t="str">
        <f t="shared" si="44"/>
        <v>USD</v>
      </c>
      <c r="O346">
        <f t="shared" si="45"/>
        <v>233.98</v>
      </c>
      <c r="P346" cm="1">
        <f t="array" ref="P346">_xlfn.IFS(N346="USD",O346*1,N346="GBP",O346*1.27,N346="EUR",O346*1.09,N346="INR",O346*0.012,N346="N/A","N/A")</f>
        <v>233.98</v>
      </c>
      <c r="Q346" t="s">
        <v>30</v>
      </c>
      <c r="R346" t="str" cm="1">
        <f t="array" ref="R346">_xlfn.IFS(Q346="Y","Yes", Q346="Yes","Yes", Q346="N","No", Q346="No","No", Q346=1,"N/A", Q346=0,"N/A", TRUE,"")</f>
        <v>No</v>
      </c>
      <c r="S346">
        <f t="shared" si="46"/>
        <v>11</v>
      </c>
      <c r="T346">
        <f t="shared" si="47"/>
        <v>1</v>
      </c>
      <c r="U346" t="str" cm="1">
        <f t="array" ref="U346">_xlfn.IFS(D346&lt;40,"Young Adult",AND(D346&gt;=40,D346&lt;65),"Middle Aged", D346&gt;=65,"Elderly")</f>
        <v>Young Adult</v>
      </c>
    </row>
    <row r="347" spans="1:21" x14ac:dyDescent="0.2">
      <c r="A347">
        <v>1014</v>
      </c>
      <c r="B347">
        <f t="shared" si="40"/>
        <v>346</v>
      </c>
      <c r="C347" t="s">
        <v>1036</v>
      </c>
      <c r="D347">
        <v>90</v>
      </c>
      <c r="E347" t="s">
        <v>2937</v>
      </c>
      <c r="F347" t="str">
        <f t="shared" si="41"/>
        <v>N/A</v>
      </c>
      <c r="G347" s="1">
        <v>46065</v>
      </c>
      <c r="H347" s="1">
        <v>45518</v>
      </c>
      <c r="I347" t="s">
        <v>1037</v>
      </c>
      <c r="J347" t="str">
        <f t="shared" si="42"/>
        <v>Mrs. Michelle Ramsey</v>
      </c>
      <c r="K347" t="s">
        <v>18</v>
      </c>
      <c r="L347" t="str">
        <f t="shared" si="43"/>
        <v>Orthopedics</v>
      </c>
      <c r="M347" t="s">
        <v>1038</v>
      </c>
      <c r="N347" t="str">
        <f t="shared" si="44"/>
        <v>EUR</v>
      </c>
      <c r="O347">
        <f t="shared" si="45"/>
        <v>474.34</v>
      </c>
      <c r="P347" cm="1">
        <f t="array" ref="P347">_xlfn.IFS(N347="USD",O347*1,N347="GBP",O347*1.27,N347="EUR",O347*1.09,N347="INR",O347*0.012,N347="N/A","N/A")</f>
        <v>517.03060000000005</v>
      </c>
      <c r="Q347" t="s">
        <v>60</v>
      </c>
      <c r="R347" t="str" cm="1">
        <f t="array" ref="R347">_xlfn.IFS(Q347="Y","Yes", Q347="Yes","Yes", Q347="N","No", Q347="No","No", Q347=1,"N/A", Q347=0,"N/A", TRUE,"")</f>
        <v>No</v>
      </c>
      <c r="S347">
        <f t="shared" si="46"/>
        <v>10</v>
      </c>
      <c r="T347">
        <f t="shared" si="47"/>
        <v>1</v>
      </c>
      <c r="U347" t="str" cm="1">
        <f t="array" ref="U347">_xlfn.IFS(D347&lt;40,"Young Adult",AND(D347&gt;=40,D347&lt;65),"Middle Aged", D347&gt;=65,"Elderly")</f>
        <v>Elderly</v>
      </c>
    </row>
    <row r="348" spans="1:21" x14ac:dyDescent="0.2">
      <c r="A348">
        <v>1003</v>
      </c>
      <c r="B348">
        <f t="shared" si="40"/>
        <v>347</v>
      </c>
      <c r="C348" t="s">
        <v>1039</v>
      </c>
      <c r="D348">
        <v>61</v>
      </c>
      <c r="E348" t="s">
        <v>2937</v>
      </c>
      <c r="F348" t="str">
        <f t="shared" si="41"/>
        <v>N/A</v>
      </c>
      <c r="G348" s="1">
        <v>45869</v>
      </c>
      <c r="H348" s="1">
        <v>45770</v>
      </c>
      <c r="I348" t="s">
        <v>1040</v>
      </c>
      <c r="J348" t="str">
        <f t="shared" si="42"/>
        <v>Toni Rodriguez</v>
      </c>
      <c r="K348" t="s">
        <v>24</v>
      </c>
      <c r="L348" t="str">
        <f t="shared" si="43"/>
        <v>Neurology</v>
      </c>
      <c r="M348" t="s">
        <v>1041</v>
      </c>
      <c r="N348" t="str">
        <f t="shared" si="44"/>
        <v>GBP</v>
      </c>
      <c r="O348">
        <f t="shared" si="45"/>
        <v>317.83999999999997</v>
      </c>
      <c r="P348" cm="1">
        <f t="array" ref="P348">_xlfn.IFS(N348="USD",O348*1,N348="GBP",O348*1.27,N348="EUR",O348*1.09,N348="INR",O348*0.012,N348="N/A","N/A")</f>
        <v>403.65679999999998</v>
      </c>
      <c r="Q348">
        <v>0</v>
      </c>
      <c r="R348" t="str" cm="1">
        <f t="array" ref="R348">_xlfn.IFS(Q348="Y","Yes", Q348="Yes","Yes", Q348="N","No", Q348="No","No", Q348=1,"N/A", Q348=0,"N/A", TRUE,"")</f>
        <v>N/A</v>
      </c>
      <c r="S348">
        <f t="shared" si="46"/>
        <v>12</v>
      </c>
      <c r="T348">
        <f t="shared" si="47"/>
        <v>1</v>
      </c>
      <c r="U348" t="str" cm="1">
        <f t="array" ref="U348">_xlfn.IFS(D348&lt;40,"Young Adult",AND(D348&gt;=40,D348&lt;65),"Middle Aged", D348&gt;=65,"Elderly")</f>
        <v>Middle Aged</v>
      </c>
    </row>
    <row r="349" spans="1:21" x14ac:dyDescent="0.2">
      <c r="A349">
        <v>1056</v>
      </c>
      <c r="B349">
        <f t="shared" si="40"/>
        <v>348</v>
      </c>
      <c r="C349" t="s">
        <v>1042</v>
      </c>
      <c r="D349">
        <v>46</v>
      </c>
      <c r="E349" t="s">
        <v>2937</v>
      </c>
      <c r="F349" t="str">
        <f t="shared" si="41"/>
        <v>N/A</v>
      </c>
      <c r="G349" s="1">
        <v>46093</v>
      </c>
      <c r="H349" s="1">
        <v>45880</v>
      </c>
      <c r="I349" t="s">
        <v>1043</v>
      </c>
      <c r="J349" t="str">
        <f t="shared" si="42"/>
        <v>Alexa Martin</v>
      </c>
      <c r="K349" t="s">
        <v>24</v>
      </c>
      <c r="L349" t="str">
        <f t="shared" si="43"/>
        <v>Neurology</v>
      </c>
      <c r="M349" t="s">
        <v>1044</v>
      </c>
      <c r="N349" t="str">
        <f t="shared" si="44"/>
        <v>INR</v>
      </c>
      <c r="O349">
        <f t="shared" si="45"/>
        <v>435.55</v>
      </c>
      <c r="P349" cm="1">
        <f t="array" ref="P349">_xlfn.IFS(N349="USD",O349*1,N349="GBP",O349*1.27,N349="EUR",O349*1.09,N349="INR",O349*0.012,N349="N/A","N/A")</f>
        <v>5.2266000000000004</v>
      </c>
      <c r="Q349">
        <v>0</v>
      </c>
      <c r="R349" t="str" cm="1">
        <f t="array" ref="R349">_xlfn.IFS(Q349="Y","Yes", Q349="Yes","Yes", Q349="N","No", Q349="No","No", Q349=1,"N/A", Q349=0,"N/A", TRUE,"")</f>
        <v>N/A</v>
      </c>
      <c r="S349">
        <f t="shared" si="46"/>
        <v>13</v>
      </c>
      <c r="T349">
        <f t="shared" si="47"/>
        <v>1</v>
      </c>
      <c r="U349" t="str" cm="1">
        <f t="array" ref="U349">_xlfn.IFS(D349&lt;40,"Young Adult",AND(D349&gt;=40,D349&lt;65),"Middle Aged", D349&gt;=65,"Elderly")</f>
        <v>Middle Aged</v>
      </c>
    </row>
    <row r="350" spans="1:21" x14ac:dyDescent="0.2">
      <c r="A350">
        <v>1033</v>
      </c>
      <c r="B350">
        <f t="shared" si="40"/>
        <v>349</v>
      </c>
      <c r="C350" t="s">
        <v>1045</v>
      </c>
      <c r="D350">
        <v>48</v>
      </c>
      <c r="E350" t="s">
        <v>2937</v>
      </c>
      <c r="F350" t="str">
        <f t="shared" si="41"/>
        <v>N/A</v>
      </c>
      <c r="G350" s="1">
        <v>45838</v>
      </c>
      <c r="H350" s="1">
        <v>45681</v>
      </c>
      <c r="I350" t="s">
        <v>360</v>
      </c>
      <c r="J350" t="str">
        <f t="shared" si="42"/>
        <v>Nancy Hernandez</v>
      </c>
      <c r="K350" t="s">
        <v>18</v>
      </c>
      <c r="L350" t="str">
        <f t="shared" si="43"/>
        <v>Orthopedics</v>
      </c>
      <c r="M350" t="s">
        <v>1046</v>
      </c>
      <c r="N350" t="str">
        <f t="shared" si="44"/>
        <v>INR</v>
      </c>
      <c r="O350">
        <f t="shared" si="45"/>
        <v>88.58</v>
      </c>
      <c r="P350" cm="1">
        <f t="array" ref="P350">_xlfn.IFS(N350="USD",O350*1,N350="GBP",O350*1.27,N350="EUR",O350*1.09,N350="INR",O350*0.012,N350="N/A","N/A")</f>
        <v>1.0629599999999999</v>
      </c>
      <c r="Q350" t="s">
        <v>30</v>
      </c>
      <c r="R350" t="str" cm="1">
        <f t="array" ref="R350">_xlfn.IFS(Q350="Y","Yes", Q350="Yes","Yes", Q350="N","No", Q350="No","No", Q350=1,"N/A", Q350=0,"N/A", TRUE,"")</f>
        <v>No</v>
      </c>
      <c r="S350">
        <f t="shared" si="46"/>
        <v>11</v>
      </c>
      <c r="T350">
        <f t="shared" si="47"/>
        <v>1</v>
      </c>
      <c r="U350" t="str" cm="1">
        <f t="array" ref="U350">_xlfn.IFS(D350&lt;40,"Young Adult",AND(D350&gt;=40,D350&lt;65),"Middle Aged", D350&gt;=65,"Elderly")</f>
        <v>Middle Aged</v>
      </c>
    </row>
    <row r="351" spans="1:21" x14ac:dyDescent="0.2">
      <c r="A351">
        <v>1095</v>
      </c>
      <c r="B351">
        <f t="shared" si="40"/>
        <v>350</v>
      </c>
      <c r="C351" t="s">
        <v>1047</v>
      </c>
      <c r="D351">
        <v>37</v>
      </c>
      <c r="E351" t="s">
        <v>2937</v>
      </c>
      <c r="F351" t="str">
        <f t="shared" si="41"/>
        <v>N/A</v>
      </c>
      <c r="G351" s="1">
        <v>45951</v>
      </c>
      <c r="H351" s="1">
        <v>45876</v>
      </c>
      <c r="I351" t="s">
        <v>1048</v>
      </c>
      <c r="J351" t="str">
        <f t="shared" si="42"/>
        <v>Cynthia Green</v>
      </c>
      <c r="K351" t="s">
        <v>13</v>
      </c>
      <c r="L351" t="str">
        <f t="shared" si="43"/>
        <v>Cardiology</v>
      </c>
      <c r="N351" t="str">
        <f t="shared" si="44"/>
        <v>N/A</v>
      </c>
      <c r="O351" t="str">
        <f t="shared" si="45"/>
        <v/>
      </c>
      <c r="P351" t="str" cm="1">
        <f t="array" ref="P351">_xlfn.IFS(N351="USD",O351*1,N351="GBP",O351*1.27,N351="EUR",O351*1.09,N351="INR",O351*0.012,N351="N/A","N/A")</f>
        <v>N/A</v>
      </c>
      <c r="Q351" t="s">
        <v>36</v>
      </c>
      <c r="R351" t="str" cm="1">
        <f t="array" ref="R351">_xlfn.IFS(Q351="Y","Yes", Q351="Yes","Yes", Q351="N","No", Q351="No","No", Q351=1,"N/A", Q351=0,"N/A", TRUE,"")</f>
        <v>Yes</v>
      </c>
      <c r="S351">
        <f t="shared" si="46"/>
        <v>12</v>
      </c>
      <c r="T351">
        <f t="shared" si="47"/>
        <v>1</v>
      </c>
      <c r="U351" t="str" cm="1">
        <f t="array" ref="U351">_xlfn.IFS(D351&lt;40,"Young Adult",AND(D351&gt;=40,D351&lt;65),"Middle Aged", D351&gt;=65,"Elderly")</f>
        <v>Young Adult</v>
      </c>
    </row>
    <row r="352" spans="1:21" x14ac:dyDescent="0.2">
      <c r="A352">
        <v>1036</v>
      </c>
      <c r="B352">
        <f t="shared" si="40"/>
        <v>351</v>
      </c>
      <c r="C352" t="s">
        <v>1049</v>
      </c>
      <c r="D352">
        <v>27</v>
      </c>
      <c r="E352" t="s">
        <v>71</v>
      </c>
      <c r="F352" t="str">
        <f t="shared" si="41"/>
        <v>Male</v>
      </c>
      <c r="G352" s="1">
        <v>46101</v>
      </c>
      <c r="H352" s="1">
        <v>46062</v>
      </c>
      <c r="I352" t="s">
        <v>1050</v>
      </c>
      <c r="J352" t="str">
        <f t="shared" si="42"/>
        <v>Tonya Kennedy</v>
      </c>
      <c r="K352" t="s">
        <v>13</v>
      </c>
      <c r="L352" t="str">
        <f t="shared" si="43"/>
        <v>Cardiology</v>
      </c>
      <c r="M352" t="s">
        <v>1051</v>
      </c>
      <c r="N352" t="str">
        <f t="shared" si="44"/>
        <v>EUR</v>
      </c>
      <c r="O352">
        <f t="shared" si="45"/>
        <v>252.38</v>
      </c>
      <c r="P352" cm="1">
        <f t="array" ref="P352">_xlfn.IFS(N352="USD",O352*1,N352="GBP",O352*1.27,N352="EUR",O352*1.09,N352="INR",O352*0.012,N352="N/A","N/A")</f>
        <v>275.0942</v>
      </c>
      <c r="Q352" t="s">
        <v>20</v>
      </c>
      <c r="R352" t="str" cm="1">
        <f t="array" ref="R352">_xlfn.IFS(Q352="Y","Yes", Q352="Yes","Yes", Q352="N","No", Q352="No","No", Q352=1,"N/A", Q352=0,"N/A", TRUE,"")</f>
        <v>Yes</v>
      </c>
      <c r="S352">
        <f t="shared" si="46"/>
        <v>14</v>
      </c>
      <c r="T352">
        <f t="shared" si="47"/>
        <v>1</v>
      </c>
      <c r="U352" t="str" cm="1">
        <f t="array" ref="U352">_xlfn.IFS(D352&lt;40,"Young Adult",AND(D352&gt;=40,D352&lt;65),"Middle Aged", D352&gt;=65,"Elderly")</f>
        <v>Young Adult</v>
      </c>
    </row>
    <row r="353" spans="1:21" x14ac:dyDescent="0.2">
      <c r="A353">
        <v>1082</v>
      </c>
      <c r="B353">
        <f t="shared" si="40"/>
        <v>352</v>
      </c>
      <c r="C353" t="s">
        <v>1052</v>
      </c>
      <c r="D353">
        <v>29</v>
      </c>
      <c r="E353" t="s">
        <v>22</v>
      </c>
      <c r="F353" t="str">
        <f t="shared" si="41"/>
        <v>Male</v>
      </c>
      <c r="G353" s="1">
        <v>45962</v>
      </c>
      <c r="H353" s="1">
        <v>45733</v>
      </c>
      <c r="I353" t="s">
        <v>1053</v>
      </c>
      <c r="J353" t="str">
        <f t="shared" si="42"/>
        <v>Cheryl Mullins</v>
      </c>
      <c r="K353" t="s">
        <v>24</v>
      </c>
      <c r="L353" t="str">
        <f t="shared" si="43"/>
        <v>Neurology</v>
      </c>
      <c r="M353" t="s">
        <v>1054</v>
      </c>
      <c r="N353" t="str">
        <f t="shared" si="44"/>
        <v>USD</v>
      </c>
      <c r="O353">
        <f t="shared" si="45"/>
        <v>366.49</v>
      </c>
      <c r="P353" cm="1">
        <f t="array" ref="P353">_xlfn.IFS(N353="USD",O353*1,N353="GBP",O353*1.27,N353="EUR",O353*1.09,N353="INR",O353*0.012,N353="N/A","N/A")</f>
        <v>366.49</v>
      </c>
      <c r="Q353" t="s">
        <v>60</v>
      </c>
      <c r="R353" t="str" cm="1">
        <f t="array" ref="R353">_xlfn.IFS(Q353="Y","Yes", Q353="Yes","Yes", Q353="N","No", Q353="No","No", Q353=1,"N/A", Q353=0,"N/A", TRUE,"")</f>
        <v>No</v>
      </c>
      <c r="S353">
        <f t="shared" si="46"/>
        <v>14</v>
      </c>
      <c r="T353">
        <f t="shared" si="47"/>
        <v>1</v>
      </c>
      <c r="U353" t="str" cm="1">
        <f t="array" ref="U353">_xlfn.IFS(D353&lt;40,"Young Adult",AND(D353&gt;=40,D353&lt;65),"Middle Aged", D353&gt;=65,"Elderly")</f>
        <v>Young Adult</v>
      </c>
    </row>
    <row r="354" spans="1:21" x14ac:dyDescent="0.2">
      <c r="A354">
        <v>1063</v>
      </c>
      <c r="B354">
        <f t="shared" si="40"/>
        <v>353</v>
      </c>
      <c r="C354" t="s">
        <v>1055</v>
      </c>
      <c r="D354">
        <v>36</v>
      </c>
      <c r="E354" t="s">
        <v>71</v>
      </c>
      <c r="F354" t="str">
        <f t="shared" si="41"/>
        <v>Male</v>
      </c>
      <c r="G354" s="1">
        <v>45932</v>
      </c>
      <c r="H354" s="1">
        <v>45912</v>
      </c>
      <c r="I354" t="s">
        <v>1056</v>
      </c>
      <c r="J354" t="str">
        <f t="shared" si="42"/>
        <v>Carla King</v>
      </c>
      <c r="K354" t="s">
        <v>28</v>
      </c>
      <c r="L354" t="str">
        <f t="shared" si="43"/>
        <v>General</v>
      </c>
      <c r="M354" t="s">
        <v>1057</v>
      </c>
      <c r="N354" t="str">
        <f t="shared" si="44"/>
        <v>INR</v>
      </c>
      <c r="O354">
        <f t="shared" si="45"/>
        <v>239.5</v>
      </c>
      <c r="P354" cm="1">
        <f t="array" ref="P354">_xlfn.IFS(N354="USD",O354*1,N354="GBP",O354*1.27,N354="EUR",O354*1.09,N354="INR",O354*0.012,N354="N/A","N/A")</f>
        <v>2.8740000000000001</v>
      </c>
      <c r="Q354" t="s">
        <v>36</v>
      </c>
      <c r="R354" t="str" cm="1">
        <f t="array" ref="R354">_xlfn.IFS(Q354="Y","Yes", Q354="Yes","Yes", Q354="N","No", Q354="No","No", Q354=1,"N/A", Q354=0,"N/A", TRUE,"")</f>
        <v>Yes</v>
      </c>
      <c r="S354">
        <f t="shared" si="46"/>
        <v>11</v>
      </c>
      <c r="T354">
        <f t="shared" si="47"/>
        <v>1</v>
      </c>
      <c r="U354" t="str" cm="1">
        <f t="array" ref="U354">_xlfn.IFS(D354&lt;40,"Young Adult",AND(D354&gt;=40,D354&lt;65),"Middle Aged", D354&gt;=65,"Elderly")</f>
        <v>Young Adult</v>
      </c>
    </row>
    <row r="355" spans="1:21" x14ac:dyDescent="0.2">
      <c r="A355">
        <v>1003</v>
      </c>
      <c r="B355">
        <f t="shared" si="40"/>
        <v>354</v>
      </c>
      <c r="C355" t="s">
        <v>1058</v>
      </c>
      <c r="D355">
        <v>29</v>
      </c>
      <c r="E355" t="s">
        <v>38</v>
      </c>
      <c r="F355" t="str">
        <f t="shared" si="41"/>
        <v>Female</v>
      </c>
      <c r="G355" s="1">
        <v>46076</v>
      </c>
      <c r="H355" s="1">
        <v>45386</v>
      </c>
      <c r="I355" t="s">
        <v>1059</v>
      </c>
      <c r="J355" t="str">
        <f t="shared" si="42"/>
        <v>Michael Adams</v>
      </c>
      <c r="K355" t="s">
        <v>18</v>
      </c>
      <c r="L355" t="str">
        <f t="shared" si="43"/>
        <v>Orthopedics</v>
      </c>
      <c r="M355" t="s">
        <v>1060</v>
      </c>
      <c r="N355" t="str">
        <f t="shared" si="44"/>
        <v>INR</v>
      </c>
      <c r="O355">
        <f t="shared" si="45"/>
        <v>55.55</v>
      </c>
      <c r="P355" cm="1">
        <f t="array" ref="P355">_xlfn.IFS(N355="USD",O355*1,N355="GBP",O355*1.27,N355="EUR",O355*1.09,N355="INR",O355*0.012,N355="N/A","N/A")</f>
        <v>0.66659999999999997</v>
      </c>
      <c r="Q355" t="s">
        <v>60</v>
      </c>
      <c r="R355" t="str" cm="1">
        <f t="array" ref="R355">_xlfn.IFS(Q355="Y","Yes", Q355="Yes","Yes", Q355="N","No", Q355="No","No", Q355=1,"N/A", Q355=0,"N/A", TRUE,"")</f>
        <v>No</v>
      </c>
      <c r="S355">
        <f t="shared" si="46"/>
        <v>12</v>
      </c>
      <c r="T355">
        <f t="shared" si="47"/>
        <v>1</v>
      </c>
      <c r="U355" t="str" cm="1">
        <f t="array" ref="U355">_xlfn.IFS(D355&lt;40,"Young Adult",AND(D355&gt;=40,D355&lt;65),"Middle Aged", D355&gt;=65,"Elderly")</f>
        <v>Young Adult</v>
      </c>
    </row>
    <row r="356" spans="1:21" x14ac:dyDescent="0.2">
      <c r="A356">
        <v>1005</v>
      </c>
      <c r="B356">
        <f t="shared" si="40"/>
        <v>355</v>
      </c>
      <c r="C356" t="s">
        <v>1061</v>
      </c>
      <c r="D356">
        <v>64</v>
      </c>
      <c r="E356" t="s">
        <v>38</v>
      </c>
      <c r="F356" t="str">
        <f t="shared" si="41"/>
        <v>Female</v>
      </c>
      <c r="G356" s="1">
        <v>45915</v>
      </c>
      <c r="H356" s="1">
        <v>45676</v>
      </c>
      <c r="I356" t="s">
        <v>1062</v>
      </c>
      <c r="J356" t="str">
        <f t="shared" si="42"/>
        <v>Laura Newman</v>
      </c>
      <c r="K356" t="s">
        <v>24</v>
      </c>
      <c r="L356" t="str">
        <f t="shared" si="43"/>
        <v>Neurology</v>
      </c>
      <c r="M356" t="s">
        <v>1063</v>
      </c>
      <c r="N356" t="str">
        <f t="shared" si="44"/>
        <v>GBP</v>
      </c>
      <c r="O356">
        <f t="shared" si="45"/>
        <v>112.28</v>
      </c>
      <c r="P356" cm="1">
        <f t="array" ref="P356">_xlfn.IFS(N356="USD",O356*1,N356="GBP",O356*1.27,N356="EUR",O356*1.09,N356="INR",O356*0.012,N356="N/A","N/A")</f>
        <v>142.59559999999999</v>
      </c>
      <c r="Q356" t="s">
        <v>30</v>
      </c>
      <c r="R356" t="str" cm="1">
        <f t="array" ref="R356">_xlfn.IFS(Q356="Y","Yes", Q356="Yes","Yes", Q356="N","No", Q356="No","No", Q356=1,"N/A", Q356=0,"N/A", TRUE,"")</f>
        <v>No</v>
      </c>
      <c r="S356">
        <f t="shared" si="46"/>
        <v>13</v>
      </c>
      <c r="T356">
        <f t="shared" si="47"/>
        <v>1</v>
      </c>
      <c r="U356" t="str" cm="1">
        <f t="array" ref="U356">_xlfn.IFS(D356&lt;40,"Young Adult",AND(D356&gt;=40,D356&lt;65),"Middle Aged", D356&gt;=65,"Elderly")</f>
        <v>Middle Aged</v>
      </c>
    </row>
    <row r="357" spans="1:21" x14ac:dyDescent="0.2">
      <c r="A357">
        <v>1058</v>
      </c>
      <c r="B357">
        <f t="shared" si="40"/>
        <v>356</v>
      </c>
      <c r="C357" t="s">
        <v>1064</v>
      </c>
      <c r="D357">
        <v>36</v>
      </c>
      <c r="E357" t="s">
        <v>38</v>
      </c>
      <c r="F357" t="str">
        <f t="shared" si="41"/>
        <v>Female</v>
      </c>
      <c r="G357" s="1">
        <v>46011</v>
      </c>
      <c r="H357" s="1">
        <v>45378</v>
      </c>
      <c r="I357" t="s">
        <v>1065</v>
      </c>
      <c r="J357" t="str">
        <f t="shared" si="42"/>
        <v>Gregory Griffin</v>
      </c>
      <c r="K357" t="s">
        <v>28</v>
      </c>
      <c r="L357" t="str">
        <f t="shared" si="43"/>
        <v>General</v>
      </c>
      <c r="M357" t="s">
        <v>1066</v>
      </c>
      <c r="N357" t="str">
        <f t="shared" si="44"/>
        <v>INR</v>
      </c>
      <c r="O357">
        <f t="shared" si="45"/>
        <v>386.16</v>
      </c>
      <c r="P357" cm="1">
        <f t="array" ref="P357">_xlfn.IFS(N357="USD",O357*1,N357="GBP",O357*1.27,N357="EUR",O357*1.09,N357="INR",O357*0.012,N357="N/A","N/A")</f>
        <v>4.6339200000000007</v>
      </c>
      <c r="Q357">
        <v>1</v>
      </c>
      <c r="R357" t="str" cm="1">
        <f t="array" ref="R357">_xlfn.IFS(Q357="Y","Yes", Q357="Yes","Yes", Q357="N","No", Q357="No","No", Q357=1,"N/A", Q357=0,"N/A", TRUE,"")</f>
        <v>N/A</v>
      </c>
      <c r="S357">
        <f t="shared" si="46"/>
        <v>17</v>
      </c>
      <c r="T357">
        <f t="shared" si="47"/>
        <v>1</v>
      </c>
      <c r="U357" t="str" cm="1">
        <f t="array" ref="U357">_xlfn.IFS(D357&lt;40,"Young Adult",AND(D357&gt;=40,D357&lt;65),"Middle Aged", D357&gt;=65,"Elderly")</f>
        <v>Young Adult</v>
      </c>
    </row>
    <row r="358" spans="1:21" x14ac:dyDescent="0.2">
      <c r="A358">
        <v>1061</v>
      </c>
      <c r="B358">
        <f t="shared" si="40"/>
        <v>357</v>
      </c>
      <c r="C358" t="s">
        <v>1067</v>
      </c>
      <c r="D358">
        <v>23</v>
      </c>
      <c r="E358" t="s">
        <v>51</v>
      </c>
      <c r="F358" t="str">
        <f t="shared" si="41"/>
        <v>Male</v>
      </c>
      <c r="G358" s="1">
        <v>46030</v>
      </c>
      <c r="H358" s="1">
        <v>45625</v>
      </c>
      <c r="I358" t="s">
        <v>1068</v>
      </c>
      <c r="J358" t="str">
        <f t="shared" si="42"/>
        <v>Ryan Steele</v>
      </c>
      <c r="K358" t="s">
        <v>13</v>
      </c>
      <c r="L358" t="str">
        <f t="shared" si="43"/>
        <v>Cardiology</v>
      </c>
      <c r="M358" t="s">
        <v>1069</v>
      </c>
      <c r="N358" t="str">
        <f t="shared" si="44"/>
        <v>EUR</v>
      </c>
      <c r="O358">
        <f t="shared" si="45"/>
        <v>230.73</v>
      </c>
      <c r="P358" cm="1">
        <f t="array" ref="P358">_xlfn.IFS(N358="USD",O358*1,N358="GBP",O358*1.27,N358="EUR",O358*1.09,N358="INR",O358*0.012,N358="N/A","N/A")</f>
        <v>251.4957</v>
      </c>
      <c r="Q358" t="s">
        <v>60</v>
      </c>
      <c r="R358" t="str" cm="1">
        <f t="array" ref="R358">_xlfn.IFS(Q358="Y","Yes", Q358="Yes","Yes", Q358="N","No", Q358="No","No", Q358=1,"N/A", Q358=0,"N/A", TRUE,"")</f>
        <v>No</v>
      </c>
      <c r="S358">
        <f t="shared" si="46"/>
        <v>8</v>
      </c>
      <c r="T358">
        <f t="shared" si="47"/>
        <v>1</v>
      </c>
      <c r="U358" t="str" cm="1">
        <f t="array" ref="U358">_xlfn.IFS(D358&lt;40,"Young Adult",AND(D358&gt;=40,D358&lt;65),"Middle Aged", D358&gt;=65,"Elderly")</f>
        <v>Young Adult</v>
      </c>
    </row>
    <row r="359" spans="1:21" x14ac:dyDescent="0.2">
      <c r="A359">
        <v>1004</v>
      </c>
      <c r="B359">
        <f t="shared" si="40"/>
        <v>358</v>
      </c>
      <c r="C359" t="s">
        <v>1070</v>
      </c>
      <c r="D359">
        <v>63</v>
      </c>
      <c r="E359" t="s">
        <v>38</v>
      </c>
      <c r="F359" t="str">
        <f t="shared" si="41"/>
        <v>Female</v>
      </c>
      <c r="G359" s="1">
        <v>45790</v>
      </c>
      <c r="H359" s="1">
        <v>45404</v>
      </c>
      <c r="I359" t="s">
        <v>1071</v>
      </c>
      <c r="J359" t="str">
        <f t="shared" si="42"/>
        <v>Ashley Shaw</v>
      </c>
      <c r="K359" t="s">
        <v>28</v>
      </c>
      <c r="L359" t="str">
        <f t="shared" si="43"/>
        <v>General</v>
      </c>
      <c r="M359" t="s">
        <v>1072</v>
      </c>
      <c r="N359" t="str">
        <f t="shared" si="44"/>
        <v>EUR</v>
      </c>
      <c r="O359">
        <f t="shared" si="45"/>
        <v>296.85000000000002</v>
      </c>
      <c r="P359" cm="1">
        <f t="array" ref="P359">_xlfn.IFS(N359="USD",O359*1,N359="GBP",O359*1.27,N359="EUR",O359*1.09,N359="INR",O359*0.012,N359="N/A","N/A")</f>
        <v>323.56650000000008</v>
      </c>
      <c r="Q359">
        <v>0</v>
      </c>
      <c r="R359" t="str" cm="1">
        <f t="array" ref="R359">_xlfn.IFS(Q359="Y","Yes", Q359="Yes","Yes", Q359="N","No", Q359="No","No", Q359=1,"N/A", Q359=0,"N/A", TRUE,"")</f>
        <v>N/A</v>
      </c>
      <c r="S359">
        <f t="shared" si="46"/>
        <v>9</v>
      </c>
      <c r="T359">
        <f t="shared" si="47"/>
        <v>1</v>
      </c>
      <c r="U359" t="str" cm="1">
        <f t="array" ref="U359">_xlfn.IFS(D359&lt;40,"Young Adult",AND(D359&gt;=40,D359&lt;65),"Middle Aged", D359&gt;=65,"Elderly")</f>
        <v>Middle Aged</v>
      </c>
    </row>
    <row r="360" spans="1:21" x14ac:dyDescent="0.2">
      <c r="A360">
        <v>1057</v>
      </c>
      <c r="B360">
        <f t="shared" si="40"/>
        <v>359</v>
      </c>
      <c r="C360" t="s">
        <v>1073</v>
      </c>
      <c r="D360">
        <v>58</v>
      </c>
      <c r="E360" t="s">
        <v>2937</v>
      </c>
      <c r="F360" t="str">
        <f t="shared" si="41"/>
        <v>N/A</v>
      </c>
      <c r="G360" s="1">
        <v>45908</v>
      </c>
      <c r="H360" s="1">
        <v>45712</v>
      </c>
      <c r="I360" t="s">
        <v>1074</v>
      </c>
      <c r="J360" t="str">
        <f t="shared" si="42"/>
        <v>Catherine Gamble</v>
      </c>
      <c r="K360" t="s">
        <v>13</v>
      </c>
      <c r="L360" t="str">
        <f t="shared" si="43"/>
        <v>Cardiology</v>
      </c>
      <c r="M360" t="s">
        <v>1075</v>
      </c>
      <c r="N360" t="str">
        <f t="shared" si="44"/>
        <v>GBP</v>
      </c>
      <c r="O360">
        <f t="shared" si="45"/>
        <v>64.790000000000006</v>
      </c>
      <c r="P360" cm="1">
        <f t="array" ref="P360">_xlfn.IFS(N360="USD",O360*1,N360="GBP",O360*1.27,N360="EUR",O360*1.09,N360="INR",O360*0.012,N360="N/A","N/A")</f>
        <v>82.283300000000011</v>
      </c>
      <c r="Q360">
        <v>0</v>
      </c>
      <c r="R360" t="str" cm="1">
        <f t="array" ref="R360">_xlfn.IFS(Q360="Y","Yes", Q360="Yes","Yes", Q360="N","No", Q360="No","No", Q360=1,"N/A", Q360=0,"N/A", TRUE,"")</f>
        <v>N/A</v>
      </c>
      <c r="S360">
        <f t="shared" si="46"/>
        <v>7</v>
      </c>
      <c r="T360">
        <f t="shared" si="47"/>
        <v>1</v>
      </c>
      <c r="U360" t="str" cm="1">
        <f t="array" ref="U360">_xlfn.IFS(D360&lt;40,"Young Adult",AND(D360&gt;=40,D360&lt;65),"Middle Aged", D360&gt;=65,"Elderly")</f>
        <v>Middle Aged</v>
      </c>
    </row>
    <row r="361" spans="1:21" x14ac:dyDescent="0.2">
      <c r="A361">
        <v>1036</v>
      </c>
      <c r="B361">
        <f t="shared" si="40"/>
        <v>360</v>
      </c>
      <c r="C361" t="s">
        <v>1076</v>
      </c>
      <c r="D361">
        <v>38</v>
      </c>
      <c r="E361" t="s">
        <v>38</v>
      </c>
      <c r="F361" t="str">
        <f t="shared" si="41"/>
        <v>Female</v>
      </c>
      <c r="G361" s="1">
        <v>45978</v>
      </c>
      <c r="H361" s="1">
        <v>45574</v>
      </c>
      <c r="I361" t="s">
        <v>1077</v>
      </c>
      <c r="J361" t="str">
        <f t="shared" si="42"/>
        <v>Jean Lawson Dds</v>
      </c>
      <c r="K361" t="s">
        <v>24</v>
      </c>
      <c r="L361" t="str">
        <f t="shared" si="43"/>
        <v>Neurology</v>
      </c>
      <c r="M361" t="s">
        <v>1078</v>
      </c>
      <c r="N361" t="str">
        <f t="shared" si="44"/>
        <v>EUR</v>
      </c>
      <c r="O361">
        <f t="shared" si="45"/>
        <v>101.1</v>
      </c>
      <c r="P361" cm="1">
        <f t="array" ref="P361">_xlfn.IFS(N361="USD",O361*1,N361="GBP",O361*1.27,N361="EUR",O361*1.09,N361="INR",O361*0.012,N361="N/A","N/A")</f>
        <v>110.199</v>
      </c>
      <c r="Q361" t="s">
        <v>36</v>
      </c>
      <c r="R361" t="str" cm="1">
        <f t="array" ref="R361">_xlfn.IFS(Q361="Y","Yes", Q361="Yes","Yes", Q361="N","No", Q361="No","No", Q361=1,"N/A", Q361=0,"N/A", TRUE,"")</f>
        <v>Yes</v>
      </c>
      <c r="S361">
        <f t="shared" si="46"/>
        <v>14</v>
      </c>
      <c r="T361">
        <f t="shared" si="47"/>
        <v>1</v>
      </c>
      <c r="U361" t="str" cm="1">
        <f t="array" ref="U361">_xlfn.IFS(D361&lt;40,"Young Adult",AND(D361&gt;=40,D361&lt;65),"Middle Aged", D361&gt;=65,"Elderly")</f>
        <v>Young Adult</v>
      </c>
    </row>
    <row r="362" spans="1:21" x14ac:dyDescent="0.2">
      <c r="A362">
        <v>1095</v>
      </c>
      <c r="B362">
        <f t="shared" si="40"/>
        <v>361</v>
      </c>
      <c r="C362" t="s">
        <v>1079</v>
      </c>
      <c r="D362">
        <v>60</v>
      </c>
      <c r="E362" t="s">
        <v>38</v>
      </c>
      <c r="F362" t="str">
        <f t="shared" si="41"/>
        <v>Female</v>
      </c>
      <c r="G362" s="1">
        <v>46013</v>
      </c>
      <c r="H362" s="1">
        <v>45429</v>
      </c>
      <c r="I362" t="s">
        <v>1080</v>
      </c>
      <c r="J362" t="str">
        <f t="shared" si="42"/>
        <v>Victoria Osborne</v>
      </c>
      <c r="K362" t="s">
        <v>28</v>
      </c>
      <c r="L362" t="str">
        <f t="shared" si="43"/>
        <v>General</v>
      </c>
      <c r="M362" t="s">
        <v>1081</v>
      </c>
      <c r="N362" t="str">
        <f t="shared" si="44"/>
        <v>INR</v>
      </c>
      <c r="O362">
        <f t="shared" si="45"/>
        <v>204.86</v>
      </c>
      <c r="P362" cm="1">
        <f t="array" ref="P362">_xlfn.IFS(N362="USD",O362*1,N362="GBP",O362*1.27,N362="EUR",O362*1.09,N362="INR",O362*0.012,N362="N/A","N/A")</f>
        <v>2.4583200000000001</v>
      </c>
      <c r="Q362" t="s">
        <v>36</v>
      </c>
      <c r="R362" t="str" cm="1">
        <f t="array" ref="R362">_xlfn.IFS(Q362="Y","Yes", Q362="Yes","Yes", Q362="N","No", Q362="No","No", Q362=1,"N/A", Q362=0,"N/A", TRUE,"")</f>
        <v>Yes</v>
      </c>
      <c r="S362">
        <f t="shared" si="46"/>
        <v>12</v>
      </c>
      <c r="T362">
        <f t="shared" si="47"/>
        <v>1</v>
      </c>
      <c r="U362" t="str" cm="1">
        <f t="array" ref="U362">_xlfn.IFS(D362&lt;40,"Young Adult",AND(D362&gt;=40,D362&lt;65),"Middle Aged", D362&gt;=65,"Elderly")</f>
        <v>Middle Aged</v>
      </c>
    </row>
    <row r="363" spans="1:21" x14ac:dyDescent="0.2">
      <c r="A363">
        <v>1036</v>
      </c>
      <c r="B363">
        <f t="shared" si="40"/>
        <v>362</v>
      </c>
      <c r="C363" t="s">
        <v>1082</v>
      </c>
      <c r="D363">
        <v>87</v>
      </c>
      <c r="E363" t="s">
        <v>2937</v>
      </c>
      <c r="F363" t="str">
        <f t="shared" si="41"/>
        <v>N/A</v>
      </c>
      <c r="G363" s="1">
        <v>45869</v>
      </c>
      <c r="H363" s="1">
        <v>45598</v>
      </c>
      <c r="I363" t="s">
        <v>1083</v>
      </c>
      <c r="J363" t="str">
        <f t="shared" si="42"/>
        <v>Brooke Ramos</v>
      </c>
      <c r="K363" t="s">
        <v>13</v>
      </c>
      <c r="L363" t="str">
        <f t="shared" si="43"/>
        <v>Cardiology</v>
      </c>
      <c r="M363" t="s">
        <v>1084</v>
      </c>
      <c r="N363" t="str">
        <f t="shared" si="44"/>
        <v>USD</v>
      </c>
      <c r="O363">
        <f t="shared" si="45"/>
        <v>369.12</v>
      </c>
      <c r="P363" cm="1">
        <f t="array" ref="P363">_xlfn.IFS(N363="USD",O363*1,N363="GBP",O363*1.27,N363="EUR",O363*1.09,N363="INR",O363*0.012,N363="N/A","N/A")</f>
        <v>369.12</v>
      </c>
      <c r="Q363">
        <v>1</v>
      </c>
      <c r="R363" t="str" cm="1">
        <f t="array" ref="R363">_xlfn.IFS(Q363="Y","Yes", Q363="Yes","Yes", Q363="N","No", Q363="No","No", Q363=1,"N/A", Q363=0,"N/A", TRUE,"")</f>
        <v>N/A</v>
      </c>
      <c r="S363">
        <f t="shared" si="46"/>
        <v>14</v>
      </c>
      <c r="T363">
        <f t="shared" si="47"/>
        <v>1</v>
      </c>
      <c r="U363" t="str" cm="1">
        <f t="array" ref="U363">_xlfn.IFS(D363&lt;40,"Young Adult",AND(D363&gt;=40,D363&lt;65),"Middle Aged", D363&gt;=65,"Elderly")</f>
        <v>Elderly</v>
      </c>
    </row>
    <row r="364" spans="1:21" x14ac:dyDescent="0.2">
      <c r="A364">
        <v>1049</v>
      </c>
      <c r="B364">
        <f t="shared" si="40"/>
        <v>363</v>
      </c>
      <c r="C364" t="s">
        <v>1085</v>
      </c>
      <c r="D364">
        <v>58</v>
      </c>
      <c r="E364" t="s">
        <v>38</v>
      </c>
      <c r="F364" t="str">
        <f t="shared" si="41"/>
        <v>Female</v>
      </c>
      <c r="G364" s="1">
        <v>45876</v>
      </c>
      <c r="H364" s="1">
        <v>45659</v>
      </c>
      <c r="I364" t="s">
        <v>1086</v>
      </c>
      <c r="J364" t="str">
        <f t="shared" si="42"/>
        <v>Leslie Smith</v>
      </c>
      <c r="K364" t="s">
        <v>13</v>
      </c>
      <c r="L364" t="str">
        <f t="shared" si="43"/>
        <v>Cardiology</v>
      </c>
      <c r="M364" t="s">
        <v>1087</v>
      </c>
      <c r="N364" t="str">
        <f t="shared" si="44"/>
        <v>INR</v>
      </c>
      <c r="O364">
        <f t="shared" si="45"/>
        <v>474.33</v>
      </c>
      <c r="P364" cm="1">
        <f t="array" ref="P364">_xlfn.IFS(N364="USD",O364*1,N364="GBP",O364*1.27,N364="EUR",O364*1.09,N364="INR",O364*0.012,N364="N/A","N/A")</f>
        <v>5.6919599999999999</v>
      </c>
      <c r="Q364" t="s">
        <v>20</v>
      </c>
      <c r="R364" t="str" cm="1">
        <f t="array" ref="R364">_xlfn.IFS(Q364="Y","Yes", Q364="Yes","Yes", Q364="N","No", Q364="No","No", Q364=1,"N/A", Q364=0,"N/A", TRUE,"")</f>
        <v>Yes</v>
      </c>
      <c r="S364">
        <f t="shared" si="46"/>
        <v>8</v>
      </c>
      <c r="T364">
        <f t="shared" si="47"/>
        <v>1</v>
      </c>
      <c r="U364" t="str" cm="1">
        <f t="array" ref="U364">_xlfn.IFS(D364&lt;40,"Young Adult",AND(D364&gt;=40,D364&lt;65),"Middle Aged", D364&gt;=65,"Elderly")</f>
        <v>Middle Aged</v>
      </c>
    </row>
    <row r="365" spans="1:21" x14ac:dyDescent="0.2">
      <c r="A365">
        <v>1036</v>
      </c>
      <c r="B365">
        <f t="shared" si="40"/>
        <v>364</v>
      </c>
      <c r="C365" t="s">
        <v>1088</v>
      </c>
      <c r="D365">
        <v>20</v>
      </c>
      <c r="E365" t="s">
        <v>2937</v>
      </c>
      <c r="F365" t="str">
        <f t="shared" si="41"/>
        <v>N/A</v>
      </c>
      <c r="G365" s="1">
        <v>45895</v>
      </c>
      <c r="H365" s="1">
        <v>45666</v>
      </c>
      <c r="I365" t="s">
        <v>1089</v>
      </c>
      <c r="J365" t="str">
        <f t="shared" si="42"/>
        <v>Julie Jacobs</v>
      </c>
      <c r="K365" t="s">
        <v>13</v>
      </c>
      <c r="L365" t="str">
        <f t="shared" si="43"/>
        <v>Cardiology</v>
      </c>
      <c r="M365" t="s">
        <v>1090</v>
      </c>
      <c r="N365" t="str">
        <f t="shared" si="44"/>
        <v>EUR</v>
      </c>
      <c r="O365">
        <f t="shared" si="45"/>
        <v>285.97000000000003</v>
      </c>
      <c r="P365" cm="1">
        <f t="array" ref="P365">_xlfn.IFS(N365="USD",O365*1,N365="GBP",O365*1.27,N365="EUR",O365*1.09,N365="INR",O365*0.012,N365="N/A","N/A")</f>
        <v>311.70730000000003</v>
      </c>
      <c r="Q365" t="s">
        <v>30</v>
      </c>
      <c r="R365" t="str" cm="1">
        <f t="array" ref="R365">_xlfn.IFS(Q365="Y","Yes", Q365="Yes","Yes", Q365="N","No", Q365="No","No", Q365=1,"N/A", Q365=0,"N/A", TRUE,"")</f>
        <v>No</v>
      </c>
      <c r="S365">
        <f t="shared" si="46"/>
        <v>14</v>
      </c>
      <c r="T365">
        <f t="shared" si="47"/>
        <v>1</v>
      </c>
      <c r="U365" t="str" cm="1">
        <f t="array" ref="U365">_xlfn.IFS(D365&lt;40,"Young Adult",AND(D365&gt;=40,D365&lt;65),"Middle Aged", D365&gt;=65,"Elderly")</f>
        <v>Young Adult</v>
      </c>
    </row>
    <row r="366" spans="1:21" x14ac:dyDescent="0.2">
      <c r="A366">
        <v>1050</v>
      </c>
      <c r="B366">
        <f t="shared" si="40"/>
        <v>365</v>
      </c>
      <c r="C366" t="s">
        <v>1091</v>
      </c>
      <c r="D366">
        <v>81</v>
      </c>
      <c r="E366" t="s">
        <v>2937</v>
      </c>
      <c r="F366" t="str">
        <f t="shared" si="41"/>
        <v>N/A</v>
      </c>
      <c r="G366" s="1">
        <v>46070</v>
      </c>
      <c r="H366" s="1">
        <v>45750</v>
      </c>
      <c r="I366" t="s">
        <v>338</v>
      </c>
      <c r="J366" t="str">
        <f t="shared" si="42"/>
        <v>John Anderson</v>
      </c>
      <c r="K366" t="s">
        <v>24</v>
      </c>
      <c r="L366" t="str">
        <f t="shared" si="43"/>
        <v>Neurology</v>
      </c>
      <c r="M366" t="s">
        <v>1092</v>
      </c>
      <c r="N366" t="str">
        <f t="shared" si="44"/>
        <v>EUR</v>
      </c>
      <c r="O366">
        <f t="shared" si="45"/>
        <v>209.27</v>
      </c>
      <c r="P366" cm="1">
        <f t="array" ref="P366">_xlfn.IFS(N366="USD",O366*1,N366="GBP",O366*1.27,N366="EUR",O366*1.09,N366="INR",O366*0.012,N366="N/A","N/A")</f>
        <v>228.10430000000002</v>
      </c>
      <c r="Q366" t="s">
        <v>20</v>
      </c>
      <c r="R366" t="str" cm="1">
        <f t="array" ref="R366">_xlfn.IFS(Q366="Y","Yes", Q366="Yes","Yes", Q366="N","No", Q366="No","No", Q366=1,"N/A", Q366=0,"N/A", TRUE,"")</f>
        <v>Yes</v>
      </c>
      <c r="S366">
        <f t="shared" si="46"/>
        <v>12</v>
      </c>
      <c r="T366">
        <f t="shared" si="47"/>
        <v>1</v>
      </c>
      <c r="U366" t="str" cm="1">
        <f t="array" ref="U366">_xlfn.IFS(D366&lt;40,"Young Adult",AND(D366&gt;=40,D366&lt;65),"Middle Aged", D366&gt;=65,"Elderly")</f>
        <v>Elderly</v>
      </c>
    </row>
    <row r="367" spans="1:21" x14ac:dyDescent="0.2">
      <c r="A367">
        <v>1019</v>
      </c>
      <c r="B367">
        <f t="shared" si="40"/>
        <v>366</v>
      </c>
      <c r="C367" t="s">
        <v>1093</v>
      </c>
      <c r="D367">
        <v>38</v>
      </c>
      <c r="E367" t="s">
        <v>2937</v>
      </c>
      <c r="F367" t="str">
        <f t="shared" si="41"/>
        <v>N/A</v>
      </c>
      <c r="G367" s="1">
        <v>46011</v>
      </c>
      <c r="H367" s="1">
        <v>45883</v>
      </c>
      <c r="I367" t="s">
        <v>1094</v>
      </c>
      <c r="J367" t="str">
        <f t="shared" si="42"/>
        <v>Kimberly Caldwell</v>
      </c>
      <c r="K367" t="s">
        <v>18</v>
      </c>
      <c r="L367" t="str">
        <f t="shared" si="43"/>
        <v>Orthopedics</v>
      </c>
      <c r="M367" t="s">
        <v>1095</v>
      </c>
      <c r="N367" t="str">
        <f t="shared" si="44"/>
        <v>INR</v>
      </c>
      <c r="O367">
        <f t="shared" si="45"/>
        <v>347.87</v>
      </c>
      <c r="P367" cm="1">
        <f t="array" ref="P367">_xlfn.IFS(N367="USD",O367*1,N367="GBP",O367*1.27,N367="EUR",O367*1.09,N367="INR",O367*0.012,N367="N/A","N/A")</f>
        <v>4.1744399999999997</v>
      </c>
      <c r="Q367">
        <v>1</v>
      </c>
      <c r="R367" t="str" cm="1">
        <f t="array" ref="R367">_xlfn.IFS(Q367="Y","Yes", Q367="Yes","Yes", Q367="N","No", Q367="No","No", Q367=1,"N/A", Q367=0,"N/A", TRUE,"")</f>
        <v>N/A</v>
      </c>
      <c r="S367">
        <f t="shared" si="46"/>
        <v>6</v>
      </c>
      <c r="T367">
        <f t="shared" si="47"/>
        <v>1</v>
      </c>
      <c r="U367" t="str" cm="1">
        <f t="array" ref="U367">_xlfn.IFS(D367&lt;40,"Young Adult",AND(D367&gt;=40,D367&lt;65),"Middle Aged", D367&gt;=65,"Elderly")</f>
        <v>Young Adult</v>
      </c>
    </row>
    <row r="368" spans="1:21" x14ac:dyDescent="0.2">
      <c r="A368">
        <v>1082</v>
      </c>
      <c r="B368">
        <f t="shared" si="40"/>
        <v>367</v>
      </c>
      <c r="C368" t="s">
        <v>1096</v>
      </c>
      <c r="D368">
        <v>56</v>
      </c>
      <c r="E368" t="s">
        <v>22</v>
      </c>
      <c r="F368" t="str">
        <f t="shared" si="41"/>
        <v>Male</v>
      </c>
      <c r="G368" s="1">
        <v>45917</v>
      </c>
      <c r="H368" s="1">
        <v>45888</v>
      </c>
      <c r="I368" t="s">
        <v>1097</v>
      </c>
      <c r="J368" t="str">
        <f t="shared" si="42"/>
        <v>Michael Jackson</v>
      </c>
      <c r="K368" t="s">
        <v>13</v>
      </c>
      <c r="L368" t="str">
        <f t="shared" si="43"/>
        <v>Cardiology</v>
      </c>
      <c r="N368" t="str">
        <f t="shared" si="44"/>
        <v>N/A</v>
      </c>
      <c r="O368" t="str">
        <f t="shared" si="45"/>
        <v/>
      </c>
      <c r="P368" t="str" cm="1">
        <f t="array" ref="P368">_xlfn.IFS(N368="USD",O368*1,N368="GBP",O368*1.27,N368="EUR",O368*1.09,N368="INR",O368*0.012,N368="N/A","N/A")</f>
        <v>N/A</v>
      </c>
      <c r="Q368" t="s">
        <v>20</v>
      </c>
      <c r="R368" t="str" cm="1">
        <f t="array" ref="R368">_xlfn.IFS(Q368="Y","Yes", Q368="Yes","Yes", Q368="N","No", Q368="No","No", Q368=1,"N/A", Q368=0,"N/A", TRUE,"")</f>
        <v>Yes</v>
      </c>
      <c r="S368">
        <f t="shared" si="46"/>
        <v>14</v>
      </c>
      <c r="T368">
        <f t="shared" si="47"/>
        <v>1</v>
      </c>
      <c r="U368" t="str" cm="1">
        <f t="array" ref="U368">_xlfn.IFS(D368&lt;40,"Young Adult",AND(D368&gt;=40,D368&lt;65),"Middle Aged", D368&gt;=65,"Elderly")</f>
        <v>Middle Aged</v>
      </c>
    </row>
    <row r="369" spans="1:21" x14ac:dyDescent="0.2">
      <c r="A369">
        <v>1074</v>
      </c>
      <c r="B369">
        <f t="shared" si="40"/>
        <v>368</v>
      </c>
      <c r="C369" t="s">
        <v>1098</v>
      </c>
      <c r="D369">
        <v>67</v>
      </c>
      <c r="E369" t="s">
        <v>16</v>
      </c>
      <c r="F369" t="str">
        <f t="shared" si="41"/>
        <v>Female</v>
      </c>
      <c r="G369" s="1">
        <v>45905</v>
      </c>
      <c r="H369" s="1">
        <v>45431</v>
      </c>
      <c r="I369" t="s">
        <v>1099</v>
      </c>
      <c r="J369" t="str">
        <f t="shared" si="42"/>
        <v>Karen Schmidt</v>
      </c>
      <c r="K369" t="s">
        <v>24</v>
      </c>
      <c r="L369" t="str">
        <f t="shared" si="43"/>
        <v>Neurology</v>
      </c>
      <c r="M369" t="s">
        <v>1100</v>
      </c>
      <c r="N369" t="str">
        <f t="shared" si="44"/>
        <v>EUR</v>
      </c>
      <c r="O369">
        <f t="shared" si="45"/>
        <v>98.07</v>
      </c>
      <c r="P369" cm="1">
        <f t="array" ref="P369">_xlfn.IFS(N369="USD",O369*1,N369="GBP",O369*1.27,N369="EUR",O369*1.09,N369="INR",O369*0.012,N369="N/A","N/A")</f>
        <v>106.8963</v>
      </c>
      <c r="Q369" t="s">
        <v>20</v>
      </c>
      <c r="R369" t="str" cm="1">
        <f t="array" ref="R369">_xlfn.IFS(Q369="Y","Yes", Q369="Yes","Yes", Q369="N","No", Q369="No","No", Q369=1,"N/A", Q369=0,"N/A", TRUE,"")</f>
        <v>Yes</v>
      </c>
      <c r="S369">
        <f t="shared" si="46"/>
        <v>17</v>
      </c>
      <c r="T369">
        <f t="shared" si="47"/>
        <v>1</v>
      </c>
      <c r="U369" t="str" cm="1">
        <f t="array" ref="U369">_xlfn.IFS(D369&lt;40,"Young Adult",AND(D369&gt;=40,D369&lt;65),"Middle Aged", D369&gt;=65,"Elderly")</f>
        <v>Elderly</v>
      </c>
    </row>
    <row r="370" spans="1:21" x14ac:dyDescent="0.2">
      <c r="A370">
        <v>1084</v>
      </c>
      <c r="B370">
        <f t="shared" si="40"/>
        <v>369</v>
      </c>
      <c r="C370" t="s">
        <v>1101</v>
      </c>
      <c r="D370">
        <v>64</v>
      </c>
      <c r="E370" t="s">
        <v>71</v>
      </c>
      <c r="F370" t="str">
        <f t="shared" si="41"/>
        <v>Male</v>
      </c>
      <c r="G370" s="1">
        <v>46022</v>
      </c>
      <c r="H370" s="1">
        <v>45766</v>
      </c>
      <c r="I370" t="s">
        <v>1102</v>
      </c>
      <c r="J370" t="str">
        <f t="shared" si="42"/>
        <v>Tiffany Melendez</v>
      </c>
      <c r="K370" t="s">
        <v>18</v>
      </c>
      <c r="L370" t="str">
        <f t="shared" si="43"/>
        <v>Orthopedics</v>
      </c>
      <c r="M370" t="s">
        <v>1103</v>
      </c>
      <c r="N370" t="str">
        <f t="shared" si="44"/>
        <v>INR</v>
      </c>
      <c r="O370">
        <f t="shared" si="45"/>
        <v>154.03</v>
      </c>
      <c r="P370" cm="1">
        <f t="array" ref="P370">_xlfn.IFS(N370="USD",O370*1,N370="GBP",O370*1.27,N370="EUR",O370*1.09,N370="INR",O370*0.012,N370="N/A","N/A")</f>
        <v>1.84836</v>
      </c>
      <c r="Q370">
        <v>1</v>
      </c>
      <c r="R370" t="str" cm="1">
        <f t="array" ref="R370">_xlfn.IFS(Q370="Y","Yes", Q370="Yes","Yes", Q370="N","No", Q370="No","No", Q370=1,"N/A", Q370=0,"N/A", TRUE,"")</f>
        <v>N/A</v>
      </c>
      <c r="S370">
        <f t="shared" si="46"/>
        <v>15</v>
      </c>
      <c r="T370">
        <f t="shared" si="47"/>
        <v>1</v>
      </c>
      <c r="U370" t="str" cm="1">
        <f t="array" ref="U370">_xlfn.IFS(D370&lt;40,"Young Adult",AND(D370&gt;=40,D370&lt;65),"Middle Aged", D370&gt;=65,"Elderly")</f>
        <v>Middle Aged</v>
      </c>
    </row>
    <row r="371" spans="1:21" x14ac:dyDescent="0.2">
      <c r="A371">
        <v>1084</v>
      </c>
      <c r="B371">
        <f t="shared" si="40"/>
        <v>370</v>
      </c>
      <c r="C371" t="s">
        <v>1104</v>
      </c>
      <c r="D371">
        <v>79</v>
      </c>
      <c r="E371" t="s">
        <v>16</v>
      </c>
      <c r="F371" t="str">
        <f t="shared" si="41"/>
        <v>Female</v>
      </c>
      <c r="G371" s="1">
        <v>46014</v>
      </c>
      <c r="H371" s="1">
        <v>45669</v>
      </c>
      <c r="I371" t="s">
        <v>1105</v>
      </c>
      <c r="J371" t="str">
        <f t="shared" si="42"/>
        <v>Emily Mcintosh</v>
      </c>
      <c r="K371" t="s">
        <v>24</v>
      </c>
      <c r="L371" t="str">
        <f t="shared" si="43"/>
        <v>Neurology</v>
      </c>
      <c r="M371" t="s">
        <v>1106</v>
      </c>
      <c r="N371" t="str">
        <f t="shared" si="44"/>
        <v>GBP</v>
      </c>
      <c r="O371">
        <f t="shared" si="45"/>
        <v>126.87</v>
      </c>
      <c r="P371" cm="1">
        <f t="array" ref="P371">_xlfn.IFS(N371="USD",O371*1,N371="GBP",O371*1.27,N371="EUR",O371*1.09,N371="INR",O371*0.012,N371="N/A","N/A")</f>
        <v>161.1249</v>
      </c>
      <c r="Q371" t="s">
        <v>36</v>
      </c>
      <c r="R371" t="str" cm="1">
        <f t="array" ref="R371">_xlfn.IFS(Q371="Y","Yes", Q371="Yes","Yes", Q371="N","No", Q371="No","No", Q371=1,"N/A", Q371=0,"N/A", TRUE,"")</f>
        <v>Yes</v>
      </c>
      <c r="S371">
        <f t="shared" si="46"/>
        <v>15</v>
      </c>
      <c r="T371">
        <f t="shared" si="47"/>
        <v>1</v>
      </c>
      <c r="U371" t="str" cm="1">
        <f t="array" ref="U371">_xlfn.IFS(D371&lt;40,"Young Adult",AND(D371&gt;=40,D371&lt;65),"Middle Aged", D371&gt;=65,"Elderly")</f>
        <v>Elderly</v>
      </c>
    </row>
    <row r="372" spans="1:21" x14ac:dyDescent="0.2">
      <c r="A372">
        <v>1004</v>
      </c>
      <c r="B372">
        <f t="shared" si="40"/>
        <v>371</v>
      </c>
      <c r="C372" t="s">
        <v>1107</v>
      </c>
      <c r="D372">
        <v>27</v>
      </c>
      <c r="E372" t="s">
        <v>22</v>
      </c>
      <c r="F372" t="str">
        <f t="shared" si="41"/>
        <v>Male</v>
      </c>
      <c r="G372" s="1">
        <v>45895</v>
      </c>
      <c r="H372" s="1">
        <v>45545</v>
      </c>
      <c r="I372" t="s">
        <v>1108</v>
      </c>
      <c r="J372" t="str">
        <f t="shared" si="42"/>
        <v>Barbara Alvarado</v>
      </c>
      <c r="K372" t="s">
        <v>24</v>
      </c>
      <c r="L372" t="str">
        <f t="shared" si="43"/>
        <v>Neurology</v>
      </c>
      <c r="N372" t="str">
        <f t="shared" si="44"/>
        <v>N/A</v>
      </c>
      <c r="O372" t="str">
        <f t="shared" si="45"/>
        <v/>
      </c>
      <c r="P372" t="str" cm="1">
        <f t="array" ref="P372">_xlfn.IFS(N372="USD",O372*1,N372="GBP",O372*1.27,N372="EUR",O372*1.09,N372="INR",O372*0.012,N372="N/A","N/A")</f>
        <v>N/A</v>
      </c>
      <c r="Q372" t="s">
        <v>36</v>
      </c>
      <c r="R372" t="str" cm="1">
        <f t="array" ref="R372">_xlfn.IFS(Q372="Y","Yes", Q372="Yes","Yes", Q372="N","No", Q372="No","No", Q372=1,"N/A", Q372=0,"N/A", TRUE,"")</f>
        <v>Yes</v>
      </c>
      <c r="S372">
        <f t="shared" si="46"/>
        <v>9</v>
      </c>
      <c r="T372">
        <f t="shared" si="47"/>
        <v>1</v>
      </c>
      <c r="U372" t="str" cm="1">
        <f t="array" ref="U372">_xlfn.IFS(D372&lt;40,"Young Adult",AND(D372&gt;=40,D372&lt;65),"Middle Aged", D372&gt;=65,"Elderly")</f>
        <v>Young Adult</v>
      </c>
    </row>
    <row r="373" spans="1:21" x14ac:dyDescent="0.2">
      <c r="A373">
        <v>1006</v>
      </c>
      <c r="B373">
        <f t="shared" si="40"/>
        <v>372</v>
      </c>
      <c r="C373" t="s">
        <v>1109</v>
      </c>
      <c r="D373">
        <v>42</v>
      </c>
      <c r="E373" t="s">
        <v>71</v>
      </c>
      <c r="F373" t="str">
        <f t="shared" si="41"/>
        <v>Male</v>
      </c>
      <c r="G373" s="1">
        <v>45965</v>
      </c>
      <c r="H373" s="1">
        <v>45601</v>
      </c>
      <c r="I373" t="s">
        <v>1110</v>
      </c>
      <c r="J373" t="str">
        <f t="shared" si="42"/>
        <v>James Huber</v>
      </c>
      <c r="K373" t="s">
        <v>18</v>
      </c>
      <c r="L373" t="str">
        <f t="shared" si="43"/>
        <v>Orthopedics</v>
      </c>
      <c r="N373" t="str">
        <f t="shared" si="44"/>
        <v>N/A</v>
      </c>
      <c r="O373" t="str">
        <f t="shared" si="45"/>
        <v/>
      </c>
      <c r="P373" t="str" cm="1">
        <f t="array" ref="P373">_xlfn.IFS(N373="USD",O373*1,N373="GBP",O373*1.27,N373="EUR",O373*1.09,N373="INR",O373*0.012,N373="N/A","N/A")</f>
        <v>N/A</v>
      </c>
      <c r="Q373" t="s">
        <v>36</v>
      </c>
      <c r="R373" t="str" cm="1">
        <f t="array" ref="R373">_xlfn.IFS(Q373="Y","Yes", Q373="Yes","Yes", Q373="N","No", Q373="No","No", Q373=1,"N/A", Q373=0,"N/A", TRUE,"")</f>
        <v>Yes</v>
      </c>
      <c r="S373">
        <f t="shared" si="46"/>
        <v>8</v>
      </c>
      <c r="T373">
        <f t="shared" si="47"/>
        <v>1</v>
      </c>
      <c r="U373" t="str" cm="1">
        <f t="array" ref="U373">_xlfn.IFS(D373&lt;40,"Young Adult",AND(D373&gt;=40,D373&lt;65),"Middle Aged", D373&gt;=65,"Elderly")</f>
        <v>Middle Aged</v>
      </c>
    </row>
    <row r="374" spans="1:21" x14ac:dyDescent="0.2">
      <c r="A374">
        <v>1096</v>
      </c>
      <c r="B374">
        <f t="shared" si="40"/>
        <v>373</v>
      </c>
      <c r="C374" t="s">
        <v>1111</v>
      </c>
      <c r="D374">
        <v>83</v>
      </c>
      <c r="E374" t="s">
        <v>38</v>
      </c>
      <c r="F374" t="str">
        <f t="shared" si="41"/>
        <v>Female</v>
      </c>
      <c r="G374" s="1">
        <v>46102</v>
      </c>
      <c r="H374" s="1">
        <v>46000</v>
      </c>
      <c r="I374" t="s">
        <v>1112</v>
      </c>
      <c r="J374" t="str">
        <f t="shared" si="42"/>
        <v>Lisa Fry</v>
      </c>
      <c r="K374" t="s">
        <v>24</v>
      </c>
      <c r="L374" t="str">
        <f t="shared" si="43"/>
        <v>Neurology</v>
      </c>
      <c r="M374" t="s">
        <v>1113</v>
      </c>
      <c r="N374" t="str">
        <f t="shared" si="44"/>
        <v>GBP</v>
      </c>
      <c r="O374">
        <f t="shared" si="45"/>
        <v>194.82</v>
      </c>
      <c r="P374" cm="1">
        <f t="array" ref="P374">_xlfn.IFS(N374="USD",O374*1,N374="GBP",O374*1.27,N374="EUR",O374*1.09,N374="INR",O374*0.012,N374="N/A","N/A")</f>
        <v>247.42140000000001</v>
      </c>
      <c r="Q374">
        <v>1</v>
      </c>
      <c r="R374" t="str" cm="1">
        <f t="array" ref="R374">_xlfn.IFS(Q374="Y","Yes", Q374="Yes","Yes", Q374="N","No", Q374="No","No", Q374=1,"N/A", Q374=0,"N/A", TRUE,"")</f>
        <v>N/A</v>
      </c>
      <c r="S374">
        <f t="shared" si="46"/>
        <v>4</v>
      </c>
      <c r="T374">
        <f t="shared" si="47"/>
        <v>1</v>
      </c>
      <c r="U374" t="str" cm="1">
        <f t="array" ref="U374">_xlfn.IFS(D374&lt;40,"Young Adult",AND(D374&gt;=40,D374&lt;65),"Middle Aged", D374&gt;=65,"Elderly")</f>
        <v>Elderly</v>
      </c>
    </row>
    <row r="375" spans="1:21" x14ac:dyDescent="0.2">
      <c r="A375">
        <v>1022</v>
      </c>
      <c r="B375">
        <f t="shared" si="40"/>
        <v>374</v>
      </c>
      <c r="C375" t="s">
        <v>1114</v>
      </c>
      <c r="D375">
        <v>19</v>
      </c>
      <c r="E375" t="s">
        <v>2937</v>
      </c>
      <c r="F375" t="str">
        <f t="shared" si="41"/>
        <v>N/A</v>
      </c>
      <c r="G375" s="1">
        <v>45949</v>
      </c>
      <c r="H375" s="1">
        <v>45919</v>
      </c>
      <c r="I375" t="s">
        <v>1115</v>
      </c>
      <c r="J375" t="str">
        <f t="shared" si="42"/>
        <v>Amber Avila</v>
      </c>
      <c r="K375" t="s">
        <v>18</v>
      </c>
      <c r="L375" t="str">
        <f t="shared" si="43"/>
        <v>Orthopedics</v>
      </c>
      <c r="M375" t="s">
        <v>1116</v>
      </c>
      <c r="N375" t="str">
        <f t="shared" si="44"/>
        <v>EUR</v>
      </c>
      <c r="O375">
        <f t="shared" si="45"/>
        <v>145.75</v>
      </c>
      <c r="P375" cm="1">
        <f t="array" ref="P375">_xlfn.IFS(N375="USD",O375*1,N375="GBP",O375*1.27,N375="EUR",O375*1.09,N375="INR",O375*0.012,N375="N/A","N/A")</f>
        <v>158.86750000000001</v>
      </c>
      <c r="Q375" t="s">
        <v>36</v>
      </c>
      <c r="R375" t="str" cm="1">
        <f t="array" ref="R375">_xlfn.IFS(Q375="Y","Yes", Q375="Yes","Yes", Q375="N","No", Q375="No","No", Q375=1,"N/A", Q375=0,"N/A", TRUE,"")</f>
        <v>Yes</v>
      </c>
      <c r="S375">
        <f t="shared" si="46"/>
        <v>9</v>
      </c>
      <c r="T375">
        <f t="shared" si="47"/>
        <v>1</v>
      </c>
      <c r="U375" t="str" cm="1">
        <f t="array" ref="U375">_xlfn.IFS(D375&lt;40,"Young Adult",AND(D375&gt;=40,D375&lt;65),"Middle Aged", D375&gt;=65,"Elderly")</f>
        <v>Young Adult</v>
      </c>
    </row>
    <row r="376" spans="1:21" x14ac:dyDescent="0.2">
      <c r="A376">
        <v>1089</v>
      </c>
      <c r="B376">
        <f t="shared" si="40"/>
        <v>375</v>
      </c>
      <c r="C376" t="s">
        <v>1117</v>
      </c>
      <c r="D376">
        <v>35</v>
      </c>
      <c r="E376" t="s">
        <v>2937</v>
      </c>
      <c r="F376" t="str">
        <f t="shared" si="41"/>
        <v>N/A</v>
      </c>
      <c r="G376" s="1">
        <v>45959</v>
      </c>
      <c r="H376" s="1">
        <v>45906</v>
      </c>
      <c r="I376" t="s">
        <v>1118</v>
      </c>
      <c r="J376" t="str">
        <f t="shared" si="42"/>
        <v>Nancy Luna</v>
      </c>
      <c r="K376" t="s">
        <v>13</v>
      </c>
      <c r="L376" t="str">
        <f t="shared" si="43"/>
        <v>Cardiology</v>
      </c>
      <c r="M376" t="s">
        <v>1119</v>
      </c>
      <c r="N376" t="str">
        <f t="shared" si="44"/>
        <v>EUR</v>
      </c>
      <c r="O376">
        <f t="shared" si="45"/>
        <v>58.55</v>
      </c>
      <c r="P376" cm="1">
        <f t="array" ref="P376">_xlfn.IFS(N376="USD",O376*1,N376="GBP",O376*1.27,N376="EUR",O376*1.09,N376="INR",O376*0.012,N376="N/A","N/A")</f>
        <v>63.819500000000005</v>
      </c>
      <c r="Q376" t="s">
        <v>30</v>
      </c>
      <c r="R376" t="str" cm="1">
        <f t="array" ref="R376">_xlfn.IFS(Q376="Y","Yes", Q376="Yes","Yes", Q376="N","No", Q376="No","No", Q376=1,"N/A", Q376=0,"N/A", TRUE,"")</f>
        <v>No</v>
      </c>
      <c r="S376">
        <f t="shared" si="46"/>
        <v>16</v>
      </c>
      <c r="T376">
        <f t="shared" si="47"/>
        <v>1</v>
      </c>
      <c r="U376" t="str" cm="1">
        <f t="array" ref="U376">_xlfn.IFS(D376&lt;40,"Young Adult",AND(D376&gt;=40,D376&lt;65),"Middle Aged", D376&gt;=65,"Elderly")</f>
        <v>Young Adult</v>
      </c>
    </row>
    <row r="377" spans="1:21" x14ac:dyDescent="0.2">
      <c r="A377">
        <v>1058</v>
      </c>
      <c r="B377">
        <f t="shared" si="40"/>
        <v>376</v>
      </c>
      <c r="C377" t="s">
        <v>1120</v>
      </c>
      <c r="D377">
        <v>29</v>
      </c>
      <c r="E377" t="s">
        <v>71</v>
      </c>
      <c r="F377" t="str">
        <f t="shared" si="41"/>
        <v>Male</v>
      </c>
      <c r="G377" s="1">
        <v>45807</v>
      </c>
      <c r="H377" s="1">
        <v>45377</v>
      </c>
      <c r="I377" t="s">
        <v>1121</v>
      </c>
      <c r="J377" t="str">
        <f t="shared" si="42"/>
        <v>Michelle Thomas</v>
      </c>
      <c r="K377" t="s">
        <v>28</v>
      </c>
      <c r="L377" t="str">
        <f t="shared" si="43"/>
        <v>General</v>
      </c>
      <c r="M377" t="s">
        <v>1122</v>
      </c>
      <c r="N377" t="str">
        <f t="shared" si="44"/>
        <v>USD</v>
      </c>
      <c r="O377">
        <f t="shared" si="45"/>
        <v>481.22</v>
      </c>
      <c r="P377" cm="1">
        <f t="array" ref="P377">_xlfn.IFS(N377="USD",O377*1,N377="GBP",O377*1.27,N377="EUR",O377*1.09,N377="INR",O377*0.012,N377="N/A","N/A")</f>
        <v>481.22</v>
      </c>
      <c r="Q377" t="s">
        <v>36</v>
      </c>
      <c r="R377" t="str" cm="1">
        <f t="array" ref="R377">_xlfn.IFS(Q377="Y","Yes", Q377="Yes","Yes", Q377="N","No", Q377="No","No", Q377=1,"N/A", Q377=0,"N/A", TRUE,"")</f>
        <v>Yes</v>
      </c>
      <c r="S377">
        <f t="shared" si="46"/>
        <v>17</v>
      </c>
      <c r="T377">
        <f t="shared" si="47"/>
        <v>1</v>
      </c>
      <c r="U377" t="str" cm="1">
        <f t="array" ref="U377">_xlfn.IFS(D377&lt;40,"Young Adult",AND(D377&gt;=40,D377&lt;65),"Middle Aged", D377&gt;=65,"Elderly")</f>
        <v>Young Adult</v>
      </c>
    </row>
    <row r="378" spans="1:21" x14ac:dyDescent="0.2">
      <c r="A378">
        <v>1024</v>
      </c>
      <c r="B378">
        <f t="shared" si="40"/>
        <v>377</v>
      </c>
      <c r="C378" t="s">
        <v>1123</v>
      </c>
      <c r="D378">
        <v>55</v>
      </c>
      <c r="E378" t="s">
        <v>16</v>
      </c>
      <c r="F378" t="str">
        <f t="shared" si="41"/>
        <v>Female</v>
      </c>
      <c r="G378" s="1">
        <v>45942</v>
      </c>
      <c r="H378" s="1">
        <v>45593</v>
      </c>
      <c r="I378" t="s">
        <v>1124</v>
      </c>
      <c r="J378" t="str">
        <f t="shared" si="42"/>
        <v>Derrick Glass</v>
      </c>
      <c r="K378" t="s">
        <v>28</v>
      </c>
      <c r="L378" t="str">
        <f t="shared" si="43"/>
        <v>General</v>
      </c>
      <c r="M378" t="s">
        <v>1125</v>
      </c>
      <c r="N378" t="str">
        <f t="shared" si="44"/>
        <v>EUR</v>
      </c>
      <c r="O378">
        <f t="shared" si="45"/>
        <v>56.37</v>
      </c>
      <c r="P378" cm="1">
        <f t="array" ref="P378">_xlfn.IFS(N378="USD",O378*1,N378="GBP",O378*1.27,N378="EUR",O378*1.09,N378="INR",O378*0.012,N378="N/A","N/A")</f>
        <v>61.443300000000001</v>
      </c>
      <c r="Q378" t="s">
        <v>20</v>
      </c>
      <c r="R378" t="str" cm="1">
        <f t="array" ref="R378">_xlfn.IFS(Q378="Y","Yes", Q378="Yes","Yes", Q378="N","No", Q378="No","No", Q378=1,"N/A", Q378=0,"N/A", TRUE,"")</f>
        <v>Yes</v>
      </c>
      <c r="S378">
        <f t="shared" si="46"/>
        <v>12</v>
      </c>
      <c r="T378">
        <f t="shared" si="47"/>
        <v>1</v>
      </c>
      <c r="U378" t="str" cm="1">
        <f t="array" ref="U378">_xlfn.IFS(D378&lt;40,"Young Adult",AND(D378&gt;=40,D378&lt;65),"Middle Aged", D378&gt;=65,"Elderly")</f>
        <v>Middle Aged</v>
      </c>
    </row>
    <row r="379" spans="1:21" x14ac:dyDescent="0.2">
      <c r="A379">
        <v>1016</v>
      </c>
      <c r="B379">
        <f t="shared" si="40"/>
        <v>378</v>
      </c>
      <c r="C379" t="s">
        <v>1126</v>
      </c>
      <c r="D379">
        <v>81</v>
      </c>
      <c r="E379" t="s">
        <v>38</v>
      </c>
      <c r="F379" t="str">
        <f t="shared" si="41"/>
        <v>Female</v>
      </c>
      <c r="G379" s="1">
        <v>45859</v>
      </c>
      <c r="H379" s="1">
        <v>45481</v>
      </c>
      <c r="I379" t="s">
        <v>1127</v>
      </c>
      <c r="J379" t="str">
        <f t="shared" si="42"/>
        <v>Ivan Russo</v>
      </c>
      <c r="K379" t="s">
        <v>28</v>
      </c>
      <c r="L379" t="str">
        <f t="shared" si="43"/>
        <v>General</v>
      </c>
      <c r="M379" t="s">
        <v>1128</v>
      </c>
      <c r="N379" t="str">
        <f t="shared" si="44"/>
        <v>GBP</v>
      </c>
      <c r="O379">
        <f t="shared" si="45"/>
        <v>456.26</v>
      </c>
      <c r="P379" cm="1">
        <f t="array" ref="P379">_xlfn.IFS(N379="USD",O379*1,N379="GBP",O379*1.27,N379="EUR",O379*1.09,N379="INR",O379*0.012,N379="N/A","N/A")</f>
        <v>579.4502</v>
      </c>
      <c r="Q379">
        <v>1</v>
      </c>
      <c r="R379" t="str" cm="1">
        <f t="array" ref="R379">_xlfn.IFS(Q379="Y","Yes", Q379="Yes","Yes", Q379="N","No", Q379="No","No", Q379=1,"N/A", Q379=0,"N/A", TRUE,"")</f>
        <v>N/A</v>
      </c>
      <c r="S379">
        <f t="shared" si="46"/>
        <v>15</v>
      </c>
      <c r="T379">
        <f t="shared" si="47"/>
        <v>1</v>
      </c>
      <c r="U379" t="str" cm="1">
        <f t="array" ref="U379">_xlfn.IFS(D379&lt;40,"Young Adult",AND(D379&gt;=40,D379&lt;65),"Middle Aged", D379&gt;=65,"Elderly")</f>
        <v>Elderly</v>
      </c>
    </row>
    <row r="380" spans="1:21" x14ac:dyDescent="0.2">
      <c r="A380">
        <v>1022</v>
      </c>
      <c r="B380">
        <f t="shared" si="40"/>
        <v>379</v>
      </c>
      <c r="C380" t="s">
        <v>1129</v>
      </c>
      <c r="D380">
        <v>56</v>
      </c>
      <c r="E380" t="s">
        <v>71</v>
      </c>
      <c r="F380" t="str">
        <f t="shared" si="41"/>
        <v>Male</v>
      </c>
      <c r="G380" s="1">
        <v>45824</v>
      </c>
      <c r="H380" s="1">
        <v>45443</v>
      </c>
      <c r="I380" t="s">
        <v>1130</v>
      </c>
      <c r="J380" t="str">
        <f t="shared" si="42"/>
        <v>David Love</v>
      </c>
      <c r="K380" t="s">
        <v>13</v>
      </c>
      <c r="L380" t="str">
        <f t="shared" si="43"/>
        <v>Cardiology</v>
      </c>
      <c r="M380" t="s">
        <v>1131</v>
      </c>
      <c r="N380" t="str">
        <f t="shared" si="44"/>
        <v>USD</v>
      </c>
      <c r="O380">
        <f t="shared" si="45"/>
        <v>157.36000000000001</v>
      </c>
      <c r="P380" cm="1">
        <f t="array" ref="P380">_xlfn.IFS(N380="USD",O380*1,N380="GBP",O380*1.27,N380="EUR",O380*1.09,N380="INR",O380*0.012,N380="N/A","N/A")</f>
        <v>157.36000000000001</v>
      </c>
      <c r="Q380" t="s">
        <v>30</v>
      </c>
      <c r="R380" t="str" cm="1">
        <f t="array" ref="R380">_xlfn.IFS(Q380="Y","Yes", Q380="Yes","Yes", Q380="N","No", Q380="No","No", Q380=1,"N/A", Q380=0,"N/A", TRUE,"")</f>
        <v>No</v>
      </c>
      <c r="S380">
        <f t="shared" si="46"/>
        <v>9</v>
      </c>
      <c r="T380">
        <f t="shared" si="47"/>
        <v>1</v>
      </c>
      <c r="U380" t="str" cm="1">
        <f t="array" ref="U380">_xlfn.IFS(D380&lt;40,"Young Adult",AND(D380&gt;=40,D380&lt;65),"Middle Aged", D380&gt;=65,"Elderly")</f>
        <v>Middle Aged</v>
      </c>
    </row>
    <row r="381" spans="1:21" x14ac:dyDescent="0.2">
      <c r="A381">
        <v>1088</v>
      </c>
      <c r="B381">
        <f t="shared" si="40"/>
        <v>380</v>
      </c>
      <c r="C381" t="s">
        <v>1132</v>
      </c>
      <c r="D381">
        <v>32</v>
      </c>
      <c r="E381" t="s">
        <v>2937</v>
      </c>
      <c r="F381" t="str">
        <f t="shared" si="41"/>
        <v>N/A</v>
      </c>
      <c r="G381" s="1">
        <v>45860</v>
      </c>
      <c r="H381" s="1">
        <v>45394</v>
      </c>
      <c r="I381" t="s">
        <v>1133</v>
      </c>
      <c r="J381" t="str">
        <f t="shared" si="42"/>
        <v>Bonnie Walker</v>
      </c>
      <c r="K381" t="s">
        <v>18</v>
      </c>
      <c r="L381" t="str">
        <f t="shared" si="43"/>
        <v>Orthopedics</v>
      </c>
      <c r="M381" t="s">
        <v>1134</v>
      </c>
      <c r="N381" t="str">
        <f t="shared" si="44"/>
        <v>USD</v>
      </c>
      <c r="O381">
        <f t="shared" si="45"/>
        <v>69.13</v>
      </c>
      <c r="P381" cm="1">
        <f t="array" ref="P381">_xlfn.IFS(N381="USD",O381*1,N381="GBP",O381*1.27,N381="EUR",O381*1.09,N381="INR",O381*0.012,N381="N/A","N/A")</f>
        <v>69.13</v>
      </c>
      <c r="Q381" t="s">
        <v>36</v>
      </c>
      <c r="R381" t="str" cm="1">
        <f t="array" ref="R381">_xlfn.IFS(Q381="Y","Yes", Q381="Yes","Yes", Q381="N","No", Q381="No","No", Q381=1,"N/A", Q381=0,"N/A", TRUE,"")</f>
        <v>Yes</v>
      </c>
      <c r="S381">
        <f t="shared" si="46"/>
        <v>16</v>
      </c>
      <c r="T381">
        <f t="shared" si="47"/>
        <v>1</v>
      </c>
      <c r="U381" t="str" cm="1">
        <f t="array" ref="U381">_xlfn.IFS(D381&lt;40,"Young Adult",AND(D381&gt;=40,D381&lt;65),"Middle Aged", D381&gt;=65,"Elderly")</f>
        <v>Young Adult</v>
      </c>
    </row>
    <row r="382" spans="1:21" x14ac:dyDescent="0.2">
      <c r="A382">
        <v>1016</v>
      </c>
      <c r="B382">
        <f t="shared" si="40"/>
        <v>381</v>
      </c>
      <c r="C382" t="s">
        <v>1135</v>
      </c>
      <c r="D382">
        <v>74</v>
      </c>
      <c r="E382" t="s">
        <v>22</v>
      </c>
      <c r="F382" t="str">
        <f t="shared" si="41"/>
        <v>Male</v>
      </c>
      <c r="G382" s="1">
        <v>45997</v>
      </c>
      <c r="H382" s="1">
        <v>45569</v>
      </c>
      <c r="I382" t="s">
        <v>1136</v>
      </c>
      <c r="J382" t="str">
        <f t="shared" si="42"/>
        <v>Christopher Smith</v>
      </c>
      <c r="K382" t="s">
        <v>24</v>
      </c>
      <c r="L382" t="str">
        <f t="shared" si="43"/>
        <v>Neurology</v>
      </c>
      <c r="M382" t="s">
        <v>1137</v>
      </c>
      <c r="N382" t="str">
        <f t="shared" si="44"/>
        <v>EUR</v>
      </c>
      <c r="O382">
        <f t="shared" si="45"/>
        <v>56.63</v>
      </c>
      <c r="P382" cm="1">
        <f t="array" ref="P382">_xlfn.IFS(N382="USD",O382*1,N382="GBP",O382*1.27,N382="EUR",O382*1.09,N382="INR",O382*0.012,N382="N/A","N/A")</f>
        <v>61.726700000000008</v>
      </c>
      <c r="Q382" t="s">
        <v>20</v>
      </c>
      <c r="R382" t="str" cm="1">
        <f t="array" ref="R382">_xlfn.IFS(Q382="Y","Yes", Q382="Yes","Yes", Q382="N","No", Q382="No","No", Q382=1,"N/A", Q382=0,"N/A", TRUE,"")</f>
        <v>Yes</v>
      </c>
      <c r="S382">
        <f t="shared" si="46"/>
        <v>15</v>
      </c>
      <c r="T382">
        <f t="shared" si="47"/>
        <v>1</v>
      </c>
      <c r="U382" t="str" cm="1">
        <f t="array" ref="U382">_xlfn.IFS(D382&lt;40,"Young Adult",AND(D382&gt;=40,D382&lt;65),"Middle Aged", D382&gt;=65,"Elderly")</f>
        <v>Elderly</v>
      </c>
    </row>
    <row r="383" spans="1:21" x14ac:dyDescent="0.2">
      <c r="A383">
        <v>1039</v>
      </c>
      <c r="B383">
        <f t="shared" si="40"/>
        <v>382</v>
      </c>
      <c r="C383" t="s">
        <v>1138</v>
      </c>
      <c r="D383">
        <v>55</v>
      </c>
      <c r="E383" t="s">
        <v>51</v>
      </c>
      <c r="F383" t="str">
        <f t="shared" si="41"/>
        <v>Male</v>
      </c>
      <c r="G383" s="1">
        <v>45748</v>
      </c>
      <c r="H383" s="1">
        <v>45548</v>
      </c>
      <c r="I383" t="s">
        <v>1139</v>
      </c>
      <c r="J383" t="str">
        <f t="shared" si="42"/>
        <v>Nicole Bates</v>
      </c>
      <c r="K383" t="s">
        <v>18</v>
      </c>
      <c r="L383" t="str">
        <f t="shared" si="43"/>
        <v>Orthopedics</v>
      </c>
      <c r="M383" t="s">
        <v>1140</v>
      </c>
      <c r="N383" t="str">
        <f t="shared" si="44"/>
        <v>USD</v>
      </c>
      <c r="O383">
        <f t="shared" si="45"/>
        <v>432.84</v>
      </c>
      <c r="P383" cm="1">
        <f t="array" ref="P383">_xlfn.IFS(N383="USD",O383*1,N383="GBP",O383*1.27,N383="EUR",O383*1.09,N383="INR",O383*0.012,N383="N/A","N/A")</f>
        <v>432.84</v>
      </c>
      <c r="Q383" t="s">
        <v>30</v>
      </c>
      <c r="R383" t="str" cm="1">
        <f t="array" ref="R383">_xlfn.IFS(Q383="Y","Yes", Q383="Yes","Yes", Q383="N","No", Q383="No","No", Q383=1,"N/A", Q383=0,"N/A", TRUE,"")</f>
        <v>No</v>
      </c>
      <c r="S383">
        <f t="shared" si="46"/>
        <v>8</v>
      </c>
      <c r="T383">
        <f t="shared" si="47"/>
        <v>1</v>
      </c>
      <c r="U383" t="str" cm="1">
        <f t="array" ref="U383">_xlfn.IFS(D383&lt;40,"Young Adult",AND(D383&gt;=40,D383&lt;65),"Middle Aged", D383&gt;=65,"Elderly")</f>
        <v>Middle Aged</v>
      </c>
    </row>
    <row r="384" spans="1:21" x14ac:dyDescent="0.2">
      <c r="A384">
        <v>1075</v>
      </c>
      <c r="B384">
        <f t="shared" si="40"/>
        <v>383</v>
      </c>
      <c r="C384" t="s">
        <v>1141</v>
      </c>
      <c r="D384">
        <v>27</v>
      </c>
      <c r="E384" t="s">
        <v>38</v>
      </c>
      <c r="F384" t="str">
        <f t="shared" si="41"/>
        <v>Female</v>
      </c>
      <c r="G384" s="1">
        <v>45754</v>
      </c>
      <c r="H384" s="1">
        <v>45384</v>
      </c>
      <c r="I384" t="s">
        <v>1142</v>
      </c>
      <c r="J384" t="str">
        <f t="shared" si="42"/>
        <v>Kimberly Long</v>
      </c>
      <c r="K384" t="s">
        <v>18</v>
      </c>
      <c r="L384" t="str">
        <f t="shared" si="43"/>
        <v>Orthopedics</v>
      </c>
      <c r="M384" t="s">
        <v>1143</v>
      </c>
      <c r="N384" t="str">
        <f t="shared" si="44"/>
        <v>GBP</v>
      </c>
      <c r="O384">
        <f t="shared" si="45"/>
        <v>208.8</v>
      </c>
      <c r="P384" cm="1">
        <f t="array" ref="P384">_xlfn.IFS(N384="USD",O384*1,N384="GBP",O384*1.27,N384="EUR",O384*1.09,N384="INR",O384*0.012,N384="N/A","N/A")</f>
        <v>265.17600000000004</v>
      </c>
      <c r="Q384" t="s">
        <v>60</v>
      </c>
      <c r="R384" t="str" cm="1">
        <f t="array" ref="R384">_xlfn.IFS(Q384="Y","Yes", Q384="Yes","Yes", Q384="N","No", Q384="No","No", Q384=1,"N/A", Q384=0,"N/A", TRUE,"")</f>
        <v>No</v>
      </c>
      <c r="S384">
        <f t="shared" si="46"/>
        <v>11</v>
      </c>
      <c r="T384">
        <f t="shared" si="47"/>
        <v>1</v>
      </c>
      <c r="U384" t="str" cm="1">
        <f t="array" ref="U384">_xlfn.IFS(D384&lt;40,"Young Adult",AND(D384&gt;=40,D384&lt;65),"Middle Aged", D384&gt;=65,"Elderly")</f>
        <v>Young Adult</v>
      </c>
    </row>
    <row r="385" spans="1:21" x14ac:dyDescent="0.2">
      <c r="A385">
        <v>1013</v>
      </c>
      <c r="B385">
        <f t="shared" si="40"/>
        <v>384</v>
      </c>
      <c r="C385" t="s">
        <v>1144</v>
      </c>
      <c r="D385">
        <v>62</v>
      </c>
      <c r="E385" t="s">
        <v>38</v>
      </c>
      <c r="F385" t="str">
        <f t="shared" si="41"/>
        <v>Female</v>
      </c>
      <c r="G385" s="1">
        <v>46024</v>
      </c>
      <c r="H385" s="1">
        <v>45714</v>
      </c>
      <c r="I385" t="s">
        <v>1145</v>
      </c>
      <c r="J385" t="str">
        <f t="shared" si="42"/>
        <v>Melissa Brown</v>
      </c>
      <c r="K385" t="s">
        <v>24</v>
      </c>
      <c r="L385" t="str">
        <f t="shared" si="43"/>
        <v>Neurology</v>
      </c>
      <c r="M385" t="s">
        <v>1146</v>
      </c>
      <c r="N385" t="str">
        <f t="shared" si="44"/>
        <v>USD</v>
      </c>
      <c r="O385">
        <f t="shared" si="45"/>
        <v>413.25</v>
      </c>
      <c r="P385" cm="1">
        <f t="array" ref="P385">_xlfn.IFS(N385="USD",O385*1,N385="GBP",O385*1.27,N385="EUR",O385*1.09,N385="INR",O385*0.012,N385="N/A","N/A")</f>
        <v>413.25</v>
      </c>
      <c r="Q385">
        <v>1</v>
      </c>
      <c r="R385" t="str" cm="1">
        <f t="array" ref="R385">_xlfn.IFS(Q385="Y","Yes", Q385="Yes","Yes", Q385="N","No", Q385="No","No", Q385=1,"N/A", Q385=0,"N/A", TRUE,"")</f>
        <v>N/A</v>
      </c>
      <c r="S385">
        <f t="shared" si="46"/>
        <v>10</v>
      </c>
      <c r="T385">
        <f t="shared" si="47"/>
        <v>1</v>
      </c>
      <c r="U385" t="str" cm="1">
        <f t="array" ref="U385">_xlfn.IFS(D385&lt;40,"Young Adult",AND(D385&gt;=40,D385&lt;65),"Middle Aged", D385&gt;=65,"Elderly")</f>
        <v>Middle Aged</v>
      </c>
    </row>
    <row r="386" spans="1:21" x14ac:dyDescent="0.2">
      <c r="A386">
        <v>1089</v>
      </c>
      <c r="B386">
        <f t="shared" si="40"/>
        <v>385</v>
      </c>
      <c r="C386" t="s">
        <v>1147</v>
      </c>
      <c r="D386">
        <v>24</v>
      </c>
      <c r="E386" t="s">
        <v>71</v>
      </c>
      <c r="F386" t="str">
        <f t="shared" si="41"/>
        <v>Male</v>
      </c>
      <c r="G386" s="1">
        <v>45916</v>
      </c>
      <c r="H386" s="1">
        <v>45673</v>
      </c>
      <c r="I386" t="s">
        <v>1148</v>
      </c>
      <c r="J386" t="str">
        <f t="shared" si="42"/>
        <v>Larry Delgado</v>
      </c>
      <c r="K386" t="s">
        <v>18</v>
      </c>
      <c r="L386" t="str">
        <f t="shared" si="43"/>
        <v>Orthopedics</v>
      </c>
      <c r="M386" t="s">
        <v>1149</v>
      </c>
      <c r="N386" t="str">
        <f t="shared" si="44"/>
        <v>USD</v>
      </c>
      <c r="O386">
        <f t="shared" si="45"/>
        <v>73.59</v>
      </c>
      <c r="P386" cm="1">
        <f t="array" ref="P386">_xlfn.IFS(N386="USD",O386*1,N386="GBP",O386*1.27,N386="EUR",O386*1.09,N386="INR",O386*0.012,N386="N/A","N/A")</f>
        <v>73.59</v>
      </c>
      <c r="Q386" t="s">
        <v>36</v>
      </c>
      <c r="R386" t="str" cm="1">
        <f t="array" ref="R386">_xlfn.IFS(Q386="Y","Yes", Q386="Yes","Yes", Q386="N","No", Q386="No","No", Q386=1,"N/A", Q386=0,"N/A", TRUE,"")</f>
        <v>Yes</v>
      </c>
      <c r="S386">
        <f t="shared" si="46"/>
        <v>16</v>
      </c>
      <c r="T386">
        <f t="shared" si="47"/>
        <v>1</v>
      </c>
      <c r="U386" t="str" cm="1">
        <f t="array" ref="U386">_xlfn.IFS(D386&lt;40,"Young Adult",AND(D386&gt;=40,D386&lt;65),"Middle Aged", D386&gt;=65,"Elderly")</f>
        <v>Young Adult</v>
      </c>
    </row>
    <row r="387" spans="1:21" x14ac:dyDescent="0.2">
      <c r="A387">
        <v>1084</v>
      </c>
      <c r="B387">
        <f t="shared" ref="B387:B450" si="48">ROW()-1</f>
        <v>386</v>
      </c>
      <c r="C387" t="s">
        <v>1150</v>
      </c>
      <c r="D387">
        <v>34</v>
      </c>
      <c r="E387" t="s">
        <v>16</v>
      </c>
      <c r="F387" t="str">
        <f t="shared" ref="F387:F450" si="49">IF(E387="male","Male",IF(E387="female","Female",IF(E387="F","Female",IF(E387="M","Male",IF(E387="N/A","N/A")))))</f>
        <v>Female</v>
      </c>
      <c r="G387" s="1">
        <v>45998</v>
      </c>
      <c r="H387" s="1">
        <v>45941</v>
      </c>
      <c r="I387" t="s">
        <v>1151</v>
      </c>
      <c r="J387" t="str">
        <f t="shared" ref="J387:J450" si="50">PROPER(I387)</f>
        <v>Jill Kelley</v>
      </c>
      <c r="K387" t="s">
        <v>28</v>
      </c>
      <c r="L387" t="str">
        <f t="shared" ref="L387:L450" si="51">PROPER(K387)</f>
        <v>General</v>
      </c>
      <c r="M387" t="s">
        <v>1152</v>
      </c>
      <c r="N387" t="str">
        <f t="shared" ref="N387:N450" si="52">IF(LEFT(M387,1)="$","USD",IF(LEFT(M387,2)="Rs","INR",IF(LEFT(M387,2)="¬£","GBP",IF(LEFT(M387,3)="‚Ç¨","EUR","N/A"))))</f>
        <v>INR</v>
      </c>
      <c r="O387">
        <f t="shared" ref="O387:O450" si="53">IFERROR(VALUE(SUBSTITUTE(SUBSTITUTE(SUBSTITUTE(SUBSTITUTE(M387,"$",""), "Rs",""),"¬£",""),"‚Ç¨","")), "")</f>
        <v>466.72</v>
      </c>
      <c r="P387" cm="1">
        <f t="array" ref="P387">_xlfn.IFS(N387="USD",O387*1,N387="GBP",O387*1.27,N387="EUR",O387*1.09,N387="INR",O387*0.012,N387="N/A","N/A")</f>
        <v>5.6006400000000003</v>
      </c>
      <c r="Q387">
        <v>0</v>
      </c>
      <c r="R387" t="str" cm="1">
        <f t="array" ref="R387">_xlfn.IFS(Q387="Y","Yes", Q387="Yes","Yes", Q387="N","No", Q387="No","No", Q387=1,"N/A", Q387=0,"N/A", TRUE,"")</f>
        <v>N/A</v>
      </c>
      <c r="S387">
        <f t="shared" ref="S387:S450" si="54">COUNTIF($A$2:$A$1001, A387)</f>
        <v>15</v>
      </c>
      <c r="T387">
        <f t="shared" ref="T387:T450" si="55">COUNTIFS($A$2:$A$1001, A387, $C$2:$C$1001, C387)</f>
        <v>1</v>
      </c>
      <c r="U387" t="str" cm="1">
        <f t="array" ref="U387">_xlfn.IFS(D387&lt;40,"Young Adult",AND(D387&gt;=40,D387&lt;65),"Middle Aged", D387&gt;=65,"Elderly")</f>
        <v>Young Adult</v>
      </c>
    </row>
    <row r="388" spans="1:21" x14ac:dyDescent="0.2">
      <c r="A388">
        <v>1018</v>
      </c>
      <c r="B388">
        <f t="shared" si="48"/>
        <v>387</v>
      </c>
      <c r="C388" t="s">
        <v>1153</v>
      </c>
      <c r="D388">
        <v>68</v>
      </c>
      <c r="E388" t="s">
        <v>2937</v>
      </c>
      <c r="F388" t="str">
        <f t="shared" si="49"/>
        <v>N/A</v>
      </c>
      <c r="G388" s="1">
        <v>45833</v>
      </c>
      <c r="H388" s="1">
        <v>45813</v>
      </c>
      <c r="I388" t="s">
        <v>1154</v>
      </c>
      <c r="J388" t="str">
        <f t="shared" si="50"/>
        <v>Dylan George</v>
      </c>
      <c r="K388" t="s">
        <v>13</v>
      </c>
      <c r="L388" t="str">
        <f t="shared" si="51"/>
        <v>Cardiology</v>
      </c>
      <c r="M388" t="s">
        <v>1155</v>
      </c>
      <c r="N388" t="str">
        <f t="shared" si="52"/>
        <v>EUR</v>
      </c>
      <c r="O388">
        <f t="shared" si="53"/>
        <v>213.67</v>
      </c>
      <c r="P388" cm="1">
        <f t="array" ref="P388">_xlfn.IFS(N388="USD",O388*1,N388="GBP",O388*1.27,N388="EUR",O388*1.09,N388="INR",O388*0.012,N388="N/A","N/A")</f>
        <v>232.90030000000002</v>
      </c>
      <c r="Q388" t="s">
        <v>20</v>
      </c>
      <c r="R388" t="str" cm="1">
        <f t="array" ref="R388">_xlfn.IFS(Q388="Y","Yes", Q388="Yes","Yes", Q388="N","No", Q388="No","No", Q388=1,"N/A", Q388=0,"N/A", TRUE,"")</f>
        <v>Yes</v>
      </c>
      <c r="S388">
        <f t="shared" si="54"/>
        <v>14</v>
      </c>
      <c r="T388">
        <f t="shared" si="55"/>
        <v>1</v>
      </c>
      <c r="U388" t="str" cm="1">
        <f t="array" ref="U388">_xlfn.IFS(D388&lt;40,"Young Adult",AND(D388&gt;=40,D388&lt;65),"Middle Aged", D388&gt;=65,"Elderly")</f>
        <v>Elderly</v>
      </c>
    </row>
    <row r="389" spans="1:21" x14ac:dyDescent="0.2">
      <c r="A389">
        <v>1026</v>
      </c>
      <c r="B389">
        <f t="shared" si="48"/>
        <v>388</v>
      </c>
      <c r="C389" t="s">
        <v>1156</v>
      </c>
      <c r="D389">
        <v>42</v>
      </c>
      <c r="E389" t="s">
        <v>2937</v>
      </c>
      <c r="F389" t="str">
        <f t="shared" si="49"/>
        <v>N/A</v>
      </c>
      <c r="G389" s="1">
        <v>46047</v>
      </c>
      <c r="H389" s="1">
        <v>45635</v>
      </c>
      <c r="I389" t="s">
        <v>1157</v>
      </c>
      <c r="J389" t="str">
        <f t="shared" si="50"/>
        <v>Michael Alexander</v>
      </c>
      <c r="K389" t="s">
        <v>28</v>
      </c>
      <c r="L389" t="str">
        <f t="shared" si="51"/>
        <v>General</v>
      </c>
      <c r="M389" t="s">
        <v>1158</v>
      </c>
      <c r="N389" t="str">
        <f t="shared" si="52"/>
        <v>USD</v>
      </c>
      <c r="O389">
        <f t="shared" si="53"/>
        <v>156.9</v>
      </c>
      <c r="P389" cm="1">
        <f t="array" ref="P389">_xlfn.IFS(N389="USD",O389*1,N389="GBP",O389*1.27,N389="EUR",O389*1.09,N389="INR",O389*0.012,N389="N/A","N/A")</f>
        <v>156.9</v>
      </c>
      <c r="Q389" t="s">
        <v>60</v>
      </c>
      <c r="R389" t="str" cm="1">
        <f t="array" ref="R389">_xlfn.IFS(Q389="Y","Yes", Q389="Yes","Yes", Q389="N","No", Q389="No","No", Q389=1,"N/A", Q389=0,"N/A", TRUE,"")</f>
        <v>No</v>
      </c>
      <c r="S389">
        <f t="shared" si="54"/>
        <v>10</v>
      </c>
      <c r="T389">
        <f t="shared" si="55"/>
        <v>1</v>
      </c>
      <c r="U389" t="str" cm="1">
        <f t="array" ref="U389">_xlfn.IFS(D389&lt;40,"Young Adult",AND(D389&gt;=40,D389&lt;65),"Middle Aged", D389&gt;=65,"Elderly")</f>
        <v>Middle Aged</v>
      </c>
    </row>
    <row r="390" spans="1:21" x14ac:dyDescent="0.2">
      <c r="A390">
        <v>1001</v>
      </c>
      <c r="B390">
        <f t="shared" si="48"/>
        <v>389</v>
      </c>
      <c r="C390" t="s">
        <v>1159</v>
      </c>
      <c r="D390">
        <v>90</v>
      </c>
      <c r="E390" t="s">
        <v>22</v>
      </c>
      <c r="F390" t="str">
        <f t="shared" si="49"/>
        <v>Male</v>
      </c>
      <c r="G390" s="1">
        <v>45973</v>
      </c>
      <c r="H390" s="1">
        <v>45904</v>
      </c>
      <c r="I390" t="s">
        <v>1160</v>
      </c>
      <c r="J390" t="str">
        <f t="shared" si="50"/>
        <v>Kevin Wilkinson</v>
      </c>
      <c r="K390" t="s">
        <v>24</v>
      </c>
      <c r="L390" t="str">
        <f t="shared" si="51"/>
        <v>Neurology</v>
      </c>
      <c r="M390" t="s">
        <v>1161</v>
      </c>
      <c r="N390" t="str">
        <f t="shared" si="52"/>
        <v>GBP</v>
      </c>
      <c r="O390">
        <f t="shared" si="53"/>
        <v>323.18</v>
      </c>
      <c r="P390" cm="1">
        <f t="array" ref="P390">_xlfn.IFS(N390="USD",O390*1,N390="GBP",O390*1.27,N390="EUR",O390*1.09,N390="INR",O390*0.012,N390="N/A","N/A")</f>
        <v>410.43860000000001</v>
      </c>
      <c r="Q390" t="s">
        <v>30</v>
      </c>
      <c r="R390" t="str" cm="1">
        <f t="array" ref="R390">_xlfn.IFS(Q390="Y","Yes", Q390="Yes","Yes", Q390="N","No", Q390="No","No", Q390=1,"N/A", Q390=0,"N/A", TRUE,"")</f>
        <v>No</v>
      </c>
      <c r="S390">
        <f t="shared" si="54"/>
        <v>12</v>
      </c>
      <c r="T390">
        <f t="shared" si="55"/>
        <v>1</v>
      </c>
      <c r="U390" t="str" cm="1">
        <f t="array" ref="U390">_xlfn.IFS(D390&lt;40,"Young Adult",AND(D390&gt;=40,D390&lt;65),"Middle Aged", D390&gt;=65,"Elderly")</f>
        <v>Elderly</v>
      </c>
    </row>
    <row r="391" spans="1:21" x14ac:dyDescent="0.2">
      <c r="A391">
        <v>1004</v>
      </c>
      <c r="B391">
        <f t="shared" si="48"/>
        <v>390</v>
      </c>
      <c r="C391" t="s">
        <v>1162</v>
      </c>
      <c r="D391">
        <v>65</v>
      </c>
      <c r="E391" t="s">
        <v>51</v>
      </c>
      <c r="F391" t="str">
        <f t="shared" si="49"/>
        <v>Male</v>
      </c>
      <c r="G391" s="1">
        <v>45881</v>
      </c>
      <c r="H391" s="1">
        <v>45653</v>
      </c>
      <c r="I391" t="s">
        <v>1163</v>
      </c>
      <c r="J391" t="str">
        <f t="shared" si="50"/>
        <v>Robert Sanchez</v>
      </c>
      <c r="K391" t="s">
        <v>13</v>
      </c>
      <c r="L391" t="str">
        <f t="shared" si="51"/>
        <v>Cardiology</v>
      </c>
      <c r="M391" t="s">
        <v>1164</v>
      </c>
      <c r="N391" t="str">
        <f t="shared" si="52"/>
        <v>USD</v>
      </c>
      <c r="O391">
        <f t="shared" si="53"/>
        <v>188.72</v>
      </c>
      <c r="P391" cm="1">
        <f t="array" ref="P391">_xlfn.IFS(N391="USD",O391*1,N391="GBP",O391*1.27,N391="EUR",O391*1.09,N391="INR",O391*0.012,N391="N/A","N/A")</f>
        <v>188.72</v>
      </c>
      <c r="Q391" t="s">
        <v>20</v>
      </c>
      <c r="R391" t="str" cm="1">
        <f t="array" ref="R391">_xlfn.IFS(Q391="Y","Yes", Q391="Yes","Yes", Q391="N","No", Q391="No","No", Q391=1,"N/A", Q391=0,"N/A", TRUE,"")</f>
        <v>Yes</v>
      </c>
      <c r="S391">
        <f t="shared" si="54"/>
        <v>9</v>
      </c>
      <c r="T391">
        <f t="shared" si="55"/>
        <v>1</v>
      </c>
      <c r="U391" t="str" cm="1">
        <f t="array" ref="U391">_xlfn.IFS(D391&lt;40,"Young Adult",AND(D391&gt;=40,D391&lt;65),"Middle Aged", D391&gt;=65,"Elderly")</f>
        <v>Elderly</v>
      </c>
    </row>
    <row r="392" spans="1:21" x14ac:dyDescent="0.2">
      <c r="A392">
        <v>1013</v>
      </c>
      <c r="B392">
        <f t="shared" si="48"/>
        <v>391</v>
      </c>
      <c r="C392" t="s">
        <v>1165</v>
      </c>
      <c r="D392">
        <v>89</v>
      </c>
      <c r="E392" t="s">
        <v>71</v>
      </c>
      <c r="F392" t="str">
        <f t="shared" si="49"/>
        <v>Male</v>
      </c>
      <c r="G392" s="1">
        <v>45944</v>
      </c>
      <c r="H392" s="1">
        <v>45551</v>
      </c>
      <c r="I392" t="s">
        <v>1166</v>
      </c>
      <c r="J392" t="str">
        <f t="shared" si="50"/>
        <v>Craig Kelly</v>
      </c>
      <c r="K392" t="s">
        <v>13</v>
      </c>
      <c r="L392" t="str">
        <f t="shared" si="51"/>
        <v>Cardiology</v>
      </c>
      <c r="M392" t="s">
        <v>1167</v>
      </c>
      <c r="N392" t="str">
        <f t="shared" si="52"/>
        <v>GBP</v>
      </c>
      <c r="O392">
        <f t="shared" si="53"/>
        <v>411.32</v>
      </c>
      <c r="P392" cm="1">
        <f t="array" ref="P392">_xlfn.IFS(N392="USD",O392*1,N392="GBP",O392*1.27,N392="EUR",O392*1.09,N392="INR",O392*0.012,N392="N/A","N/A")</f>
        <v>522.37639999999999</v>
      </c>
      <c r="Q392">
        <v>1</v>
      </c>
      <c r="R392" t="str" cm="1">
        <f t="array" ref="R392">_xlfn.IFS(Q392="Y","Yes", Q392="Yes","Yes", Q392="N","No", Q392="No","No", Q392=1,"N/A", Q392=0,"N/A", TRUE,"")</f>
        <v>N/A</v>
      </c>
      <c r="S392">
        <f t="shared" si="54"/>
        <v>10</v>
      </c>
      <c r="T392">
        <f t="shared" si="55"/>
        <v>1</v>
      </c>
      <c r="U392" t="str" cm="1">
        <f t="array" ref="U392">_xlfn.IFS(D392&lt;40,"Young Adult",AND(D392&gt;=40,D392&lt;65),"Middle Aged", D392&gt;=65,"Elderly")</f>
        <v>Elderly</v>
      </c>
    </row>
    <row r="393" spans="1:21" x14ac:dyDescent="0.2">
      <c r="A393">
        <v>1009</v>
      </c>
      <c r="B393">
        <f t="shared" si="48"/>
        <v>392</v>
      </c>
      <c r="C393" t="s">
        <v>1168</v>
      </c>
      <c r="D393">
        <v>67</v>
      </c>
      <c r="E393" t="s">
        <v>38</v>
      </c>
      <c r="F393" t="str">
        <f t="shared" si="49"/>
        <v>Female</v>
      </c>
      <c r="G393" s="1">
        <v>45840</v>
      </c>
      <c r="H393" s="1">
        <v>45447</v>
      </c>
      <c r="I393" t="s">
        <v>1169</v>
      </c>
      <c r="J393" t="str">
        <f t="shared" si="50"/>
        <v>Yvette Johnson</v>
      </c>
      <c r="K393" t="s">
        <v>18</v>
      </c>
      <c r="L393" t="str">
        <f t="shared" si="51"/>
        <v>Orthopedics</v>
      </c>
      <c r="M393" t="s">
        <v>1170</v>
      </c>
      <c r="N393" t="str">
        <f t="shared" si="52"/>
        <v>EUR</v>
      </c>
      <c r="O393">
        <f t="shared" si="53"/>
        <v>388.8</v>
      </c>
      <c r="P393" cm="1">
        <f t="array" ref="P393">_xlfn.IFS(N393="USD",O393*1,N393="GBP",O393*1.27,N393="EUR",O393*1.09,N393="INR",O393*0.012,N393="N/A","N/A")</f>
        <v>423.79200000000003</v>
      </c>
      <c r="Q393">
        <v>0</v>
      </c>
      <c r="R393" t="str" cm="1">
        <f t="array" ref="R393">_xlfn.IFS(Q393="Y","Yes", Q393="Yes","Yes", Q393="N","No", Q393="No","No", Q393=1,"N/A", Q393=0,"N/A", TRUE,"")</f>
        <v>N/A</v>
      </c>
      <c r="S393">
        <f t="shared" si="54"/>
        <v>9</v>
      </c>
      <c r="T393">
        <f t="shared" si="55"/>
        <v>1</v>
      </c>
      <c r="U393" t="str" cm="1">
        <f t="array" ref="U393">_xlfn.IFS(D393&lt;40,"Young Adult",AND(D393&gt;=40,D393&lt;65),"Middle Aged", D393&gt;=65,"Elderly")</f>
        <v>Elderly</v>
      </c>
    </row>
    <row r="394" spans="1:21" x14ac:dyDescent="0.2">
      <c r="A394">
        <v>1021</v>
      </c>
      <c r="B394">
        <f t="shared" si="48"/>
        <v>393</v>
      </c>
      <c r="C394" t="s">
        <v>1171</v>
      </c>
      <c r="D394">
        <v>68</v>
      </c>
      <c r="E394" t="s">
        <v>2937</v>
      </c>
      <c r="F394" t="str">
        <f t="shared" si="49"/>
        <v>N/A</v>
      </c>
      <c r="G394" s="1">
        <v>45784</v>
      </c>
      <c r="H394" s="1">
        <v>45583</v>
      </c>
      <c r="I394" t="s">
        <v>1172</v>
      </c>
      <c r="J394" t="str">
        <f t="shared" si="50"/>
        <v>Spencer Torres</v>
      </c>
      <c r="K394" t="s">
        <v>18</v>
      </c>
      <c r="L394" t="str">
        <f t="shared" si="51"/>
        <v>Orthopedics</v>
      </c>
      <c r="M394" t="s">
        <v>1173</v>
      </c>
      <c r="N394" t="str">
        <f t="shared" si="52"/>
        <v>USD</v>
      </c>
      <c r="O394">
        <f t="shared" si="53"/>
        <v>296.8</v>
      </c>
      <c r="P394" cm="1">
        <f t="array" ref="P394">_xlfn.IFS(N394="USD",O394*1,N394="GBP",O394*1.27,N394="EUR",O394*1.09,N394="INR",O394*0.012,N394="N/A","N/A")</f>
        <v>296.8</v>
      </c>
      <c r="Q394" t="s">
        <v>60</v>
      </c>
      <c r="R394" t="str" cm="1">
        <f t="array" ref="R394">_xlfn.IFS(Q394="Y","Yes", Q394="Yes","Yes", Q394="N","No", Q394="No","No", Q394=1,"N/A", Q394=0,"N/A", TRUE,"")</f>
        <v>No</v>
      </c>
      <c r="S394">
        <f t="shared" si="54"/>
        <v>16</v>
      </c>
      <c r="T394">
        <f t="shared" si="55"/>
        <v>1</v>
      </c>
      <c r="U394" t="str" cm="1">
        <f t="array" ref="U394">_xlfn.IFS(D394&lt;40,"Young Adult",AND(D394&gt;=40,D394&lt;65),"Middle Aged", D394&gt;=65,"Elderly")</f>
        <v>Elderly</v>
      </c>
    </row>
    <row r="395" spans="1:21" x14ac:dyDescent="0.2">
      <c r="A395">
        <v>1100</v>
      </c>
      <c r="B395">
        <f t="shared" si="48"/>
        <v>394</v>
      </c>
      <c r="C395" t="s">
        <v>1174</v>
      </c>
      <c r="D395">
        <v>69</v>
      </c>
      <c r="E395" t="s">
        <v>2937</v>
      </c>
      <c r="F395" t="str">
        <f t="shared" si="49"/>
        <v>N/A</v>
      </c>
      <c r="G395" s="1">
        <v>45938</v>
      </c>
      <c r="H395" s="1">
        <v>45796</v>
      </c>
      <c r="I395" t="s">
        <v>1175</v>
      </c>
      <c r="J395" t="str">
        <f t="shared" si="50"/>
        <v>Eric Arellano</v>
      </c>
      <c r="K395" t="s">
        <v>24</v>
      </c>
      <c r="L395" t="str">
        <f t="shared" si="51"/>
        <v>Neurology</v>
      </c>
      <c r="M395" t="s">
        <v>1176</v>
      </c>
      <c r="N395" t="str">
        <f t="shared" si="52"/>
        <v>EUR</v>
      </c>
      <c r="O395">
        <f t="shared" si="53"/>
        <v>439.46</v>
      </c>
      <c r="P395" cm="1">
        <f t="array" ref="P395">_xlfn.IFS(N395="USD",O395*1,N395="GBP",O395*1.27,N395="EUR",O395*1.09,N395="INR",O395*0.012,N395="N/A","N/A")</f>
        <v>479.01140000000004</v>
      </c>
      <c r="Q395" t="s">
        <v>30</v>
      </c>
      <c r="R395" t="str" cm="1">
        <f t="array" ref="R395">_xlfn.IFS(Q395="Y","Yes", Q395="Yes","Yes", Q395="N","No", Q395="No","No", Q395=1,"N/A", Q395=0,"N/A", TRUE,"")</f>
        <v>No</v>
      </c>
      <c r="S395">
        <f t="shared" si="54"/>
        <v>8</v>
      </c>
      <c r="T395">
        <f t="shared" si="55"/>
        <v>1</v>
      </c>
      <c r="U395" t="str" cm="1">
        <f t="array" ref="U395">_xlfn.IFS(D395&lt;40,"Young Adult",AND(D395&gt;=40,D395&lt;65),"Middle Aged", D395&gt;=65,"Elderly")</f>
        <v>Elderly</v>
      </c>
    </row>
    <row r="396" spans="1:21" x14ac:dyDescent="0.2">
      <c r="A396">
        <v>1005</v>
      </c>
      <c r="B396">
        <f t="shared" si="48"/>
        <v>395</v>
      </c>
      <c r="C396" t="s">
        <v>1177</v>
      </c>
      <c r="D396">
        <v>80</v>
      </c>
      <c r="E396" t="s">
        <v>22</v>
      </c>
      <c r="F396" t="str">
        <f t="shared" si="49"/>
        <v>Male</v>
      </c>
      <c r="G396" s="1">
        <v>45862</v>
      </c>
      <c r="H396" s="1">
        <v>45673</v>
      </c>
      <c r="I396" t="s">
        <v>1178</v>
      </c>
      <c r="J396" t="str">
        <f t="shared" si="50"/>
        <v>Tricia Hunt</v>
      </c>
      <c r="K396" t="s">
        <v>28</v>
      </c>
      <c r="L396" t="str">
        <f t="shared" si="51"/>
        <v>General</v>
      </c>
      <c r="M396" t="s">
        <v>1179</v>
      </c>
      <c r="N396" t="str">
        <f t="shared" si="52"/>
        <v>USD</v>
      </c>
      <c r="O396">
        <f t="shared" si="53"/>
        <v>320.72000000000003</v>
      </c>
      <c r="P396" cm="1">
        <f t="array" ref="P396">_xlfn.IFS(N396="USD",O396*1,N396="GBP",O396*1.27,N396="EUR",O396*1.09,N396="INR",O396*0.012,N396="N/A","N/A")</f>
        <v>320.72000000000003</v>
      </c>
      <c r="Q396" t="s">
        <v>60</v>
      </c>
      <c r="R396" t="str" cm="1">
        <f t="array" ref="R396">_xlfn.IFS(Q396="Y","Yes", Q396="Yes","Yes", Q396="N","No", Q396="No","No", Q396=1,"N/A", Q396=0,"N/A", TRUE,"")</f>
        <v>No</v>
      </c>
      <c r="S396">
        <f t="shared" si="54"/>
        <v>13</v>
      </c>
      <c r="T396">
        <f t="shared" si="55"/>
        <v>1</v>
      </c>
      <c r="U396" t="str" cm="1">
        <f t="array" ref="U396">_xlfn.IFS(D396&lt;40,"Young Adult",AND(D396&gt;=40,D396&lt;65),"Middle Aged", D396&gt;=65,"Elderly")</f>
        <v>Elderly</v>
      </c>
    </row>
    <row r="397" spans="1:21" x14ac:dyDescent="0.2">
      <c r="A397">
        <v>1071</v>
      </c>
      <c r="B397">
        <f t="shared" si="48"/>
        <v>396</v>
      </c>
      <c r="C397" t="s">
        <v>1180</v>
      </c>
      <c r="D397">
        <v>73</v>
      </c>
      <c r="E397" t="s">
        <v>2937</v>
      </c>
      <c r="F397" t="str">
        <f t="shared" si="49"/>
        <v>N/A</v>
      </c>
      <c r="G397" s="1">
        <v>45893</v>
      </c>
      <c r="H397" s="1">
        <v>45842</v>
      </c>
      <c r="I397" t="s">
        <v>1181</v>
      </c>
      <c r="J397" t="str">
        <f t="shared" si="50"/>
        <v>Alexandra Lee</v>
      </c>
      <c r="K397" t="s">
        <v>24</v>
      </c>
      <c r="L397" t="str">
        <f t="shared" si="51"/>
        <v>Neurology</v>
      </c>
      <c r="M397" t="s">
        <v>1182</v>
      </c>
      <c r="N397" t="str">
        <f t="shared" si="52"/>
        <v>USD</v>
      </c>
      <c r="O397">
        <f t="shared" si="53"/>
        <v>262.83999999999997</v>
      </c>
      <c r="P397" cm="1">
        <f t="array" ref="P397">_xlfn.IFS(N397="USD",O397*1,N397="GBP",O397*1.27,N397="EUR",O397*1.09,N397="INR",O397*0.012,N397="N/A","N/A")</f>
        <v>262.83999999999997</v>
      </c>
      <c r="Q397" t="s">
        <v>30</v>
      </c>
      <c r="R397" t="str" cm="1">
        <f t="array" ref="R397">_xlfn.IFS(Q397="Y","Yes", Q397="Yes","Yes", Q397="N","No", Q397="No","No", Q397=1,"N/A", Q397=0,"N/A", TRUE,"")</f>
        <v>No</v>
      </c>
      <c r="S397">
        <f t="shared" si="54"/>
        <v>10</v>
      </c>
      <c r="T397">
        <f t="shared" si="55"/>
        <v>1</v>
      </c>
      <c r="U397" t="str" cm="1">
        <f t="array" ref="U397">_xlfn.IFS(D397&lt;40,"Young Adult",AND(D397&gt;=40,D397&lt;65),"Middle Aged", D397&gt;=65,"Elderly")</f>
        <v>Elderly</v>
      </c>
    </row>
    <row r="398" spans="1:21" x14ac:dyDescent="0.2">
      <c r="A398">
        <v>1070</v>
      </c>
      <c r="B398">
        <f t="shared" si="48"/>
        <v>397</v>
      </c>
      <c r="C398" t="s">
        <v>241</v>
      </c>
      <c r="D398">
        <v>78</v>
      </c>
      <c r="E398" t="s">
        <v>22</v>
      </c>
      <c r="F398" t="str">
        <f t="shared" si="49"/>
        <v>Male</v>
      </c>
      <c r="G398" s="1">
        <v>46010</v>
      </c>
      <c r="H398" s="1">
        <v>45621</v>
      </c>
      <c r="I398" t="s">
        <v>1183</v>
      </c>
      <c r="J398" t="str">
        <f t="shared" si="50"/>
        <v>Justin Chen</v>
      </c>
      <c r="K398" t="s">
        <v>13</v>
      </c>
      <c r="L398" t="str">
        <f t="shared" si="51"/>
        <v>Cardiology</v>
      </c>
      <c r="M398" t="s">
        <v>1184</v>
      </c>
      <c r="N398" t="str">
        <f t="shared" si="52"/>
        <v>INR</v>
      </c>
      <c r="O398">
        <f t="shared" si="53"/>
        <v>274.94</v>
      </c>
      <c r="P398" cm="1">
        <f t="array" ref="P398">_xlfn.IFS(N398="USD",O398*1,N398="GBP",O398*1.27,N398="EUR",O398*1.09,N398="INR",O398*0.012,N398="N/A","N/A")</f>
        <v>3.29928</v>
      </c>
      <c r="Q398">
        <v>0</v>
      </c>
      <c r="R398" t="str" cm="1">
        <f t="array" ref="R398">_xlfn.IFS(Q398="Y","Yes", Q398="Yes","Yes", Q398="N","No", Q398="No","No", Q398=1,"N/A", Q398=0,"N/A", TRUE,"")</f>
        <v>N/A</v>
      </c>
      <c r="S398">
        <f t="shared" si="54"/>
        <v>13</v>
      </c>
      <c r="T398">
        <f t="shared" si="55"/>
        <v>1</v>
      </c>
      <c r="U398" t="str" cm="1">
        <f t="array" ref="U398">_xlfn.IFS(D398&lt;40,"Young Adult",AND(D398&gt;=40,D398&lt;65),"Middle Aged", D398&gt;=65,"Elderly")</f>
        <v>Elderly</v>
      </c>
    </row>
    <row r="399" spans="1:21" x14ac:dyDescent="0.2">
      <c r="A399">
        <v>1020</v>
      </c>
      <c r="B399">
        <f t="shared" si="48"/>
        <v>398</v>
      </c>
      <c r="C399" t="s">
        <v>1185</v>
      </c>
      <c r="D399">
        <v>65</v>
      </c>
      <c r="E399" t="s">
        <v>38</v>
      </c>
      <c r="F399" t="str">
        <f t="shared" si="49"/>
        <v>Female</v>
      </c>
      <c r="G399" s="1">
        <v>46046</v>
      </c>
      <c r="H399" s="1">
        <v>46026</v>
      </c>
      <c r="I399" t="s">
        <v>1186</v>
      </c>
      <c r="J399" t="str">
        <f t="shared" si="50"/>
        <v>Tamara Williams</v>
      </c>
      <c r="K399" t="s">
        <v>13</v>
      </c>
      <c r="L399" t="str">
        <f t="shared" si="51"/>
        <v>Cardiology</v>
      </c>
      <c r="M399" t="s">
        <v>1187</v>
      </c>
      <c r="N399" t="str">
        <f t="shared" si="52"/>
        <v>GBP</v>
      </c>
      <c r="O399">
        <f t="shared" si="53"/>
        <v>182.77</v>
      </c>
      <c r="P399" cm="1">
        <f t="array" ref="P399">_xlfn.IFS(N399="USD",O399*1,N399="GBP",O399*1.27,N399="EUR",O399*1.09,N399="INR",O399*0.012,N399="N/A","N/A")</f>
        <v>232.11790000000002</v>
      </c>
      <c r="Q399" t="s">
        <v>30</v>
      </c>
      <c r="R399" t="str" cm="1">
        <f t="array" ref="R399">_xlfn.IFS(Q399="Y","Yes", Q399="Yes","Yes", Q399="N","No", Q399="No","No", Q399=1,"N/A", Q399=0,"N/A", TRUE,"")</f>
        <v>No</v>
      </c>
      <c r="S399">
        <f t="shared" si="54"/>
        <v>10</v>
      </c>
      <c r="T399">
        <f t="shared" si="55"/>
        <v>1</v>
      </c>
      <c r="U399" t="str" cm="1">
        <f t="array" ref="U399">_xlfn.IFS(D399&lt;40,"Young Adult",AND(D399&gt;=40,D399&lt;65),"Middle Aged", D399&gt;=65,"Elderly")</f>
        <v>Elderly</v>
      </c>
    </row>
    <row r="400" spans="1:21" x14ac:dyDescent="0.2">
      <c r="A400">
        <v>1074</v>
      </c>
      <c r="B400">
        <f t="shared" si="48"/>
        <v>399</v>
      </c>
      <c r="C400" t="s">
        <v>1188</v>
      </c>
      <c r="D400">
        <v>87</v>
      </c>
      <c r="E400" t="s">
        <v>22</v>
      </c>
      <c r="F400" t="str">
        <f t="shared" si="49"/>
        <v>Male</v>
      </c>
      <c r="G400" s="1">
        <v>45961</v>
      </c>
      <c r="H400" s="1">
        <v>45799</v>
      </c>
      <c r="I400" t="s">
        <v>1189</v>
      </c>
      <c r="J400" t="str">
        <f t="shared" si="50"/>
        <v>Timothy Barker</v>
      </c>
      <c r="K400" t="s">
        <v>13</v>
      </c>
      <c r="L400" t="str">
        <f t="shared" si="51"/>
        <v>Cardiology</v>
      </c>
      <c r="M400" t="s">
        <v>1190</v>
      </c>
      <c r="N400" t="str">
        <f t="shared" si="52"/>
        <v>EUR</v>
      </c>
      <c r="O400">
        <f t="shared" si="53"/>
        <v>312.88</v>
      </c>
      <c r="P400" cm="1">
        <f t="array" ref="P400">_xlfn.IFS(N400="USD",O400*1,N400="GBP",O400*1.27,N400="EUR",O400*1.09,N400="INR",O400*0.012,N400="N/A","N/A")</f>
        <v>341.03919999999999</v>
      </c>
      <c r="Q400" t="s">
        <v>36</v>
      </c>
      <c r="R400" t="str" cm="1">
        <f t="array" ref="R400">_xlfn.IFS(Q400="Y","Yes", Q400="Yes","Yes", Q400="N","No", Q400="No","No", Q400=1,"N/A", Q400=0,"N/A", TRUE,"")</f>
        <v>Yes</v>
      </c>
      <c r="S400">
        <f t="shared" si="54"/>
        <v>17</v>
      </c>
      <c r="T400">
        <f t="shared" si="55"/>
        <v>1</v>
      </c>
      <c r="U400" t="str" cm="1">
        <f t="array" ref="U400">_xlfn.IFS(D400&lt;40,"Young Adult",AND(D400&gt;=40,D400&lt;65),"Middle Aged", D400&gt;=65,"Elderly")</f>
        <v>Elderly</v>
      </c>
    </row>
    <row r="401" spans="1:21" x14ac:dyDescent="0.2">
      <c r="A401">
        <v>1001</v>
      </c>
      <c r="B401">
        <f t="shared" si="48"/>
        <v>400</v>
      </c>
      <c r="C401" t="s">
        <v>1191</v>
      </c>
      <c r="D401">
        <v>78</v>
      </c>
      <c r="E401" t="s">
        <v>51</v>
      </c>
      <c r="F401" t="str">
        <f t="shared" si="49"/>
        <v>Male</v>
      </c>
      <c r="G401" s="1">
        <v>45887</v>
      </c>
      <c r="H401" s="1">
        <v>45438</v>
      </c>
      <c r="I401" t="s">
        <v>1192</v>
      </c>
      <c r="J401" t="str">
        <f t="shared" si="50"/>
        <v>Natalie Patrick</v>
      </c>
      <c r="K401" t="s">
        <v>24</v>
      </c>
      <c r="L401" t="str">
        <f t="shared" si="51"/>
        <v>Neurology</v>
      </c>
      <c r="M401" t="s">
        <v>1193</v>
      </c>
      <c r="N401" t="str">
        <f t="shared" si="52"/>
        <v>GBP</v>
      </c>
      <c r="O401">
        <f t="shared" si="53"/>
        <v>163.58000000000001</v>
      </c>
      <c r="P401" cm="1">
        <f t="array" ref="P401">_xlfn.IFS(N401="USD",O401*1,N401="GBP",O401*1.27,N401="EUR",O401*1.09,N401="INR",O401*0.012,N401="N/A","N/A")</f>
        <v>207.74660000000003</v>
      </c>
      <c r="Q401">
        <v>0</v>
      </c>
      <c r="R401" t="str" cm="1">
        <f t="array" ref="R401">_xlfn.IFS(Q401="Y","Yes", Q401="Yes","Yes", Q401="N","No", Q401="No","No", Q401=1,"N/A", Q401=0,"N/A", TRUE,"")</f>
        <v>N/A</v>
      </c>
      <c r="S401">
        <f t="shared" si="54"/>
        <v>12</v>
      </c>
      <c r="T401">
        <f t="shared" si="55"/>
        <v>1</v>
      </c>
      <c r="U401" t="str" cm="1">
        <f t="array" ref="U401">_xlfn.IFS(D401&lt;40,"Young Adult",AND(D401&gt;=40,D401&lt;65),"Middle Aged", D401&gt;=65,"Elderly")</f>
        <v>Elderly</v>
      </c>
    </row>
    <row r="402" spans="1:21" x14ac:dyDescent="0.2">
      <c r="A402">
        <v>1067</v>
      </c>
      <c r="B402">
        <f t="shared" si="48"/>
        <v>401</v>
      </c>
      <c r="C402" t="s">
        <v>1194</v>
      </c>
      <c r="D402">
        <v>66</v>
      </c>
      <c r="E402" t="s">
        <v>2937</v>
      </c>
      <c r="F402" t="str">
        <f t="shared" si="49"/>
        <v>N/A</v>
      </c>
      <c r="G402" s="1">
        <v>45800</v>
      </c>
      <c r="H402" s="1">
        <v>45518</v>
      </c>
      <c r="I402" t="s">
        <v>1195</v>
      </c>
      <c r="J402" t="str">
        <f t="shared" si="50"/>
        <v>Victor Hernandez</v>
      </c>
      <c r="K402" t="s">
        <v>13</v>
      </c>
      <c r="L402" t="str">
        <f t="shared" si="51"/>
        <v>Cardiology</v>
      </c>
      <c r="M402" t="s">
        <v>1196</v>
      </c>
      <c r="N402" t="str">
        <f t="shared" si="52"/>
        <v>INR</v>
      </c>
      <c r="O402">
        <f t="shared" si="53"/>
        <v>135.85</v>
      </c>
      <c r="P402" cm="1">
        <f t="array" ref="P402">_xlfn.IFS(N402="USD",O402*1,N402="GBP",O402*1.27,N402="EUR",O402*1.09,N402="INR",O402*0.012,N402="N/A","N/A")</f>
        <v>1.6301999999999999</v>
      </c>
      <c r="Q402" t="s">
        <v>20</v>
      </c>
      <c r="R402" t="str" cm="1">
        <f t="array" ref="R402">_xlfn.IFS(Q402="Y","Yes", Q402="Yes","Yes", Q402="N","No", Q402="No","No", Q402=1,"N/A", Q402=0,"N/A", TRUE,"")</f>
        <v>Yes</v>
      </c>
      <c r="S402">
        <f t="shared" si="54"/>
        <v>9</v>
      </c>
      <c r="T402">
        <f t="shared" si="55"/>
        <v>1</v>
      </c>
      <c r="U402" t="str" cm="1">
        <f t="array" ref="U402">_xlfn.IFS(D402&lt;40,"Young Adult",AND(D402&gt;=40,D402&lt;65),"Middle Aged", D402&gt;=65,"Elderly")</f>
        <v>Elderly</v>
      </c>
    </row>
    <row r="403" spans="1:21" x14ac:dyDescent="0.2">
      <c r="A403">
        <v>1074</v>
      </c>
      <c r="B403">
        <f t="shared" si="48"/>
        <v>402</v>
      </c>
      <c r="C403" t="s">
        <v>1197</v>
      </c>
      <c r="D403">
        <v>30</v>
      </c>
      <c r="E403" t="s">
        <v>38</v>
      </c>
      <c r="F403" t="str">
        <f t="shared" si="49"/>
        <v>Female</v>
      </c>
      <c r="G403" s="1">
        <v>45994</v>
      </c>
      <c r="H403" s="1">
        <v>45865</v>
      </c>
      <c r="I403" t="s">
        <v>1198</v>
      </c>
      <c r="J403" t="str">
        <f t="shared" si="50"/>
        <v>Charles Harvey</v>
      </c>
      <c r="K403" t="s">
        <v>18</v>
      </c>
      <c r="L403" t="str">
        <f t="shared" si="51"/>
        <v>Orthopedics</v>
      </c>
      <c r="M403" t="s">
        <v>1199</v>
      </c>
      <c r="N403" t="str">
        <f t="shared" si="52"/>
        <v>GBP</v>
      </c>
      <c r="O403">
        <f t="shared" si="53"/>
        <v>242.2</v>
      </c>
      <c r="P403" cm="1">
        <f t="array" ref="P403">_xlfn.IFS(N403="USD",O403*1,N403="GBP",O403*1.27,N403="EUR",O403*1.09,N403="INR",O403*0.012,N403="N/A","N/A")</f>
        <v>307.59399999999999</v>
      </c>
      <c r="Q403" t="s">
        <v>36</v>
      </c>
      <c r="R403" t="str" cm="1">
        <f t="array" ref="R403">_xlfn.IFS(Q403="Y","Yes", Q403="Yes","Yes", Q403="N","No", Q403="No","No", Q403=1,"N/A", Q403=0,"N/A", TRUE,"")</f>
        <v>Yes</v>
      </c>
      <c r="S403">
        <f t="shared" si="54"/>
        <v>17</v>
      </c>
      <c r="T403">
        <f t="shared" si="55"/>
        <v>1</v>
      </c>
      <c r="U403" t="str" cm="1">
        <f t="array" ref="U403">_xlfn.IFS(D403&lt;40,"Young Adult",AND(D403&gt;=40,D403&lt;65),"Middle Aged", D403&gt;=65,"Elderly")</f>
        <v>Young Adult</v>
      </c>
    </row>
    <row r="404" spans="1:21" x14ac:dyDescent="0.2">
      <c r="A404">
        <v>1053</v>
      </c>
      <c r="B404">
        <f t="shared" si="48"/>
        <v>403</v>
      </c>
      <c r="C404" t="s">
        <v>1200</v>
      </c>
      <c r="D404">
        <v>76</v>
      </c>
      <c r="E404" t="s">
        <v>38</v>
      </c>
      <c r="F404" t="str">
        <f t="shared" si="49"/>
        <v>Female</v>
      </c>
      <c r="G404" s="1">
        <v>45989</v>
      </c>
      <c r="H404" s="1">
        <v>45767</v>
      </c>
      <c r="I404" t="s">
        <v>1201</v>
      </c>
      <c r="J404" t="str">
        <f t="shared" si="50"/>
        <v>Paul Giles</v>
      </c>
      <c r="K404" t="s">
        <v>28</v>
      </c>
      <c r="L404" t="str">
        <f t="shared" si="51"/>
        <v>General</v>
      </c>
      <c r="M404" t="s">
        <v>1202</v>
      </c>
      <c r="N404" t="str">
        <f t="shared" si="52"/>
        <v>USD</v>
      </c>
      <c r="O404">
        <f t="shared" si="53"/>
        <v>374.72</v>
      </c>
      <c r="P404" cm="1">
        <f t="array" ref="P404">_xlfn.IFS(N404="USD",O404*1,N404="GBP",O404*1.27,N404="EUR",O404*1.09,N404="INR",O404*0.012,N404="N/A","N/A")</f>
        <v>374.72</v>
      </c>
      <c r="Q404" t="s">
        <v>36</v>
      </c>
      <c r="R404" t="str" cm="1">
        <f t="array" ref="R404">_xlfn.IFS(Q404="Y","Yes", Q404="Yes","Yes", Q404="N","No", Q404="No","No", Q404=1,"N/A", Q404=0,"N/A", TRUE,"")</f>
        <v>Yes</v>
      </c>
      <c r="S404">
        <f t="shared" si="54"/>
        <v>14</v>
      </c>
      <c r="T404">
        <f t="shared" si="55"/>
        <v>1</v>
      </c>
      <c r="U404" t="str" cm="1">
        <f t="array" ref="U404">_xlfn.IFS(D404&lt;40,"Young Adult",AND(D404&gt;=40,D404&lt;65),"Middle Aged", D404&gt;=65,"Elderly")</f>
        <v>Elderly</v>
      </c>
    </row>
    <row r="405" spans="1:21" x14ac:dyDescent="0.2">
      <c r="A405">
        <v>1020</v>
      </c>
      <c r="B405">
        <f t="shared" si="48"/>
        <v>404</v>
      </c>
      <c r="C405" t="s">
        <v>1203</v>
      </c>
      <c r="D405">
        <v>69</v>
      </c>
      <c r="E405" t="s">
        <v>38</v>
      </c>
      <c r="F405" t="str">
        <f t="shared" si="49"/>
        <v>Female</v>
      </c>
      <c r="G405" s="1">
        <v>45904</v>
      </c>
      <c r="H405" s="1">
        <v>45704</v>
      </c>
      <c r="I405" t="s">
        <v>1204</v>
      </c>
      <c r="J405" t="str">
        <f t="shared" si="50"/>
        <v>Ralph Fernandez</v>
      </c>
      <c r="K405" t="s">
        <v>28</v>
      </c>
      <c r="L405" t="str">
        <f t="shared" si="51"/>
        <v>General</v>
      </c>
      <c r="M405" t="s">
        <v>1205</v>
      </c>
      <c r="N405" t="str">
        <f t="shared" si="52"/>
        <v>EUR</v>
      </c>
      <c r="O405">
        <f t="shared" si="53"/>
        <v>326.58</v>
      </c>
      <c r="P405" cm="1">
        <f t="array" ref="P405">_xlfn.IFS(N405="USD",O405*1,N405="GBP",O405*1.27,N405="EUR",O405*1.09,N405="INR",O405*0.012,N405="N/A","N/A")</f>
        <v>355.97219999999999</v>
      </c>
      <c r="Q405" t="s">
        <v>30</v>
      </c>
      <c r="R405" t="str" cm="1">
        <f t="array" ref="R405">_xlfn.IFS(Q405="Y","Yes", Q405="Yes","Yes", Q405="N","No", Q405="No","No", Q405=1,"N/A", Q405=0,"N/A", TRUE,"")</f>
        <v>No</v>
      </c>
      <c r="S405">
        <f t="shared" si="54"/>
        <v>10</v>
      </c>
      <c r="T405">
        <f t="shared" si="55"/>
        <v>1</v>
      </c>
      <c r="U405" t="str" cm="1">
        <f t="array" ref="U405">_xlfn.IFS(D405&lt;40,"Young Adult",AND(D405&gt;=40,D405&lt;65),"Middle Aged", D405&gt;=65,"Elderly")</f>
        <v>Elderly</v>
      </c>
    </row>
    <row r="406" spans="1:21" x14ac:dyDescent="0.2">
      <c r="A406">
        <v>1013</v>
      </c>
      <c r="B406">
        <f t="shared" si="48"/>
        <v>405</v>
      </c>
      <c r="C406" t="s">
        <v>1206</v>
      </c>
      <c r="D406">
        <v>27</v>
      </c>
      <c r="E406" t="s">
        <v>38</v>
      </c>
      <c r="F406" t="str">
        <f t="shared" si="49"/>
        <v>Female</v>
      </c>
      <c r="G406" s="1">
        <v>46027</v>
      </c>
      <c r="H406" s="1">
        <v>45638</v>
      </c>
      <c r="I406" t="s">
        <v>1207</v>
      </c>
      <c r="J406" t="str">
        <f t="shared" si="50"/>
        <v>Paul Martinez</v>
      </c>
      <c r="K406" t="s">
        <v>24</v>
      </c>
      <c r="L406" t="str">
        <f t="shared" si="51"/>
        <v>Neurology</v>
      </c>
      <c r="M406" t="s">
        <v>1208</v>
      </c>
      <c r="N406" t="str">
        <f t="shared" si="52"/>
        <v>USD</v>
      </c>
      <c r="O406">
        <f t="shared" si="53"/>
        <v>379.39</v>
      </c>
      <c r="P406" cm="1">
        <f t="array" ref="P406">_xlfn.IFS(N406="USD",O406*1,N406="GBP",O406*1.27,N406="EUR",O406*1.09,N406="INR",O406*0.012,N406="N/A","N/A")</f>
        <v>379.39</v>
      </c>
      <c r="Q406" t="s">
        <v>20</v>
      </c>
      <c r="R406" t="str" cm="1">
        <f t="array" ref="R406">_xlfn.IFS(Q406="Y","Yes", Q406="Yes","Yes", Q406="N","No", Q406="No","No", Q406=1,"N/A", Q406=0,"N/A", TRUE,"")</f>
        <v>Yes</v>
      </c>
      <c r="S406">
        <f t="shared" si="54"/>
        <v>10</v>
      </c>
      <c r="T406">
        <f t="shared" si="55"/>
        <v>1</v>
      </c>
      <c r="U406" t="str" cm="1">
        <f t="array" ref="U406">_xlfn.IFS(D406&lt;40,"Young Adult",AND(D406&gt;=40,D406&lt;65),"Middle Aged", D406&gt;=65,"Elderly")</f>
        <v>Young Adult</v>
      </c>
    </row>
    <row r="407" spans="1:21" x14ac:dyDescent="0.2">
      <c r="A407">
        <v>1027</v>
      </c>
      <c r="B407">
        <f t="shared" si="48"/>
        <v>406</v>
      </c>
      <c r="C407" t="s">
        <v>1209</v>
      </c>
      <c r="D407">
        <v>75</v>
      </c>
      <c r="E407" t="s">
        <v>71</v>
      </c>
      <c r="F407" t="str">
        <f t="shared" si="49"/>
        <v>Male</v>
      </c>
      <c r="G407" s="1">
        <v>45761</v>
      </c>
      <c r="H407" s="1">
        <v>45463</v>
      </c>
      <c r="I407" t="s">
        <v>1210</v>
      </c>
      <c r="J407" t="str">
        <f t="shared" si="50"/>
        <v>Rachel Wilson</v>
      </c>
      <c r="K407" t="s">
        <v>18</v>
      </c>
      <c r="L407" t="str">
        <f t="shared" si="51"/>
        <v>Orthopedics</v>
      </c>
      <c r="M407" t="s">
        <v>1211</v>
      </c>
      <c r="N407" t="str">
        <f t="shared" si="52"/>
        <v>INR</v>
      </c>
      <c r="O407">
        <f t="shared" si="53"/>
        <v>442.41</v>
      </c>
      <c r="P407" cm="1">
        <f t="array" ref="P407">_xlfn.IFS(N407="USD",O407*1,N407="GBP",O407*1.27,N407="EUR",O407*1.09,N407="INR",O407*0.012,N407="N/A","N/A")</f>
        <v>5.3089200000000005</v>
      </c>
      <c r="Q407">
        <v>0</v>
      </c>
      <c r="R407" t="str" cm="1">
        <f t="array" ref="R407">_xlfn.IFS(Q407="Y","Yes", Q407="Yes","Yes", Q407="N","No", Q407="No","No", Q407=1,"N/A", Q407=0,"N/A", TRUE,"")</f>
        <v>N/A</v>
      </c>
      <c r="S407">
        <f t="shared" si="54"/>
        <v>12</v>
      </c>
      <c r="T407">
        <f t="shared" si="55"/>
        <v>1</v>
      </c>
      <c r="U407" t="str" cm="1">
        <f t="array" ref="U407">_xlfn.IFS(D407&lt;40,"Young Adult",AND(D407&gt;=40,D407&lt;65),"Middle Aged", D407&gt;=65,"Elderly")</f>
        <v>Elderly</v>
      </c>
    </row>
    <row r="408" spans="1:21" x14ac:dyDescent="0.2">
      <c r="A408">
        <v>1070</v>
      </c>
      <c r="B408">
        <f t="shared" si="48"/>
        <v>407</v>
      </c>
      <c r="C408" t="s">
        <v>1212</v>
      </c>
      <c r="D408">
        <v>58</v>
      </c>
      <c r="E408" t="s">
        <v>16</v>
      </c>
      <c r="F408" t="str">
        <f t="shared" si="49"/>
        <v>Female</v>
      </c>
      <c r="G408" s="1">
        <v>45992</v>
      </c>
      <c r="H408" s="1">
        <v>45655</v>
      </c>
      <c r="I408" t="s">
        <v>1213</v>
      </c>
      <c r="J408" t="str">
        <f t="shared" si="50"/>
        <v>Kevin Vaughan</v>
      </c>
      <c r="K408" t="s">
        <v>28</v>
      </c>
      <c r="L408" t="str">
        <f t="shared" si="51"/>
        <v>General</v>
      </c>
      <c r="M408" t="s">
        <v>1214</v>
      </c>
      <c r="N408" t="str">
        <f t="shared" si="52"/>
        <v>EUR</v>
      </c>
      <c r="O408">
        <f t="shared" si="53"/>
        <v>358.98</v>
      </c>
      <c r="P408" cm="1">
        <f t="array" ref="P408">_xlfn.IFS(N408="USD",O408*1,N408="GBP",O408*1.27,N408="EUR",O408*1.09,N408="INR",O408*0.012,N408="N/A","N/A")</f>
        <v>391.28820000000007</v>
      </c>
      <c r="Q408">
        <v>0</v>
      </c>
      <c r="R408" t="str" cm="1">
        <f t="array" ref="R408">_xlfn.IFS(Q408="Y","Yes", Q408="Yes","Yes", Q408="N","No", Q408="No","No", Q408=1,"N/A", Q408=0,"N/A", TRUE,"")</f>
        <v>N/A</v>
      </c>
      <c r="S408">
        <f t="shared" si="54"/>
        <v>13</v>
      </c>
      <c r="T408">
        <f t="shared" si="55"/>
        <v>1</v>
      </c>
      <c r="U408" t="str" cm="1">
        <f t="array" ref="U408">_xlfn.IFS(D408&lt;40,"Young Adult",AND(D408&gt;=40,D408&lt;65),"Middle Aged", D408&gt;=65,"Elderly")</f>
        <v>Middle Aged</v>
      </c>
    </row>
    <row r="409" spans="1:21" x14ac:dyDescent="0.2">
      <c r="A409">
        <v>1050</v>
      </c>
      <c r="B409">
        <f t="shared" si="48"/>
        <v>408</v>
      </c>
      <c r="C409" t="s">
        <v>1215</v>
      </c>
      <c r="D409">
        <v>61</v>
      </c>
      <c r="E409" t="s">
        <v>38</v>
      </c>
      <c r="F409" t="str">
        <f t="shared" si="49"/>
        <v>Female</v>
      </c>
      <c r="G409" s="1">
        <v>45827</v>
      </c>
      <c r="H409" s="1">
        <v>45536</v>
      </c>
      <c r="I409" t="s">
        <v>1216</v>
      </c>
      <c r="J409" t="str">
        <f t="shared" si="50"/>
        <v>William Schneider</v>
      </c>
      <c r="K409" t="s">
        <v>24</v>
      </c>
      <c r="L409" t="str">
        <f t="shared" si="51"/>
        <v>Neurology</v>
      </c>
      <c r="M409" t="s">
        <v>1217</v>
      </c>
      <c r="N409" t="str">
        <f t="shared" si="52"/>
        <v>GBP</v>
      </c>
      <c r="O409">
        <f t="shared" si="53"/>
        <v>235.74</v>
      </c>
      <c r="P409" cm="1">
        <f t="array" ref="P409">_xlfn.IFS(N409="USD",O409*1,N409="GBP",O409*1.27,N409="EUR",O409*1.09,N409="INR",O409*0.012,N409="N/A","N/A")</f>
        <v>299.38980000000004</v>
      </c>
      <c r="Q409">
        <v>0</v>
      </c>
      <c r="R409" t="str" cm="1">
        <f t="array" ref="R409">_xlfn.IFS(Q409="Y","Yes", Q409="Yes","Yes", Q409="N","No", Q409="No","No", Q409=1,"N/A", Q409=0,"N/A", TRUE,"")</f>
        <v>N/A</v>
      </c>
      <c r="S409">
        <f t="shared" si="54"/>
        <v>12</v>
      </c>
      <c r="T409">
        <f t="shared" si="55"/>
        <v>1</v>
      </c>
      <c r="U409" t="str" cm="1">
        <f t="array" ref="U409">_xlfn.IFS(D409&lt;40,"Young Adult",AND(D409&gt;=40,D409&lt;65),"Middle Aged", D409&gt;=65,"Elderly")</f>
        <v>Middle Aged</v>
      </c>
    </row>
    <row r="410" spans="1:21" x14ac:dyDescent="0.2">
      <c r="A410">
        <v>1010</v>
      </c>
      <c r="B410">
        <f t="shared" si="48"/>
        <v>409</v>
      </c>
      <c r="C410" t="s">
        <v>1218</v>
      </c>
      <c r="D410">
        <v>68</v>
      </c>
      <c r="E410" t="s">
        <v>38</v>
      </c>
      <c r="F410" t="str">
        <f t="shared" si="49"/>
        <v>Female</v>
      </c>
      <c r="G410" s="1">
        <v>45842</v>
      </c>
      <c r="H410" s="1">
        <v>45596</v>
      </c>
      <c r="I410" t="s">
        <v>1219</v>
      </c>
      <c r="J410" t="str">
        <f t="shared" si="50"/>
        <v>Matthew Carlson</v>
      </c>
      <c r="K410" t="s">
        <v>28</v>
      </c>
      <c r="L410" t="str">
        <f t="shared" si="51"/>
        <v>General</v>
      </c>
      <c r="M410" t="s">
        <v>1220</v>
      </c>
      <c r="N410" t="str">
        <f t="shared" si="52"/>
        <v>USD</v>
      </c>
      <c r="O410">
        <f t="shared" si="53"/>
        <v>400.6</v>
      </c>
      <c r="P410" cm="1">
        <f t="array" ref="P410">_xlfn.IFS(N410="USD",O410*1,N410="GBP",O410*1.27,N410="EUR",O410*1.09,N410="INR",O410*0.012,N410="N/A","N/A")</f>
        <v>400.6</v>
      </c>
      <c r="Q410">
        <v>1</v>
      </c>
      <c r="R410" t="str" cm="1">
        <f t="array" ref="R410">_xlfn.IFS(Q410="Y","Yes", Q410="Yes","Yes", Q410="N","No", Q410="No","No", Q410=1,"N/A", Q410=0,"N/A", TRUE,"")</f>
        <v>N/A</v>
      </c>
      <c r="S410">
        <f t="shared" si="54"/>
        <v>10</v>
      </c>
      <c r="T410">
        <f t="shared" si="55"/>
        <v>1</v>
      </c>
      <c r="U410" t="str" cm="1">
        <f t="array" ref="U410">_xlfn.IFS(D410&lt;40,"Young Adult",AND(D410&gt;=40,D410&lt;65),"Middle Aged", D410&gt;=65,"Elderly")</f>
        <v>Elderly</v>
      </c>
    </row>
    <row r="411" spans="1:21" x14ac:dyDescent="0.2">
      <c r="A411">
        <v>1017</v>
      </c>
      <c r="B411">
        <f t="shared" si="48"/>
        <v>410</v>
      </c>
      <c r="C411" t="s">
        <v>1221</v>
      </c>
      <c r="D411">
        <v>43</v>
      </c>
      <c r="E411" t="s">
        <v>2937</v>
      </c>
      <c r="F411" t="str">
        <f t="shared" si="49"/>
        <v>N/A</v>
      </c>
      <c r="G411" s="1">
        <v>45795</v>
      </c>
      <c r="H411" s="1">
        <v>45495</v>
      </c>
      <c r="I411" t="s">
        <v>1222</v>
      </c>
      <c r="J411" t="str">
        <f t="shared" si="50"/>
        <v>Bryan Parker</v>
      </c>
      <c r="K411" t="s">
        <v>18</v>
      </c>
      <c r="L411" t="str">
        <f t="shared" si="51"/>
        <v>Orthopedics</v>
      </c>
      <c r="M411" t="s">
        <v>1223</v>
      </c>
      <c r="N411" t="str">
        <f t="shared" si="52"/>
        <v>EUR</v>
      </c>
      <c r="O411">
        <f t="shared" si="53"/>
        <v>305.19</v>
      </c>
      <c r="P411" cm="1">
        <f t="array" ref="P411">_xlfn.IFS(N411="USD",O411*1,N411="GBP",O411*1.27,N411="EUR",O411*1.09,N411="INR",O411*0.012,N411="N/A","N/A")</f>
        <v>332.65710000000001</v>
      </c>
      <c r="Q411" t="s">
        <v>30</v>
      </c>
      <c r="R411" t="str" cm="1">
        <f t="array" ref="R411">_xlfn.IFS(Q411="Y","Yes", Q411="Yes","Yes", Q411="N","No", Q411="No","No", Q411=1,"N/A", Q411=0,"N/A", TRUE,"")</f>
        <v>No</v>
      </c>
      <c r="S411">
        <f t="shared" si="54"/>
        <v>8</v>
      </c>
      <c r="T411">
        <f t="shared" si="55"/>
        <v>1</v>
      </c>
      <c r="U411" t="str" cm="1">
        <f t="array" ref="U411">_xlfn.IFS(D411&lt;40,"Young Adult",AND(D411&gt;=40,D411&lt;65),"Middle Aged", D411&gt;=65,"Elderly")</f>
        <v>Middle Aged</v>
      </c>
    </row>
    <row r="412" spans="1:21" x14ac:dyDescent="0.2">
      <c r="A412">
        <v>1085</v>
      </c>
      <c r="B412">
        <f t="shared" si="48"/>
        <v>411</v>
      </c>
      <c r="C412" t="s">
        <v>1224</v>
      </c>
      <c r="D412">
        <v>62</v>
      </c>
      <c r="E412" t="s">
        <v>2937</v>
      </c>
      <c r="F412" t="str">
        <f t="shared" si="49"/>
        <v>N/A</v>
      </c>
      <c r="G412" s="1">
        <v>45968</v>
      </c>
      <c r="H412" s="1">
        <v>45515</v>
      </c>
      <c r="I412" t="s">
        <v>1225</v>
      </c>
      <c r="J412" t="str">
        <f t="shared" si="50"/>
        <v>James Aguilar</v>
      </c>
      <c r="K412" t="s">
        <v>13</v>
      </c>
      <c r="L412" t="str">
        <f t="shared" si="51"/>
        <v>Cardiology</v>
      </c>
      <c r="M412" t="s">
        <v>1226</v>
      </c>
      <c r="N412" t="str">
        <f t="shared" si="52"/>
        <v>GBP</v>
      </c>
      <c r="O412">
        <f t="shared" si="53"/>
        <v>357.15</v>
      </c>
      <c r="P412" cm="1">
        <f t="array" ref="P412">_xlfn.IFS(N412="USD",O412*1,N412="GBP",O412*1.27,N412="EUR",O412*1.09,N412="INR",O412*0.012,N412="N/A","N/A")</f>
        <v>453.58049999999997</v>
      </c>
      <c r="Q412" t="s">
        <v>60</v>
      </c>
      <c r="R412" t="str" cm="1">
        <f t="array" ref="R412">_xlfn.IFS(Q412="Y","Yes", Q412="Yes","Yes", Q412="N","No", Q412="No","No", Q412=1,"N/A", Q412=0,"N/A", TRUE,"")</f>
        <v>No</v>
      </c>
      <c r="S412">
        <f t="shared" si="54"/>
        <v>12</v>
      </c>
      <c r="T412">
        <f t="shared" si="55"/>
        <v>1</v>
      </c>
      <c r="U412" t="str" cm="1">
        <f t="array" ref="U412">_xlfn.IFS(D412&lt;40,"Young Adult",AND(D412&gt;=40,D412&lt;65),"Middle Aged", D412&gt;=65,"Elderly")</f>
        <v>Middle Aged</v>
      </c>
    </row>
    <row r="413" spans="1:21" x14ac:dyDescent="0.2">
      <c r="A413">
        <v>1023</v>
      </c>
      <c r="B413">
        <f t="shared" si="48"/>
        <v>412</v>
      </c>
      <c r="C413" t="s">
        <v>1227</v>
      </c>
      <c r="D413">
        <v>45</v>
      </c>
      <c r="E413" t="s">
        <v>51</v>
      </c>
      <c r="F413" t="str">
        <f t="shared" si="49"/>
        <v>Male</v>
      </c>
      <c r="G413" s="1">
        <v>45829</v>
      </c>
      <c r="H413" s="1">
        <v>45729</v>
      </c>
      <c r="I413" t="s">
        <v>1228</v>
      </c>
      <c r="J413" t="str">
        <f t="shared" si="50"/>
        <v>Karen Brewer</v>
      </c>
      <c r="K413" t="s">
        <v>13</v>
      </c>
      <c r="L413" t="str">
        <f t="shared" si="51"/>
        <v>Cardiology</v>
      </c>
      <c r="M413" t="s">
        <v>1229</v>
      </c>
      <c r="N413" t="str">
        <f t="shared" si="52"/>
        <v>USD</v>
      </c>
      <c r="O413">
        <f t="shared" si="53"/>
        <v>245.21</v>
      </c>
      <c r="P413" cm="1">
        <f t="array" ref="P413">_xlfn.IFS(N413="USD",O413*1,N413="GBP",O413*1.27,N413="EUR",O413*1.09,N413="INR",O413*0.012,N413="N/A","N/A")</f>
        <v>245.21</v>
      </c>
      <c r="Q413" t="s">
        <v>36</v>
      </c>
      <c r="R413" t="str" cm="1">
        <f t="array" ref="R413">_xlfn.IFS(Q413="Y","Yes", Q413="Yes","Yes", Q413="N","No", Q413="No","No", Q413=1,"N/A", Q413=0,"N/A", TRUE,"")</f>
        <v>Yes</v>
      </c>
      <c r="S413">
        <f t="shared" si="54"/>
        <v>4</v>
      </c>
      <c r="T413">
        <f t="shared" si="55"/>
        <v>1</v>
      </c>
      <c r="U413" t="str" cm="1">
        <f t="array" ref="U413">_xlfn.IFS(D413&lt;40,"Young Adult",AND(D413&gt;=40,D413&lt;65),"Middle Aged", D413&gt;=65,"Elderly")</f>
        <v>Middle Aged</v>
      </c>
    </row>
    <row r="414" spans="1:21" x14ac:dyDescent="0.2">
      <c r="A414">
        <v>1066</v>
      </c>
      <c r="B414">
        <f t="shared" si="48"/>
        <v>413</v>
      </c>
      <c r="C414" t="s">
        <v>1230</v>
      </c>
      <c r="D414">
        <v>85</v>
      </c>
      <c r="E414" t="s">
        <v>38</v>
      </c>
      <c r="F414" t="str">
        <f t="shared" si="49"/>
        <v>Female</v>
      </c>
      <c r="G414" s="1">
        <v>46000</v>
      </c>
      <c r="H414" s="1">
        <v>45687</v>
      </c>
      <c r="I414" t="s">
        <v>1231</v>
      </c>
      <c r="J414" t="str">
        <f t="shared" si="50"/>
        <v>Mary Ward</v>
      </c>
      <c r="K414" t="s">
        <v>28</v>
      </c>
      <c r="L414" t="str">
        <f t="shared" si="51"/>
        <v>General</v>
      </c>
      <c r="M414" t="s">
        <v>1232</v>
      </c>
      <c r="N414" t="str">
        <f t="shared" si="52"/>
        <v>INR</v>
      </c>
      <c r="O414">
        <f t="shared" si="53"/>
        <v>498.26</v>
      </c>
      <c r="P414" cm="1">
        <f t="array" ref="P414">_xlfn.IFS(N414="USD",O414*1,N414="GBP",O414*1.27,N414="EUR",O414*1.09,N414="INR",O414*0.012,N414="N/A","N/A")</f>
        <v>5.97912</v>
      </c>
      <c r="Q414" t="s">
        <v>20</v>
      </c>
      <c r="R414" t="str" cm="1">
        <f t="array" ref="R414">_xlfn.IFS(Q414="Y","Yes", Q414="Yes","Yes", Q414="N","No", Q414="No","No", Q414=1,"N/A", Q414=0,"N/A", TRUE,"")</f>
        <v>Yes</v>
      </c>
      <c r="S414">
        <f t="shared" si="54"/>
        <v>11</v>
      </c>
      <c r="T414">
        <f t="shared" si="55"/>
        <v>1</v>
      </c>
      <c r="U414" t="str" cm="1">
        <f t="array" ref="U414">_xlfn.IFS(D414&lt;40,"Young Adult",AND(D414&gt;=40,D414&lt;65),"Middle Aged", D414&gt;=65,"Elderly")</f>
        <v>Elderly</v>
      </c>
    </row>
    <row r="415" spans="1:21" x14ac:dyDescent="0.2">
      <c r="A415">
        <v>1038</v>
      </c>
      <c r="B415">
        <f t="shared" si="48"/>
        <v>414</v>
      </c>
      <c r="C415" t="s">
        <v>1233</v>
      </c>
      <c r="D415">
        <v>72</v>
      </c>
      <c r="E415" t="s">
        <v>38</v>
      </c>
      <c r="F415" t="str">
        <f t="shared" si="49"/>
        <v>Female</v>
      </c>
      <c r="G415" s="1">
        <v>45896</v>
      </c>
      <c r="H415" s="1">
        <v>45633</v>
      </c>
      <c r="I415" t="s">
        <v>1234</v>
      </c>
      <c r="J415" t="str">
        <f t="shared" si="50"/>
        <v>Luis Smith</v>
      </c>
      <c r="K415" t="s">
        <v>24</v>
      </c>
      <c r="L415" t="str">
        <f t="shared" si="51"/>
        <v>Neurology</v>
      </c>
      <c r="M415" t="s">
        <v>1235</v>
      </c>
      <c r="N415" t="str">
        <f t="shared" si="52"/>
        <v>INR</v>
      </c>
      <c r="O415">
        <f t="shared" si="53"/>
        <v>499.72</v>
      </c>
      <c r="P415" cm="1">
        <f t="array" ref="P415">_xlfn.IFS(N415="USD",O415*1,N415="GBP",O415*1.27,N415="EUR",O415*1.09,N415="INR",O415*0.012,N415="N/A","N/A")</f>
        <v>5.9966400000000002</v>
      </c>
      <c r="Q415" t="s">
        <v>36</v>
      </c>
      <c r="R415" t="str" cm="1">
        <f t="array" ref="R415">_xlfn.IFS(Q415="Y","Yes", Q415="Yes","Yes", Q415="N","No", Q415="No","No", Q415=1,"N/A", Q415=0,"N/A", TRUE,"")</f>
        <v>Yes</v>
      </c>
      <c r="S415">
        <f t="shared" si="54"/>
        <v>10</v>
      </c>
      <c r="T415">
        <f t="shared" si="55"/>
        <v>1</v>
      </c>
      <c r="U415" t="str" cm="1">
        <f t="array" ref="U415">_xlfn.IFS(D415&lt;40,"Young Adult",AND(D415&gt;=40,D415&lt;65),"Middle Aged", D415&gt;=65,"Elderly")</f>
        <v>Elderly</v>
      </c>
    </row>
    <row r="416" spans="1:21" x14ac:dyDescent="0.2">
      <c r="A416">
        <v>1048</v>
      </c>
      <c r="B416">
        <f t="shared" si="48"/>
        <v>415</v>
      </c>
      <c r="C416" t="s">
        <v>1236</v>
      </c>
      <c r="D416">
        <v>63</v>
      </c>
      <c r="E416" t="s">
        <v>38</v>
      </c>
      <c r="F416" t="str">
        <f t="shared" si="49"/>
        <v>Female</v>
      </c>
      <c r="G416" s="1">
        <v>45945</v>
      </c>
      <c r="H416" s="1">
        <v>45690</v>
      </c>
      <c r="I416" t="s">
        <v>1237</v>
      </c>
      <c r="J416" t="str">
        <f t="shared" si="50"/>
        <v>Janet Coffey</v>
      </c>
      <c r="K416" t="s">
        <v>13</v>
      </c>
      <c r="L416" t="str">
        <f t="shared" si="51"/>
        <v>Cardiology</v>
      </c>
      <c r="M416" t="s">
        <v>1238</v>
      </c>
      <c r="N416" t="str">
        <f t="shared" si="52"/>
        <v>EUR</v>
      </c>
      <c r="O416">
        <f t="shared" si="53"/>
        <v>315.70999999999998</v>
      </c>
      <c r="P416" cm="1">
        <f t="array" ref="P416">_xlfn.IFS(N416="USD",O416*1,N416="GBP",O416*1.27,N416="EUR",O416*1.09,N416="INR",O416*0.012,N416="N/A","N/A")</f>
        <v>344.12389999999999</v>
      </c>
      <c r="Q416" t="s">
        <v>20</v>
      </c>
      <c r="R416" t="str" cm="1">
        <f t="array" ref="R416">_xlfn.IFS(Q416="Y","Yes", Q416="Yes","Yes", Q416="N","No", Q416="No","No", Q416=1,"N/A", Q416=0,"N/A", TRUE,"")</f>
        <v>Yes</v>
      </c>
      <c r="S416">
        <f t="shared" si="54"/>
        <v>8</v>
      </c>
      <c r="T416">
        <f t="shared" si="55"/>
        <v>1</v>
      </c>
      <c r="U416" t="str" cm="1">
        <f t="array" ref="U416">_xlfn.IFS(D416&lt;40,"Young Adult",AND(D416&gt;=40,D416&lt;65),"Middle Aged", D416&gt;=65,"Elderly")</f>
        <v>Middle Aged</v>
      </c>
    </row>
    <row r="417" spans="1:21" x14ac:dyDescent="0.2">
      <c r="A417">
        <v>1082</v>
      </c>
      <c r="B417">
        <f t="shared" si="48"/>
        <v>416</v>
      </c>
      <c r="C417" t="s">
        <v>1239</v>
      </c>
      <c r="D417">
        <v>67</v>
      </c>
      <c r="E417" t="s">
        <v>2937</v>
      </c>
      <c r="F417" t="str">
        <f t="shared" si="49"/>
        <v>N/A</v>
      </c>
      <c r="G417" s="1">
        <v>45857</v>
      </c>
      <c r="H417" s="1">
        <v>45630</v>
      </c>
      <c r="I417" t="s">
        <v>1240</v>
      </c>
      <c r="J417" t="str">
        <f t="shared" si="50"/>
        <v>Ryan Mitchell</v>
      </c>
      <c r="K417" t="s">
        <v>28</v>
      </c>
      <c r="L417" t="str">
        <f t="shared" si="51"/>
        <v>General</v>
      </c>
      <c r="M417" t="s">
        <v>1241</v>
      </c>
      <c r="N417" t="str">
        <f t="shared" si="52"/>
        <v>USD</v>
      </c>
      <c r="O417">
        <f t="shared" si="53"/>
        <v>149.33000000000001</v>
      </c>
      <c r="P417" cm="1">
        <f t="array" ref="P417">_xlfn.IFS(N417="USD",O417*1,N417="GBP",O417*1.27,N417="EUR",O417*1.09,N417="INR",O417*0.012,N417="N/A","N/A")</f>
        <v>149.33000000000001</v>
      </c>
      <c r="Q417" t="s">
        <v>36</v>
      </c>
      <c r="R417" t="str" cm="1">
        <f t="array" ref="R417">_xlfn.IFS(Q417="Y","Yes", Q417="Yes","Yes", Q417="N","No", Q417="No","No", Q417=1,"N/A", Q417=0,"N/A", TRUE,"")</f>
        <v>Yes</v>
      </c>
      <c r="S417">
        <f t="shared" si="54"/>
        <v>14</v>
      </c>
      <c r="T417">
        <f t="shared" si="55"/>
        <v>1</v>
      </c>
      <c r="U417" t="str" cm="1">
        <f t="array" ref="U417">_xlfn.IFS(D417&lt;40,"Young Adult",AND(D417&gt;=40,D417&lt;65),"Middle Aged", D417&gt;=65,"Elderly")</f>
        <v>Elderly</v>
      </c>
    </row>
    <row r="418" spans="1:21" x14ac:dyDescent="0.2">
      <c r="A418">
        <v>1085</v>
      </c>
      <c r="B418">
        <f t="shared" si="48"/>
        <v>417</v>
      </c>
      <c r="C418" t="s">
        <v>1242</v>
      </c>
      <c r="D418">
        <v>69</v>
      </c>
      <c r="E418" t="s">
        <v>2937</v>
      </c>
      <c r="F418" t="str">
        <f t="shared" si="49"/>
        <v>N/A</v>
      </c>
      <c r="G418" s="1">
        <v>46097</v>
      </c>
      <c r="H418" s="1">
        <v>45462</v>
      </c>
      <c r="I418" t="s">
        <v>1243</v>
      </c>
      <c r="J418" t="str">
        <f t="shared" si="50"/>
        <v>Scott Allen</v>
      </c>
      <c r="K418" t="s">
        <v>28</v>
      </c>
      <c r="L418" t="str">
        <f t="shared" si="51"/>
        <v>General</v>
      </c>
      <c r="M418" t="s">
        <v>1244</v>
      </c>
      <c r="N418" t="str">
        <f t="shared" si="52"/>
        <v>USD</v>
      </c>
      <c r="O418">
        <f t="shared" si="53"/>
        <v>412.82</v>
      </c>
      <c r="P418" cm="1">
        <f t="array" ref="P418">_xlfn.IFS(N418="USD",O418*1,N418="GBP",O418*1.27,N418="EUR",O418*1.09,N418="INR",O418*0.012,N418="N/A","N/A")</f>
        <v>412.82</v>
      </c>
      <c r="Q418" t="s">
        <v>60</v>
      </c>
      <c r="R418" t="str" cm="1">
        <f t="array" ref="R418">_xlfn.IFS(Q418="Y","Yes", Q418="Yes","Yes", Q418="N","No", Q418="No","No", Q418=1,"N/A", Q418=0,"N/A", TRUE,"")</f>
        <v>No</v>
      </c>
      <c r="S418">
        <f t="shared" si="54"/>
        <v>12</v>
      </c>
      <c r="T418">
        <f t="shared" si="55"/>
        <v>1</v>
      </c>
      <c r="U418" t="str" cm="1">
        <f t="array" ref="U418">_xlfn.IFS(D418&lt;40,"Young Adult",AND(D418&gt;=40,D418&lt;65),"Middle Aged", D418&gt;=65,"Elderly")</f>
        <v>Elderly</v>
      </c>
    </row>
    <row r="419" spans="1:21" x14ac:dyDescent="0.2">
      <c r="A419">
        <v>1046</v>
      </c>
      <c r="B419">
        <f t="shared" si="48"/>
        <v>418</v>
      </c>
      <c r="C419" t="s">
        <v>1245</v>
      </c>
      <c r="D419">
        <v>24</v>
      </c>
      <c r="E419" t="s">
        <v>16</v>
      </c>
      <c r="F419" t="str">
        <f t="shared" si="49"/>
        <v>Female</v>
      </c>
      <c r="G419" s="1">
        <v>45857</v>
      </c>
      <c r="H419" s="1">
        <v>45533</v>
      </c>
      <c r="I419" t="s">
        <v>1246</v>
      </c>
      <c r="J419" t="str">
        <f t="shared" si="50"/>
        <v>Henry Hall</v>
      </c>
      <c r="K419" t="s">
        <v>18</v>
      </c>
      <c r="L419" t="str">
        <f t="shared" si="51"/>
        <v>Orthopedics</v>
      </c>
      <c r="M419" t="s">
        <v>1247</v>
      </c>
      <c r="N419" t="str">
        <f t="shared" si="52"/>
        <v>GBP</v>
      </c>
      <c r="O419">
        <f t="shared" si="53"/>
        <v>372.5</v>
      </c>
      <c r="P419" cm="1">
        <f t="array" ref="P419">_xlfn.IFS(N419="USD",O419*1,N419="GBP",O419*1.27,N419="EUR",O419*1.09,N419="INR",O419*0.012,N419="N/A","N/A")</f>
        <v>473.07499999999999</v>
      </c>
      <c r="Q419">
        <v>0</v>
      </c>
      <c r="R419" t="str" cm="1">
        <f t="array" ref="R419">_xlfn.IFS(Q419="Y","Yes", Q419="Yes","Yes", Q419="N","No", Q419="No","No", Q419=1,"N/A", Q419=0,"N/A", TRUE,"")</f>
        <v>N/A</v>
      </c>
      <c r="S419">
        <f t="shared" si="54"/>
        <v>8</v>
      </c>
      <c r="T419">
        <f t="shared" si="55"/>
        <v>1</v>
      </c>
      <c r="U419" t="str" cm="1">
        <f t="array" ref="U419">_xlfn.IFS(D419&lt;40,"Young Adult",AND(D419&gt;=40,D419&lt;65),"Middle Aged", D419&gt;=65,"Elderly")</f>
        <v>Young Adult</v>
      </c>
    </row>
    <row r="420" spans="1:21" x14ac:dyDescent="0.2">
      <c r="A420">
        <v>1093</v>
      </c>
      <c r="B420">
        <f t="shared" si="48"/>
        <v>419</v>
      </c>
      <c r="C420" t="s">
        <v>1248</v>
      </c>
      <c r="D420">
        <v>87</v>
      </c>
      <c r="E420" t="s">
        <v>16</v>
      </c>
      <c r="F420" t="str">
        <f t="shared" si="49"/>
        <v>Female</v>
      </c>
      <c r="G420" s="1">
        <v>46044</v>
      </c>
      <c r="H420" s="1">
        <v>45599</v>
      </c>
      <c r="I420" t="s">
        <v>1249</v>
      </c>
      <c r="J420" t="str">
        <f t="shared" si="50"/>
        <v>Danielle Meyer</v>
      </c>
      <c r="K420" t="s">
        <v>18</v>
      </c>
      <c r="L420" t="str">
        <f t="shared" si="51"/>
        <v>Orthopedics</v>
      </c>
      <c r="M420" t="s">
        <v>1250</v>
      </c>
      <c r="N420" t="str">
        <f t="shared" si="52"/>
        <v>GBP</v>
      </c>
      <c r="O420">
        <f t="shared" si="53"/>
        <v>60.76</v>
      </c>
      <c r="P420" cm="1">
        <f t="array" ref="P420">_xlfn.IFS(N420="USD",O420*1,N420="GBP",O420*1.27,N420="EUR",O420*1.09,N420="INR",O420*0.012,N420="N/A","N/A")</f>
        <v>77.165199999999999</v>
      </c>
      <c r="Q420">
        <v>0</v>
      </c>
      <c r="R420" t="str" cm="1">
        <f t="array" ref="R420">_xlfn.IFS(Q420="Y","Yes", Q420="Yes","Yes", Q420="N","No", Q420="No","No", Q420=1,"N/A", Q420=0,"N/A", TRUE,"")</f>
        <v>N/A</v>
      </c>
      <c r="S420">
        <f t="shared" si="54"/>
        <v>11</v>
      </c>
      <c r="T420">
        <f t="shared" si="55"/>
        <v>1</v>
      </c>
      <c r="U420" t="str" cm="1">
        <f t="array" ref="U420">_xlfn.IFS(D420&lt;40,"Young Adult",AND(D420&gt;=40,D420&lt;65),"Middle Aged", D420&gt;=65,"Elderly")</f>
        <v>Elderly</v>
      </c>
    </row>
    <row r="421" spans="1:21" x14ac:dyDescent="0.2">
      <c r="A421">
        <v>1072</v>
      </c>
      <c r="B421">
        <f t="shared" si="48"/>
        <v>420</v>
      </c>
      <c r="C421" t="s">
        <v>1251</v>
      </c>
      <c r="D421">
        <v>68</v>
      </c>
      <c r="E421" t="s">
        <v>2937</v>
      </c>
      <c r="F421" t="str">
        <f t="shared" si="49"/>
        <v>N/A</v>
      </c>
      <c r="G421" s="1">
        <v>46032</v>
      </c>
      <c r="H421" s="1">
        <v>45911</v>
      </c>
      <c r="I421" t="s">
        <v>1252</v>
      </c>
      <c r="J421" t="str">
        <f t="shared" si="50"/>
        <v>Raymond Bond</v>
      </c>
      <c r="K421" t="s">
        <v>13</v>
      </c>
      <c r="L421" t="str">
        <f t="shared" si="51"/>
        <v>Cardiology</v>
      </c>
      <c r="M421" t="s">
        <v>1253</v>
      </c>
      <c r="N421" t="str">
        <f t="shared" si="52"/>
        <v>EUR</v>
      </c>
      <c r="O421">
        <f t="shared" si="53"/>
        <v>290.52</v>
      </c>
      <c r="P421" cm="1">
        <f t="array" ref="P421">_xlfn.IFS(N421="USD",O421*1,N421="GBP",O421*1.27,N421="EUR",O421*1.09,N421="INR",O421*0.012,N421="N/A","N/A")</f>
        <v>316.66680000000002</v>
      </c>
      <c r="Q421" t="s">
        <v>60</v>
      </c>
      <c r="R421" t="str" cm="1">
        <f t="array" ref="R421">_xlfn.IFS(Q421="Y","Yes", Q421="Yes","Yes", Q421="N","No", Q421="No","No", Q421=1,"N/A", Q421=0,"N/A", TRUE,"")</f>
        <v>No</v>
      </c>
      <c r="S421">
        <f t="shared" si="54"/>
        <v>9</v>
      </c>
      <c r="T421">
        <f t="shared" si="55"/>
        <v>1</v>
      </c>
      <c r="U421" t="str" cm="1">
        <f t="array" ref="U421">_xlfn.IFS(D421&lt;40,"Young Adult",AND(D421&gt;=40,D421&lt;65),"Middle Aged", D421&gt;=65,"Elderly")</f>
        <v>Elderly</v>
      </c>
    </row>
    <row r="422" spans="1:21" x14ac:dyDescent="0.2">
      <c r="A422">
        <v>1089</v>
      </c>
      <c r="B422">
        <f t="shared" si="48"/>
        <v>421</v>
      </c>
      <c r="C422" t="s">
        <v>1254</v>
      </c>
      <c r="D422">
        <v>80</v>
      </c>
      <c r="E422" t="s">
        <v>2937</v>
      </c>
      <c r="F422" t="str">
        <f t="shared" si="49"/>
        <v>N/A</v>
      </c>
      <c r="G422" s="1">
        <v>46000</v>
      </c>
      <c r="H422" s="1">
        <v>45951</v>
      </c>
      <c r="I422" t="s">
        <v>1255</v>
      </c>
      <c r="J422" t="str">
        <f t="shared" si="50"/>
        <v>George Stevens</v>
      </c>
      <c r="K422" t="s">
        <v>13</v>
      </c>
      <c r="L422" t="str">
        <f t="shared" si="51"/>
        <v>Cardiology</v>
      </c>
      <c r="M422" t="s">
        <v>1256</v>
      </c>
      <c r="N422" t="str">
        <f t="shared" si="52"/>
        <v>INR</v>
      </c>
      <c r="O422">
        <f t="shared" si="53"/>
        <v>451.66</v>
      </c>
      <c r="P422" cm="1">
        <f t="array" ref="P422">_xlfn.IFS(N422="USD",O422*1,N422="GBP",O422*1.27,N422="EUR",O422*1.09,N422="INR",O422*0.012,N422="N/A","N/A")</f>
        <v>5.4199200000000003</v>
      </c>
      <c r="Q422">
        <v>0</v>
      </c>
      <c r="R422" t="str" cm="1">
        <f t="array" ref="R422">_xlfn.IFS(Q422="Y","Yes", Q422="Yes","Yes", Q422="N","No", Q422="No","No", Q422=1,"N/A", Q422=0,"N/A", TRUE,"")</f>
        <v>N/A</v>
      </c>
      <c r="S422">
        <f t="shared" si="54"/>
        <v>16</v>
      </c>
      <c r="T422">
        <f t="shared" si="55"/>
        <v>1</v>
      </c>
      <c r="U422" t="str" cm="1">
        <f t="array" ref="U422">_xlfn.IFS(D422&lt;40,"Young Adult",AND(D422&gt;=40,D422&lt;65),"Middle Aged", D422&gt;=65,"Elderly")</f>
        <v>Elderly</v>
      </c>
    </row>
    <row r="423" spans="1:21" x14ac:dyDescent="0.2">
      <c r="A423">
        <v>1007</v>
      </c>
      <c r="B423">
        <f t="shared" si="48"/>
        <v>422</v>
      </c>
      <c r="C423" t="s">
        <v>1257</v>
      </c>
      <c r="D423">
        <v>39</v>
      </c>
      <c r="E423" t="s">
        <v>38</v>
      </c>
      <c r="F423" t="str">
        <f t="shared" si="49"/>
        <v>Female</v>
      </c>
      <c r="G423" s="1">
        <v>46031</v>
      </c>
      <c r="H423" s="1">
        <v>45513</v>
      </c>
      <c r="I423" t="s">
        <v>1258</v>
      </c>
      <c r="J423" t="str">
        <f t="shared" si="50"/>
        <v>Ryan Chavez</v>
      </c>
      <c r="K423" t="s">
        <v>13</v>
      </c>
      <c r="L423" t="str">
        <f t="shared" si="51"/>
        <v>Cardiology</v>
      </c>
      <c r="M423" t="s">
        <v>1259</v>
      </c>
      <c r="N423" t="str">
        <f t="shared" si="52"/>
        <v>GBP</v>
      </c>
      <c r="O423">
        <f t="shared" si="53"/>
        <v>260.91000000000003</v>
      </c>
      <c r="P423" cm="1">
        <f t="array" ref="P423">_xlfn.IFS(N423="USD",O423*1,N423="GBP",O423*1.27,N423="EUR",O423*1.09,N423="INR",O423*0.012,N423="N/A","N/A")</f>
        <v>331.35570000000001</v>
      </c>
      <c r="Q423">
        <v>0</v>
      </c>
      <c r="R423" t="str" cm="1">
        <f t="array" ref="R423">_xlfn.IFS(Q423="Y","Yes", Q423="Yes","Yes", Q423="N","No", Q423="No","No", Q423=1,"N/A", Q423=0,"N/A", TRUE,"")</f>
        <v>N/A</v>
      </c>
      <c r="S423">
        <f t="shared" si="54"/>
        <v>3</v>
      </c>
      <c r="T423">
        <f t="shared" si="55"/>
        <v>1</v>
      </c>
      <c r="U423" t="str" cm="1">
        <f t="array" ref="U423">_xlfn.IFS(D423&lt;40,"Young Adult",AND(D423&gt;=40,D423&lt;65),"Middle Aged", D423&gt;=65,"Elderly")</f>
        <v>Young Adult</v>
      </c>
    </row>
    <row r="424" spans="1:21" x14ac:dyDescent="0.2">
      <c r="A424">
        <v>1030</v>
      </c>
      <c r="B424">
        <f t="shared" si="48"/>
        <v>423</v>
      </c>
      <c r="C424" t="s">
        <v>1260</v>
      </c>
      <c r="D424">
        <v>18</v>
      </c>
      <c r="E424" t="s">
        <v>22</v>
      </c>
      <c r="F424" t="str">
        <f t="shared" si="49"/>
        <v>Male</v>
      </c>
      <c r="G424" s="1">
        <v>46079</v>
      </c>
      <c r="H424" s="1">
        <v>45907</v>
      </c>
      <c r="I424" t="s">
        <v>1261</v>
      </c>
      <c r="J424" t="str">
        <f t="shared" si="50"/>
        <v>Christy Fisher</v>
      </c>
      <c r="K424" t="s">
        <v>18</v>
      </c>
      <c r="L424" t="str">
        <f t="shared" si="51"/>
        <v>Orthopedics</v>
      </c>
      <c r="M424" t="s">
        <v>1262</v>
      </c>
      <c r="N424" t="str">
        <f t="shared" si="52"/>
        <v>USD</v>
      </c>
      <c r="O424">
        <f t="shared" si="53"/>
        <v>117.12</v>
      </c>
      <c r="P424" cm="1">
        <f t="array" ref="P424">_xlfn.IFS(N424="USD",O424*1,N424="GBP",O424*1.27,N424="EUR",O424*1.09,N424="INR",O424*0.012,N424="N/A","N/A")</f>
        <v>117.12</v>
      </c>
      <c r="Q424">
        <v>1</v>
      </c>
      <c r="R424" t="str" cm="1">
        <f t="array" ref="R424">_xlfn.IFS(Q424="Y","Yes", Q424="Yes","Yes", Q424="N","No", Q424="No","No", Q424=1,"N/A", Q424=0,"N/A", TRUE,"")</f>
        <v>N/A</v>
      </c>
      <c r="S424">
        <f t="shared" si="54"/>
        <v>11</v>
      </c>
      <c r="T424">
        <f t="shared" si="55"/>
        <v>1</v>
      </c>
      <c r="U424" t="str" cm="1">
        <f t="array" ref="U424">_xlfn.IFS(D424&lt;40,"Young Adult",AND(D424&gt;=40,D424&lt;65),"Middle Aged", D424&gt;=65,"Elderly")</f>
        <v>Young Adult</v>
      </c>
    </row>
    <row r="425" spans="1:21" x14ac:dyDescent="0.2">
      <c r="A425">
        <v>1088</v>
      </c>
      <c r="B425">
        <f t="shared" si="48"/>
        <v>424</v>
      </c>
      <c r="C425" t="s">
        <v>1263</v>
      </c>
      <c r="D425">
        <v>80</v>
      </c>
      <c r="E425" t="s">
        <v>22</v>
      </c>
      <c r="F425" t="str">
        <f t="shared" si="49"/>
        <v>Male</v>
      </c>
      <c r="G425" s="1">
        <v>46087</v>
      </c>
      <c r="H425" s="1">
        <v>45826</v>
      </c>
      <c r="I425" t="s">
        <v>1264</v>
      </c>
      <c r="J425" t="str">
        <f t="shared" si="50"/>
        <v>Cody Ortega</v>
      </c>
      <c r="K425" t="s">
        <v>13</v>
      </c>
      <c r="L425" t="str">
        <f t="shared" si="51"/>
        <v>Cardiology</v>
      </c>
      <c r="M425" t="s">
        <v>1265</v>
      </c>
      <c r="N425" t="str">
        <f t="shared" si="52"/>
        <v>INR</v>
      </c>
      <c r="O425">
        <f t="shared" si="53"/>
        <v>460.11</v>
      </c>
      <c r="P425" cm="1">
        <f t="array" ref="P425">_xlfn.IFS(N425="USD",O425*1,N425="GBP",O425*1.27,N425="EUR",O425*1.09,N425="INR",O425*0.012,N425="N/A","N/A")</f>
        <v>5.5213200000000002</v>
      </c>
      <c r="Q425" t="s">
        <v>20</v>
      </c>
      <c r="R425" t="str" cm="1">
        <f t="array" ref="R425">_xlfn.IFS(Q425="Y","Yes", Q425="Yes","Yes", Q425="N","No", Q425="No","No", Q425=1,"N/A", Q425=0,"N/A", TRUE,"")</f>
        <v>Yes</v>
      </c>
      <c r="S425">
        <f t="shared" si="54"/>
        <v>16</v>
      </c>
      <c r="T425">
        <f t="shared" si="55"/>
        <v>1</v>
      </c>
      <c r="U425" t="str" cm="1">
        <f t="array" ref="U425">_xlfn.IFS(D425&lt;40,"Young Adult",AND(D425&gt;=40,D425&lt;65),"Middle Aged", D425&gt;=65,"Elderly")</f>
        <v>Elderly</v>
      </c>
    </row>
    <row r="426" spans="1:21" x14ac:dyDescent="0.2">
      <c r="A426">
        <v>1077</v>
      </c>
      <c r="B426">
        <f t="shared" si="48"/>
        <v>425</v>
      </c>
      <c r="C426" t="s">
        <v>1266</v>
      </c>
      <c r="D426">
        <v>30</v>
      </c>
      <c r="E426" t="s">
        <v>51</v>
      </c>
      <c r="F426" t="str">
        <f t="shared" si="49"/>
        <v>Male</v>
      </c>
      <c r="G426" s="1">
        <v>45882</v>
      </c>
      <c r="H426" s="1">
        <v>45698</v>
      </c>
      <c r="I426" t="s">
        <v>1267</v>
      </c>
      <c r="J426" t="str">
        <f t="shared" si="50"/>
        <v>Sarah Scott</v>
      </c>
      <c r="K426" t="s">
        <v>13</v>
      </c>
      <c r="L426" t="str">
        <f t="shared" si="51"/>
        <v>Cardiology</v>
      </c>
      <c r="M426" t="s">
        <v>1268</v>
      </c>
      <c r="N426" t="str">
        <f t="shared" si="52"/>
        <v>EUR</v>
      </c>
      <c r="O426">
        <f t="shared" si="53"/>
        <v>91.94</v>
      </c>
      <c r="P426" cm="1">
        <f t="array" ref="P426">_xlfn.IFS(N426="USD",O426*1,N426="GBP",O426*1.27,N426="EUR",O426*1.09,N426="INR",O426*0.012,N426="N/A","N/A")</f>
        <v>100.2146</v>
      </c>
      <c r="Q426">
        <v>1</v>
      </c>
      <c r="R426" t="str" cm="1">
        <f t="array" ref="R426">_xlfn.IFS(Q426="Y","Yes", Q426="Yes","Yes", Q426="N","No", Q426="No","No", Q426=1,"N/A", Q426=0,"N/A", TRUE,"")</f>
        <v>N/A</v>
      </c>
      <c r="S426">
        <f t="shared" si="54"/>
        <v>10</v>
      </c>
      <c r="T426">
        <f t="shared" si="55"/>
        <v>1</v>
      </c>
      <c r="U426" t="str" cm="1">
        <f t="array" ref="U426">_xlfn.IFS(D426&lt;40,"Young Adult",AND(D426&gt;=40,D426&lt;65),"Middle Aged", D426&gt;=65,"Elderly")</f>
        <v>Young Adult</v>
      </c>
    </row>
    <row r="427" spans="1:21" x14ac:dyDescent="0.2">
      <c r="A427">
        <v>1019</v>
      </c>
      <c r="B427">
        <f t="shared" si="48"/>
        <v>426</v>
      </c>
      <c r="C427" t="s">
        <v>1269</v>
      </c>
      <c r="D427">
        <v>33</v>
      </c>
      <c r="E427" t="s">
        <v>38</v>
      </c>
      <c r="F427" t="str">
        <f t="shared" si="49"/>
        <v>Female</v>
      </c>
      <c r="G427" s="1">
        <v>45821</v>
      </c>
      <c r="H427" s="1">
        <v>45452</v>
      </c>
      <c r="I427" t="s">
        <v>1270</v>
      </c>
      <c r="J427" t="str">
        <f t="shared" si="50"/>
        <v>Arthur Harris</v>
      </c>
      <c r="K427" t="s">
        <v>28</v>
      </c>
      <c r="L427" t="str">
        <f t="shared" si="51"/>
        <v>General</v>
      </c>
      <c r="N427" t="str">
        <f t="shared" si="52"/>
        <v>N/A</v>
      </c>
      <c r="O427" t="str">
        <f t="shared" si="53"/>
        <v/>
      </c>
      <c r="P427" t="str" cm="1">
        <f t="array" ref="P427">_xlfn.IFS(N427="USD",O427*1,N427="GBP",O427*1.27,N427="EUR",O427*1.09,N427="INR",O427*0.012,N427="N/A","N/A")</f>
        <v>N/A</v>
      </c>
      <c r="Q427" t="s">
        <v>30</v>
      </c>
      <c r="R427" t="str" cm="1">
        <f t="array" ref="R427">_xlfn.IFS(Q427="Y","Yes", Q427="Yes","Yes", Q427="N","No", Q427="No","No", Q427=1,"N/A", Q427=0,"N/A", TRUE,"")</f>
        <v>No</v>
      </c>
      <c r="S427">
        <f t="shared" si="54"/>
        <v>6</v>
      </c>
      <c r="T427">
        <f t="shared" si="55"/>
        <v>1</v>
      </c>
      <c r="U427" t="str" cm="1">
        <f t="array" ref="U427">_xlfn.IFS(D427&lt;40,"Young Adult",AND(D427&gt;=40,D427&lt;65),"Middle Aged", D427&gt;=65,"Elderly")</f>
        <v>Young Adult</v>
      </c>
    </row>
    <row r="428" spans="1:21" x14ac:dyDescent="0.2">
      <c r="A428">
        <v>1065</v>
      </c>
      <c r="B428">
        <f t="shared" si="48"/>
        <v>427</v>
      </c>
      <c r="C428" t="s">
        <v>1271</v>
      </c>
      <c r="D428">
        <v>31</v>
      </c>
      <c r="E428" t="s">
        <v>2937</v>
      </c>
      <c r="F428" t="str">
        <f t="shared" si="49"/>
        <v>N/A</v>
      </c>
      <c r="G428" s="1">
        <v>46085</v>
      </c>
      <c r="H428" s="1">
        <v>46050</v>
      </c>
      <c r="I428" t="s">
        <v>1272</v>
      </c>
      <c r="J428" t="str">
        <f t="shared" si="50"/>
        <v>Lauren Clark</v>
      </c>
      <c r="K428" t="s">
        <v>18</v>
      </c>
      <c r="L428" t="str">
        <f t="shared" si="51"/>
        <v>Orthopedics</v>
      </c>
      <c r="M428" t="s">
        <v>1273</v>
      </c>
      <c r="N428" t="str">
        <f t="shared" si="52"/>
        <v>GBP</v>
      </c>
      <c r="O428">
        <f t="shared" si="53"/>
        <v>347.38</v>
      </c>
      <c r="P428" cm="1">
        <f t="array" ref="P428">_xlfn.IFS(N428="USD",O428*1,N428="GBP",O428*1.27,N428="EUR",O428*1.09,N428="INR",O428*0.012,N428="N/A","N/A")</f>
        <v>441.17259999999999</v>
      </c>
      <c r="Q428" t="s">
        <v>20</v>
      </c>
      <c r="R428" t="str" cm="1">
        <f t="array" ref="R428">_xlfn.IFS(Q428="Y","Yes", Q428="Yes","Yes", Q428="N","No", Q428="No","No", Q428=1,"N/A", Q428=0,"N/A", TRUE,"")</f>
        <v>Yes</v>
      </c>
      <c r="S428">
        <f t="shared" si="54"/>
        <v>9</v>
      </c>
      <c r="T428">
        <f t="shared" si="55"/>
        <v>1</v>
      </c>
      <c r="U428" t="str" cm="1">
        <f t="array" ref="U428">_xlfn.IFS(D428&lt;40,"Young Adult",AND(D428&gt;=40,D428&lt;65),"Middle Aged", D428&gt;=65,"Elderly")</f>
        <v>Young Adult</v>
      </c>
    </row>
    <row r="429" spans="1:21" x14ac:dyDescent="0.2">
      <c r="A429">
        <v>1081</v>
      </c>
      <c r="B429">
        <f t="shared" si="48"/>
        <v>428</v>
      </c>
      <c r="C429" t="s">
        <v>1274</v>
      </c>
      <c r="D429">
        <v>27</v>
      </c>
      <c r="E429" t="s">
        <v>2937</v>
      </c>
      <c r="F429" t="str">
        <f t="shared" si="49"/>
        <v>N/A</v>
      </c>
      <c r="G429" s="1">
        <v>45854</v>
      </c>
      <c r="H429" s="1">
        <v>45821</v>
      </c>
      <c r="I429" t="s">
        <v>1275</v>
      </c>
      <c r="J429" t="str">
        <f t="shared" si="50"/>
        <v>Matthew Nichols</v>
      </c>
      <c r="K429" t="s">
        <v>18</v>
      </c>
      <c r="L429" t="str">
        <f t="shared" si="51"/>
        <v>Orthopedics</v>
      </c>
      <c r="M429" t="s">
        <v>1276</v>
      </c>
      <c r="N429" t="str">
        <f t="shared" si="52"/>
        <v>INR</v>
      </c>
      <c r="O429">
        <f t="shared" si="53"/>
        <v>288.43</v>
      </c>
      <c r="P429" cm="1">
        <f t="array" ref="P429">_xlfn.IFS(N429="USD",O429*1,N429="GBP",O429*1.27,N429="EUR",O429*1.09,N429="INR",O429*0.012,N429="N/A","N/A")</f>
        <v>3.46116</v>
      </c>
      <c r="Q429" t="s">
        <v>36</v>
      </c>
      <c r="R429" t="str" cm="1">
        <f t="array" ref="R429">_xlfn.IFS(Q429="Y","Yes", Q429="Yes","Yes", Q429="N","No", Q429="No","No", Q429=1,"N/A", Q429=0,"N/A", TRUE,"")</f>
        <v>Yes</v>
      </c>
      <c r="S429">
        <f t="shared" si="54"/>
        <v>9</v>
      </c>
      <c r="T429">
        <f t="shared" si="55"/>
        <v>1</v>
      </c>
      <c r="U429" t="str" cm="1">
        <f t="array" ref="U429">_xlfn.IFS(D429&lt;40,"Young Adult",AND(D429&gt;=40,D429&lt;65),"Middle Aged", D429&gt;=65,"Elderly")</f>
        <v>Young Adult</v>
      </c>
    </row>
    <row r="430" spans="1:21" x14ac:dyDescent="0.2">
      <c r="A430">
        <v>1058</v>
      </c>
      <c r="B430">
        <f t="shared" si="48"/>
        <v>429</v>
      </c>
      <c r="C430" t="s">
        <v>1277</v>
      </c>
      <c r="D430">
        <v>21</v>
      </c>
      <c r="E430" t="s">
        <v>2937</v>
      </c>
      <c r="F430" t="str">
        <f t="shared" si="49"/>
        <v>N/A</v>
      </c>
      <c r="G430" s="1">
        <v>45916</v>
      </c>
      <c r="H430" s="1">
        <v>45739</v>
      </c>
      <c r="I430" t="s">
        <v>1278</v>
      </c>
      <c r="J430" t="str">
        <f t="shared" si="50"/>
        <v>Tracy Johnson</v>
      </c>
      <c r="K430" t="s">
        <v>13</v>
      </c>
      <c r="L430" t="str">
        <f t="shared" si="51"/>
        <v>Cardiology</v>
      </c>
      <c r="M430" t="s">
        <v>1279</v>
      </c>
      <c r="N430" t="str">
        <f t="shared" si="52"/>
        <v>EUR</v>
      </c>
      <c r="O430">
        <f t="shared" si="53"/>
        <v>222.2</v>
      </c>
      <c r="P430" cm="1">
        <f t="array" ref="P430">_xlfn.IFS(N430="USD",O430*1,N430="GBP",O430*1.27,N430="EUR",O430*1.09,N430="INR",O430*0.012,N430="N/A","N/A")</f>
        <v>242.19800000000001</v>
      </c>
      <c r="Q430">
        <v>0</v>
      </c>
      <c r="R430" t="str" cm="1">
        <f t="array" ref="R430">_xlfn.IFS(Q430="Y","Yes", Q430="Yes","Yes", Q430="N","No", Q430="No","No", Q430=1,"N/A", Q430=0,"N/A", TRUE,"")</f>
        <v>N/A</v>
      </c>
      <c r="S430">
        <f t="shared" si="54"/>
        <v>17</v>
      </c>
      <c r="T430">
        <f t="shared" si="55"/>
        <v>1</v>
      </c>
      <c r="U430" t="str" cm="1">
        <f t="array" ref="U430">_xlfn.IFS(D430&lt;40,"Young Adult",AND(D430&gt;=40,D430&lt;65),"Middle Aged", D430&gt;=65,"Elderly")</f>
        <v>Young Adult</v>
      </c>
    </row>
    <row r="431" spans="1:21" x14ac:dyDescent="0.2">
      <c r="A431">
        <v>1034</v>
      </c>
      <c r="B431">
        <f t="shared" si="48"/>
        <v>430</v>
      </c>
      <c r="C431" t="s">
        <v>1280</v>
      </c>
      <c r="D431">
        <v>75</v>
      </c>
      <c r="E431" t="s">
        <v>16</v>
      </c>
      <c r="F431" t="str">
        <f t="shared" si="49"/>
        <v>Female</v>
      </c>
      <c r="G431" s="1">
        <v>45813</v>
      </c>
      <c r="H431" s="1">
        <v>45677</v>
      </c>
      <c r="I431" t="s">
        <v>1281</v>
      </c>
      <c r="J431" t="str">
        <f t="shared" si="50"/>
        <v>Justin Flores</v>
      </c>
      <c r="K431" t="s">
        <v>13</v>
      </c>
      <c r="L431" t="str">
        <f t="shared" si="51"/>
        <v>Cardiology</v>
      </c>
      <c r="M431" t="s">
        <v>1282</v>
      </c>
      <c r="N431" t="str">
        <f t="shared" si="52"/>
        <v>INR</v>
      </c>
      <c r="O431">
        <f t="shared" si="53"/>
        <v>180.6</v>
      </c>
      <c r="P431" cm="1">
        <f t="array" ref="P431">_xlfn.IFS(N431="USD",O431*1,N431="GBP",O431*1.27,N431="EUR",O431*1.09,N431="INR",O431*0.012,N431="N/A","N/A")</f>
        <v>2.1671999999999998</v>
      </c>
      <c r="Q431">
        <v>1</v>
      </c>
      <c r="R431" t="str" cm="1">
        <f t="array" ref="R431">_xlfn.IFS(Q431="Y","Yes", Q431="Yes","Yes", Q431="N","No", Q431="No","No", Q431=1,"N/A", Q431=0,"N/A", TRUE,"")</f>
        <v>N/A</v>
      </c>
      <c r="S431">
        <f t="shared" si="54"/>
        <v>8</v>
      </c>
      <c r="T431">
        <f t="shared" si="55"/>
        <v>1</v>
      </c>
      <c r="U431" t="str" cm="1">
        <f t="array" ref="U431">_xlfn.IFS(D431&lt;40,"Young Adult",AND(D431&gt;=40,D431&lt;65),"Middle Aged", D431&gt;=65,"Elderly")</f>
        <v>Elderly</v>
      </c>
    </row>
    <row r="432" spans="1:21" x14ac:dyDescent="0.2">
      <c r="A432">
        <v>1068</v>
      </c>
      <c r="B432">
        <f t="shared" si="48"/>
        <v>431</v>
      </c>
      <c r="C432" t="s">
        <v>1283</v>
      </c>
      <c r="D432">
        <v>61</v>
      </c>
      <c r="E432" t="s">
        <v>38</v>
      </c>
      <c r="F432" t="str">
        <f t="shared" si="49"/>
        <v>Female</v>
      </c>
      <c r="G432" s="1">
        <v>46006</v>
      </c>
      <c r="H432" s="1">
        <v>45483</v>
      </c>
      <c r="I432" t="s">
        <v>1284</v>
      </c>
      <c r="J432" t="str">
        <f t="shared" si="50"/>
        <v>Keith Lee</v>
      </c>
      <c r="K432" t="s">
        <v>24</v>
      </c>
      <c r="L432" t="str">
        <f t="shared" si="51"/>
        <v>Neurology</v>
      </c>
      <c r="N432" t="str">
        <f t="shared" si="52"/>
        <v>N/A</v>
      </c>
      <c r="O432" t="str">
        <f t="shared" si="53"/>
        <v/>
      </c>
      <c r="P432" t="str" cm="1">
        <f t="array" ref="P432">_xlfn.IFS(N432="USD",O432*1,N432="GBP",O432*1.27,N432="EUR",O432*1.09,N432="INR",O432*0.012,N432="N/A","N/A")</f>
        <v>N/A</v>
      </c>
      <c r="Q432">
        <v>1</v>
      </c>
      <c r="R432" t="str" cm="1">
        <f t="array" ref="R432">_xlfn.IFS(Q432="Y","Yes", Q432="Yes","Yes", Q432="N","No", Q432="No","No", Q432=1,"N/A", Q432=0,"N/A", TRUE,"")</f>
        <v>N/A</v>
      </c>
      <c r="S432">
        <f t="shared" si="54"/>
        <v>14</v>
      </c>
      <c r="T432">
        <f t="shared" si="55"/>
        <v>1</v>
      </c>
      <c r="U432" t="str" cm="1">
        <f t="array" ref="U432">_xlfn.IFS(D432&lt;40,"Young Adult",AND(D432&gt;=40,D432&lt;65),"Middle Aged", D432&gt;=65,"Elderly")</f>
        <v>Middle Aged</v>
      </c>
    </row>
    <row r="433" spans="1:21" x14ac:dyDescent="0.2">
      <c r="A433">
        <v>1030</v>
      </c>
      <c r="B433">
        <f t="shared" si="48"/>
        <v>432</v>
      </c>
      <c r="C433" t="s">
        <v>1285</v>
      </c>
      <c r="D433">
        <v>80</v>
      </c>
      <c r="E433" t="s">
        <v>51</v>
      </c>
      <c r="F433" t="str">
        <f t="shared" si="49"/>
        <v>Male</v>
      </c>
      <c r="G433" s="1">
        <v>46063</v>
      </c>
      <c r="H433" s="1">
        <v>45674</v>
      </c>
      <c r="I433" t="s">
        <v>1286</v>
      </c>
      <c r="J433" t="str">
        <f t="shared" si="50"/>
        <v>Christopher Nelson</v>
      </c>
      <c r="K433" t="s">
        <v>13</v>
      </c>
      <c r="L433" t="str">
        <f t="shared" si="51"/>
        <v>Cardiology</v>
      </c>
      <c r="M433" t="s">
        <v>1287</v>
      </c>
      <c r="N433" t="str">
        <f t="shared" si="52"/>
        <v>EUR</v>
      </c>
      <c r="O433">
        <f t="shared" si="53"/>
        <v>485.31</v>
      </c>
      <c r="P433" cm="1">
        <f t="array" ref="P433">_xlfn.IFS(N433="USD",O433*1,N433="GBP",O433*1.27,N433="EUR",O433*1.09,N433="INR",O433*0.012,N433="N/A","N/A")</f>
        <v>528.98790000000008</v>
      </c>
      <c r="Q433" t="s">
        <v>60</v>
      </c>
      <c r="R433" t="str" cm="1">
        <f t="array" ref="R433">_xlfn.IFS(Q433="Y","Yes", Q433="Yes","Yes", Q433="N","No", Q433="No","No", Q433=1,"N/A", Q433=0,"N/A", TRUE,"")</f>
        <v>No</v>
      </c>
      <c r="S433">
        <f t="shared" si="54"/>
        <v>11</v>
      </c>
      <c r="T433">
        <f t="shared" si="55"/>
        <v>1</v>
      </c>
      <c r="U433" t="str" cm="1">
        <f t="array" ref="U433">_xlfn.IFS(D433&lt;40,"Young Adult",AND(D433&gt;=40,D433&lt;65),"Middle Aged", D433&gt;=65,"Elderly")</f>
        <v>Elderly</v>
      </c>
    </row>
    <row r="434" spans="1:21" x14ac:dyDescent="0.2">
      <c r="A434">
        <v>1013</v>
      </c>
      <c r="B434">
        <f t="shared" si="48"/>
        <v>433</v>
      </c>
      <c r="C434" t="s">
        <v>1288</v>
      </c>
      <c r="D434">
        <v>86</v>
      </c>
      <c r="E434" t="s">
        <v>51</v>
      </c>
      <c r="F434" t="str">
        <f t="shared" si="49"/>
        <v>Male</v>
      </c>
      <c r="G434" s="1">
        <v>45907</v>
      </c>
      <c r="H434" s="1">
        <v>45668</v>
      </c>
      <c r="I434" t="s">
        <v>1289</v>
      </c>
      <c r="J434" t="str">
        <f t="shared" si="50"/>
        <v>Joe Rodriguez</v>
      </c>
      <c r="K434" t="s">
        <v>24</v>
      </c>
      <c r="L434" t="str">
        <f t="shared" si="51"/>
        <v>Neurology</v>
      </c>
      <c r="M434" t="s">
        <v>1290</v>
      </c>
      <c r="N434" t="str">
        <f t="shared" si="52"/>
        <v>GBP</v>
      </c>
      <c r="O434">
        <f t="shared" si="53"/>
        <v>255.9</v>
      </c>
      <c r="P434" cm="1">
        <f t="array" ref="P434">_xlfn.IFS(N434="USD",O434*1,N434="GBP",O434*1.27,N434="EUR",O434*1.09,N434="INR",O434*0.012,N434="N/A","N/A")</f>
        <v>324.99299999999999</v>
      </c>
      <c r="Q434">
        <v>0</v>
      </c>
      <c r="R434" t="str" cm="1">
        <f t="array" ref="R434">_xlfn.IFS(Q434="Y","Yes", Q434="Yes","Yes", Q434="N","No", Q434="No","No", Q434=1,"N/A", Q434=0,"N/A", TRUE,"")</f>
        <v>N/A</v>
      </c>
      <c r="S434">
        <f t="shared" si="54"/>
        <v>10</v>
      </c>
      <c r="T434">
        <f t="shared" si="55"/>
        <v>1</v>
      </c>
      <c r="U434" t="str" cm="1">
        <f t="array" ref="U434">_xlfn.IFS(D434&lt;40,"Young Adult",AND(D434&gt;=40,D434&lt;65),"Middle Aged", D434&gt;=65,"Elderly")</f>
        <v>Elderly</v>
      </c>
    </row>
    <row r="435" spans="1:21" x14ac:dyDescent="0.2">
      <c r="A435">
        <v>1092</v>
      </c>
      <c r="B435">
        <f t="shared" si="48"/>
        <v>434</v>
      </c>
      <c r="C435" t="s">
        <v>1291</v>
      </c>
      <c r="D435">
        <v>42</v>
      </c>
      <c r="E435" t="s">
        <v>22</v>
      </c>
      <c r="F435" t="str">
        <f t="shared" si="49"/>
        <v>Male</v>
      </c>
      <c r="G435" s="1">
        <v>45767</v>
      </c>
      <c r="H435" s="1">
        <v>45574</v>
      </c>
      <c r="I435" t="s">
        <v>1292</v>
      </c>
      <c r="J435" t="str">
        <f t="shared" si="50"/>
        <v>Terry Welch</v>
      </c>
      <c r="K435" t="s">
        <v>13</v>
      </c>
      <c r="L435" t="str">
        <f t="shared" si="51"/>
        <v>Cardiology</v>
      </c>
      <c r="M435" t="s">
        <v>1293</v>
      </c>
      <c r="N435" t="str">
        <f t="shared" si="52"/>
        <v>EUR</v>
      </c>
      <c r="O435">
        <f t="shared" si="53"/>
        <v>443.13</v>
      </c>
      <c r="P435" cm="1">
        <f t="array" ref="P435">_xlfn.IFS(N435="USD",O435*1,N435="GBP",O435*1.27,N435="EUR",O435*1.09,N435="INR",O435*0.012,N435="N/A","N/A")</f>
        <v>483.01170000000002</v>
      </c>
      <c r="Q435">
        <v>1</v>
      </c>
      <c r="R435" t="str" cm="1">
        <f t="array" ref="R435">_xlfn.IFS(Q435="Y","Yes", Q435="Yes","Yes", Q435="N","No", Q435="No","No", Q435=1,"N/A", Q435=0,"N/A", TRUE,"")</f>
        <v>N/A</v>
      </c>
      <c r="S435">
        <f t="shared" si="54"/>
        <v>11</v>
      </c>
      <c r="T435">
        <f t="shared" si="55"/>
        <v>1</v>
      </c>
      <c r="U435" t="str" cm="1">
        <f t="array" ref="U435">_xlfn.IFS(D435&lt;40,"Young Adult",AND(D435&gt;=40,D435&lt;65),"Middle Aged", D435&gt;=65,"Elderly")</f>
        <v>Middle Aged</v>
      </c>
    </row>
    <row r="436" spans="1:21" x14ac:dyDescent="0.2">
      <c r="A436">
        <v>1027</v>
      </c>
      <c r="B436">
        <f t="shared" si="48"/>
        <v>435</v>
      </c>
      <c r="C436" t="s">
        <v>1294</v>
      </c>
      <c r="D436">
        <v>63</v>
      </c>
      <c r="E436" t="s">
        <v>22</v>
      </c>
      <c r="F436" t="str">
        <f t="shared" si="49"/>
        <v>Male</v>
      </c>
      <c r="G436" s="1">
        <v>45847</v>
      </c>
      <c r="H436" s="1">
        <v>45504</v>
      </c>
      <c r="I436" t="s">
        <v>1295</v>
      </c>
      <c r="J436" t="str">
        <f t="shared" si="50"/>
        <v>Angela Thomas</v>
      </c>
      <c r="K436" t="s">
        <v>18</v>
      </c>
      <c r="L436" t="str">
        <f t="shared" si="51"/>
        <v>Orthopedics</v>
      </c>
      <c r="M436" t="s">
        <v>1296</v>
      </c>
      <c r="N436" t="str">
        <f t="shared" si="52"/>
        <v>INR</v>
      </c>
      <c r="O436">
        <f t="shared" si="53"/>
        <v>318.88</v>
      </c>
      <c r="P436" cm="1">
        <f t="array" ref="P436">_xlfn.IFS(N436="USD",O436*1,N436="GBP",O436*1.27,N436="EUR",O436*1.09,N436="INR",O436*0.012,N436="N/A","N/A")</f>
        <v>3.8265600000000002</v>
      </c>
      <c r="Q436" t="s">
        <v>20</v>
      </c>
      <c r="R436" t="str" cm="1">
        <f t="array" ref="R436">_xlfn.IFS(Q436="Y","Yes", Q436="Yes","Yes", Q436="N","No", Q436="No","No", Q436=1,"N/A", Q436=0,"N/A", TRUE,"")</f>
        <v>Yes</v>
      </c>
      <c r="S436">
        <f t="shared" si="54"/>
        <v>12</v>
      </c>
      <c r="T436">
        <f t="shared" si="55"/>
        <v>1</v>
      </c>
      <c r="U436" t="str" cm="1">
        <f t="array" ref="U436">_xlfn.IFS(D436&lt;40,"Young Adult",AND(D436&gt;=40,D436&lt;65),"Middle Aged", D436&gt;=65,"Elderly")</f>
        <v>Middle Aged</v>
      </c>
    </row>
    <row r="437" spans="1:21" x14ac:dyDescent="0.2">
      <c r="A437">
        <v>1067</v>
      </c>
      <c r="B437">
        <f t="shared" si="48"/>
        <v>436</v>
      </c>
      <c r="C437" t="s">
        <v>826</v>
      </c>
      <c r="D437">
        <v>54</v>
      </c>
      <c r="E437" t="s">
        <v>38</v>
      </c>
      <c r="F437" t="str">
        <f t="shared" si="49"/>
        <v>Female</v>
      </c>
      <c r="G437" s="1">
        <v>45911</v>
      </c>
      <c r="H437" s="1">
        <v>45905</v>
      </c>
      <c r="I437" t="s">
        <v>1297</v>
      </c>
      <c r="J437" t="str">
        <f t="shared" si="50"/>
        <v>Brandon Garcia</v>
      </c>
      <c r="K437" t="s">
        <v>13</v>
      </c>
      <c r="L437" t="str">
        <f t="shared" si="51"/>
        <v>Cardiology</v>
      </c>
      <c r="M437" t="s">
        <v>1298</v>
      </c>
      <c r="N437" t="str">
        <f t="shared" si="52"/>
        <v>USD</v>
      </c>
      <c r="O437">
        <f t="shared" si="53"/>
        <v>108.91</v>
      </c>
      <c r="P437" cm="1">
        <f t="array" ref="P437">_xlfn.IFS(N437="USD",O437*1,N437="GBP",O437*1.27,N437="EUR",O437*1.09,N437="INR",O437*0.012,N437="N/A","N/A")</f>
        <v>108.91</v>
      </c>
      <c r="Q437">
        <v>0</v>
      </c>
      <c r="R437" t="str" cm="1">
        <f t="array" ref="R437">_xlfn.IFS(Q437="Y","Yes", Q437="Yes","Yes", Q437="N","No", Q437="No","No", Q437=1,"N/A", Q437=0,"N/A", TRUE,"")</f>
        <v>N/A</v>
      </c>
      <c r="S437">
        <f t="shared" si="54"/>
        <v>9</v>
      </c>
      <c r="T437">
        <f t="shared" si="55"/>
        <v>1</v>
      </c>
      <c r="U437" t="str" cm="1">
        <f t="array" ref="U437">_xlfn.IFS(D437&lt;40,"Young Adult",AND(D437&gt;=40,D437&lt;65),"Middle Aged", D437&gt;=65,"Elderly")</f>
        <v>Middle Aged</v>
      </c>
    </row>
    <row r="438" spans="1:21" x14ac:dyDescent="0.2">
      <c r="A438">
        <v>1059</v>
      </c>
      <c r="B438">
        <f t="shared" si="48"/>
        <v>437</v>
      </c>
      <c r="C438" t="s">
        <v>1299</v>
      </c>
      <c r="D438">
        <v>34</v>
      </c>
      <c r="E438" t="s">
        <v>71</v>
      </c>
      <c r="F438" t="str">
        <f t="shared" si="49"/>
        <v>Male</v>
      </c>
      <c r="G438" s="1">
        <v>45910</v>
      </c>
      <c r="H438" s="1">
        <v>45595</v>
      </c>
      <c r="I438" t="s">
        <v>1300</v>
      </c>
      <c r="J438" t="str">
        <f t="shared" si="50"/>
        <v>Amber Clayton</v>
      </c>
      <c r="K438" t="s">
        <v>24</v>
      </c>
      <c r="L438" t="str">
        <f t="shared" si="51"/>
        <v>Neurology</v>
      </c>
      <c r="M438" t="s">
        <v>1301</v>
      </c>
      <c r="N438" t="str">
        <f t="shared" si="52"/>
        <v>GBP</v>
      </c>
      <c r="O438">
        <f t="shared" si="53"/>
        <v>167.18</v>
      </c>
      <c r="P438" cm="1">
        <f t="array" ref="P438">_xlfn.IFS(N438="USD",O438*1,N438="GBP",O438*1.27,N438="EUR",O438*1.09,N438="INR",O438*0.012,N438="N/A","N/A")</f>
        <v>212.3186</v>
      </c>
      <c r="Q438" t="s">
        <v>36</v>
      </c>
      <c r="R438" t="str" cm="1">
        <f t="array" ref="R438">_xlfn.IFS(Q438="Y","Yes", Q438="Yes","Yes", Q438="N","No", Q438="No","No", Q438=1,"N/A", Q438=0,"N/A", TRUE,"")</f>
        <v>Yes</v>
      </c>
      <c r="S438">
        <f t="shared" si="54"/>
        <v>13</v>
      </c>
      <c r="T438">
        <f t="shared" si="55"/>
        <v>1</v>
      </c>
      <c r="U438" t="str" cm="1">
        <f t="array" ref="U438">_xlfn.IFS(D438&lt;40,"Young Adult",AND(D438&gt;=40,D438&lt;65),"Middle Aged", D438&gt;=65,"Elderly")</f>
        <v>Young Adult</v>
      </c>
    </row>
    <row r="439" spans="1:21" x14ac:dyDescent="0.2">
      <c r="A439">
        <v>1040</v>
      </c>
      <c r="B439">
        <f t="shared" si="48"/>
        <v>438</v>
      </c>
      <c r="C439" t="s">
        <v>1302</v>
      </c>
      <c r="D439">
        <v>22</v>
      </c>
      <c r="E439" t="s">
        <v>38</v>
      </c>
      <c r="F439" t="str">
        <f t="shared" si="49"/>
        <v>Female</v>
      </c>
      <c r="G439" s="1">
        <v>46006</v>
      </c>
      <c r="H439" s="1">
        <v>45430</v>
      </c>
      <c r="I439" t="s">
        <v>1303</v>
      </c>
      <c r="J439" t="str">
        <f t="shared" si="50"/>
        <v>Maria Gentry</v>
      </c>
      <c r="K439" t="s">
        <v>18</v>
      </c>
      <c r="L439" t="str">
        <f t="shared" si="51"/>
        <v>Orthopedics</v>
      </c>
      <c r="M439" t="s">
        <v>1304</v>
      </c>
      <c r="N439" t="str">
        <f t="shared" si="52"/>
        <v>GBP</v>
      </c>
      <c r="O439">
        <f t="shared" si="53"/>
        <v>444.67</v>
      </c>
      <c r="P439" cm="1">
        <f t="array" ref="P439">_xlfn.IFS(N439="USD",O439*1,N439="GBP",O439*1.27,N439="EUR",O439*1.09,N439="INR",O439*0.012,N439="N/A","N/A")</f>
        <v>564.73090000000002</v>
      </c>
      <c r="Q439" t="s">
        <v>60</v>
      </c>
      <c r="R439" t="str" cm="1">
        <f t="array" ref="R439">_xlfn.IFS(Q439="Y","Yes", Q439="Yes","Yes", Q439="N","No", Q439="No","No", Q439=1,"N/A", Q439=0,"N/A", TRUE,"")</f>
        <v>No</v>
      </c>
      <c r="S439">
        <f t="shared" si="54"/>
        <v>13</v>
      </c>
      <c r="T439">
        <f t="shared" si="55"/>
        <v>1</v>
      </c>
      <c r="U439" t="str" cm="1">
        <f t="array" ref="U439">_xlfn.IFS(D439&lt;40,"Young Adult",AND(D439&gt;=40,D439&lt;65),"Middle Aged", D439&gt;=65,"Elderly")</f>
        <v>Young Adult</v>
      </c>
    </row>
    <row r="440" spans="1:21" x14ac:dyDescent="0.2">
      <c r="A440">
        <v>1058</v>
      </c>
      <c r="B440">
        <f t="shared" si="48"/>
        <v>439</v>
      </c>
      <c r="C440" t="s">
        <v>1305</v>
      </c>
      <c r="D440">
        <v>84</v>
      </c>
      <c r="E440" t="s">
        <v>38</v>
      </c>
      <c r="F440" t="str">
        <f t="shared" si="49"/>
        <v>Female</v>
      </c>
      <c r="G440" s="1">
        <v>45954</v>
      </c>
      <c r="H440" s="1">
        <v>45743</v>
      </c>
      <c r="I440" t="s">
        <v>1306</v>
      </c>
      <c r="J440" t="str">
        <f t="shared" si="50"/>
        <v>Heather Ortiz</v>
      </c>
      <c r="K440" t="s">
        <v>24</v>
      </c>
      <c r="L440" t="str">
        <f t="shared" si="51"/>
        <v>Neurology</v>
      </c>
      <c r="M440" t="s">
        <v>1307</v>
      </c>
      <c r="N440" t="str">
        <f t="shared" si="52"/>
        <v>USD</v>
      </c>
      <c r="O440">
        <f t="shared" si="53"/>
        <v>396.57</v>
      </c>
      <c r="P440" cm="1">
        <f t="array" ref="P440">_xlfn.IFS(N440="USD",O440*1,N440="GBP",O440*1.27,N440="EUR",O440*1.09,N440="INR",O440*0.012,N440="N/A","N/A")</f>
        <v>396.57</v>
      </c>
      <c r="Q440" t="s">
        <v>36</v>
      </c>
      <c r="R440" t="str" cm="1">
        <f t="array" ref="R440">_xlfn.IFS(Q440="Y","Yes", Q440="Yes","Yes", Q440="N","No", Q440="No","No", Q440=1,"N/A", Q440=0,"N/A", TRUE,"")</f>
        <v>Yes</v>
      </c>
      <c r="S440">
        <f t="shared" si="54"/>
        <v>17</v>
      </c>
      <c r="T440">
        <f t="shared" si="55"/>
        <v>1</v>
      </c>
      <c r="U440" t="str" cm="1">
        <f t="array" ref="U440">_xlfn.IFS(D440&lt;40,"Young Adult",AND(D440&gt;=40,D440&lt;65),"Middle Aged", D440&gt;=65,"Elderly")</f>
        <v>Elderly</v>
      </c>
    </row>
    <row r="441" spans="1:21" x14ac:dyDescent="0.2">
      <c r="A441">
        <v>1080</v>
      </c>
      <c r="B441">
        <f t="shared" si="48"/>
        <v>440</v>
      </c>
      <c r="C441" t="s">
        <v>1308</v>
      </c>
      <c r="D441">
        <v>45</v>
      </c>
      <c r="E441" t="s">
        <v>38</v>
      </c>
      <c r="F441" t="str">
        <f t="shared" si="49"/>
        <v>Female</v>
      </c>
      <c r="G441" s="1">
        <v>45972</v>
      </c>
      <c r="H441" s="1">
        <v>45818</v>
      </c>
      <c r="I441" t="s">
        <v>1309</v>
      </c>
      <c r="J441" t="str">
        <f t="shared" si="50"/>
        <v>Mrs. Amy Miller</v>
      </c>
      <c r="K441" t="s">
        <v>13</v>
      </c>
      <c r="L441" t="str">
        <f t="shared" si="51"/>
        <v>Cardiology</v>
      </c>
      <c r="M441" t="s">
        <v>1310</v>
      </c>
      <c r="N441" t="str">
        <f t="shared" si="52"/>
        <v>INR</v>
      </c>
      <c r="O441">
        <f t="shared" si="53"/>
        <v>185.29</v>
      </c>
      <c r="P441" cm="1">
        <f t="array" ref="P441">_xlfn.IFS(N441="USD",O441*1,N441="GBP",O441*1.27,N441="EUR",O441*1.09,N441="INR",O441*0.012,N441="N/A","N/A")</f>
        <v>2.2234799999999999</v>
      </c>
      <c r="Q441">
        <v>0</v>
      </c>
      <c r="R441" t="str" cm="1">
        <f t="array" ref="R441">_xlfn.IFS(Q441="Y","Yes", Q441="Yes","Yes", Q441="N","No", Q441="No","No", Q441=1,"N/A", Q441=0,"N/A", TRUE,"")</f>
        <v>N/A</v>
      </c>
      <c r="S441">
        <f t="shared" si="54"/>
        <v>11</v>
      </c>
      <c r="T441">
        <f t="shared" si="55"/>
        <v>1</v>
      </c>
      <c r="U441" t="str" cm="1">
        <f t="array" ref="U441">_xlfn.IFS(D441&lt;40,"Young Adult",AND(D441&gt;=40,D441&lt;65),"Middle Aged", D441&gt;=65,"Elderly")</f>
        <v>Middle Aged</v>
      </c>
    </row>
    <row r="442" spans="1:21" x14ac:dyDescent="0.2">
      <c r="A442">
        <v>1026</v>
      </c>
      <c r="B442">
        <f t="shared" si="48"/>
        <v>441</v>
      </c>
      <c r="C442" t="s">
        <v>1311</v>
      </c>
      <c r="D442">
        <v>47</v>
      </c>
      <c r="E442" t="s">
        <v>38</v>
      </c>
      <c r="F442" t="str">
        <f t="shared" si="49"/>
        <v>Female</v>
      </c>
      <c r="G442" s="1">
        <v>46070</v>
      </c>
      <c r="H442" s="1">
        <v>45421</v>
      </c>
      <c r="I442" t="s">
        <v>1312</v>
      </c>
      <c r="J442" t="str">
        <f t="shared" si="50"/>
        <v>Michael Bryant</v>
      </c>
      <c r="K442" t="s">
        <v>13</v>
      </c>
      <c r="L442" t="str">
        <f t="shared" si="51"/>
        <v>Cardiology</v>
      </c>
      <c r="M442" t="s">
        <v>1313</v>
      </c>
      <c r="N442" t="str">
        <f t="shared" si="52"/>
        <v>USD</v>
      </c>
      <c r="O442">
        <f t="shared" si="53"/>
        <v>215.89</v>
      </c>
      <c r="P442" cm="1">
        <f t="array" ref="P442">_xlfn.IFS(N442="USD",O442*1,N442="GBP",O442*1.27,N442="EUR",O442*1.09,N442="INR",O442*0.012,N442="N/A","N/A")</f>
        <v>215.89</v>
      </c>
      <c r="Q442" t="s">
        <v>30</v>
      </c>
      <c r="R442" t="str" cm="1">
        <f t="array" ref="R442">_xlfn.IFS(Q442="Y","Yes", Q442="Yes","Yes", Q442="N","No", Q442="No","No", Q442=1,"N/A", Q442=0,"N/A", TRUE,"")</f>
        <v>No</v>
      </c>
      <c r="S442">
        <f t="shared" si="54"/>
        <v>10</v>
      </c>
      <c r="T442">
        <f t="shared" si="55"/>
        <v>1</v>
      </c>
      <c r="U442" t="str" cm="1">
        <f t="array" ref="U442">_xlfn.IFS(D442&lt;40,"Young Adult",AND(D442&gt;=40,D442&lt;65),"Middle Aged", D442&gt;=65,"Elderly")</f>
        <v>Middle Aged</v>
      </c>
    </row>
    <row r="443" spans="1:21" x14ac:dyDescent="0.2">
      <c r="A443">
        <v>1058</v>
      </c>
      <c r="B443">
        <f t="shared" si="48"/>
        <v>442</v>
      </c>
      <c r="C443" t="s">
        <v>1314</v>
      </c>
      <c r="D443">
        <v>88</v>
      </c>
      <c r="E443" t="s">
        <v>2937</v>
      </c>
      <c r="F443" t="str">
        <f t="shared" si="49"/>
        <v>N/A</v>
      </c>
      <c r="G443" s="1">
        <v>45949</v>
      </c>
      <c r="H443" s="1">
        <v>45612</v>
      </c>
      <c r="I443" t="s">
        <v>1315</v>
      </c>
      <c r="J443" t="str">
        <f t="shared" si="50"/>
        <v>Vanessa Ramirez</v>
      </c>
      <c r="K443" t="s">
        <v>24</v>
      </c>
      <c r="L443" t="str">
        <f t="shared" si="51"/>
        <v>Neurology</v>
      </c>
      <c r="M443" t="s">
        <v>1316</v>
      </c>
      <c r="N443" t="str">
        <f t="shared" si="52"/>
        <v>GBP</v>
      </c>
      <c r="O443">
        <f t="shared" si="53"/>
        <v>438.81</v>
      </c>
      <c r="P443" cm="1">
        <f t="array" ref="P443">_xlfn.IFS(N443="USD",O443*1,N443="GBP",O443*1.27,N443="EUR",O443*1.09,N443="INR",O443*0.012,N443="N/A","N/A")</f>
        <v>557.28870000000006</v>
      </c>
      <c r="Q443" t="s">
        <v>60</v>
      </c>
      <c r="R443" t="str" cm="1">
        <f t="array" ref="R443">_xlfn.IFS(Q443="Y","Yes", Q443="Yes","Yes", Q443="N","No", Q443="No","No", Q443=1,"N/A", Q443=0,"N/A", TRUE,"")</f>
        <v>No</v>
      </c>
      <c r="S443">
        <f t="shared" si="54"/>
        <v>17</v>
      </c>
      <c r="T443">
        <f t="shared" si="55"/>
        <v>1</v>
      </c>
      <c r="U443" t="str" cm="1">
        <f t="array" ref="U443">_xlfn.IFS(D443&lt;40,"Young Adult",AND(D443&gt;=40,D443&lt;65),"Middle Aged", D443&gt;=65,"Elderly")</f>
        <v>Elderly</v>
      </c>
    </row>
    <row r="444" spans="1:21" x14ac:dyDescent="0.2">
      <c r="A444">
        <v>1065</v>
      </c>
      <c r="B444">
        <f t="shared" si="48"/>
        <v>443</v>
      </c>
      <c r="C444" t="s">
        <v>1317</v>
      </c>
      <c r="D444">
        <v>28</v>
      </c>
      <c r="E444" t="s">
        <v>51</v>
      </c>
      <c r="F444" t="str">
        <f t="shared" si="49"/>
        <v>Male</v>
      </c>
      <c r="G444" s="1">
        <v>45893</v>
      </c>
      <c r="H444" s="1">
        <v>45867</v>
      </c>
      <c r="I444" t="s">
        <v>1318</v>
      </c>
      <c r="J444" t="str">
        <f t="shared" si="50"/>
        <v>Nancy Young</v>
      </c>
      <c r="K444" t="s">
        <v>24</v>
      </c>
      <c r="L444" t="str">
        <f t="shared" si="51"/>
        <v>Neurology</v>
      </c>
      <c r="M444" t="s">
        <v>1319</v>
      </c>
      <c r="N444" t="str">
        <f t="shared" si="52"/>
        <v>EUR</v>
      </c>
      <c r="O444">
        <f t="shared" si="53"/>
        <v>231.7</v>
      </c>
      <c r="P444" cm="1">
        <f t="array" ref="P444">_xlfn.IFS(N444="USD",O444*1,N444="GBP",O444*1.27,N444="EUR",O444*1.09,N444="INR",O444*0.012,N444="N/A","N/A")</f>
        <v>252.553</v>
      </c>
      <c r="Q444">
        <v>1</v>
      </c>
      <c r="R444" t="str" cm="1">
        <f t="array" ref="R444">_xlfn.IFS(Q444="Y","Yes", Q444="Yes","Yes", Q444="N","No", Q444="No","No", Q444=1,"N/A", Q444=0,"N/A", TRUE,"")</f>
        <v>N/A</v>
      </c>
      <c r="S444">
        <f t="shared" si="54"/>
        <v>9</v>
      </c>
      <c r="T444">
        <f t="shared" si="55"/>
        <v>1</v>
      </c>
      <c r="U444" t="str" cm="1">
        <f t="array" ref="U444">_xlfn.IFS(D444&lt;40,"Young Adult",AND(D444&gt;=40,D444&lt;65),"Middle Aged", D444&gt;=65,"Elderly")</f>
        <v>Young Adult</v>
      </c>
    </row>
    <row r="445" spans="1:21" x14ac:dyDescent="0.2">
      <c r="A445">
        <v>1016</v>
      </c>
      <c r="B445">
        <f t="shared" si="48"/>
        <v>444</v>
      </c>
      <c r="C445" t="s">
        <v>1320</v>
      </c>
      <c r="D445">
        <v>42</v>
      </c>
      <c r="E445" t="s">
        <v>2937</v>
      </c>
      <c r="F445" t="str">
        <f t="shared" si="49"/>
        <v>N/A</v>
      </c>
      <c r="G445" s="1">
        <v>45966</v>
      </c>
      <c r="H445" s="1">
        <v>45507</v>
      </c>
      <c r="I445" t="s">
        <v>1321</v>
      </c>
      <c r="J445" t="str">
        <f t="shared" si="50"/>
        <v>Melinda Smith</v>
      </c>
      <c r="K445" t="s">
        <v>28</v>
      </c>
      <c r="L445" t="str">
        <f t="shared" si="51"/>
        <v>General</v>
      </c>
      <c r="N445" t="str">
        <f t="shared" si="52"/>
        <v>N/A</v>
      </c>
      <c r="O445" t="str">
        <f t="shared" si="53"/>
        <v/>
      </c>
      <c r="P445" t="str" cm="1">
        <f t="array" ref="P445">_xlfn.IFS(N445="USD",O445*1,N445="GBP",O445*1.27,N445="EUR",O445*1.09,N445="INR",O445*0.012,N445="N/A","N/A")</f>
        <v>N/A</v>
      </c>
      <c r="Q445" t="s">
        <v>20</v>
      </c>
      <c r="R445" t="str" cm="1">
        <f t="array" ref="R445">_xlfn.IFS(Q445="Y","Yes", Q445="Yes","Yes", Q445="N","No", Q445="No","No", Q445=1,"N/A", Q445=0,"N/A", TRUE,"")</f>
        <v>Yes</v>
      </c>
      <c r="S445">
        <f t="shared" si="54"/>
        <v>15</v>
      </c>
      <c r="T445">
        <f t="shared" si="55"/>
        <v>1</v>
      </c>
      <c r="U445" t="str" cm="1">
        <f t="array" ref="U445">_xlfn.IFS(D445&lt;40,"Young Adult",AND(D445&gt;=40,D445&lt;65),"Middle Aged", D445&gt;=65,"Elderly")</f>
        <v>Middle Aged</v>
      </c>
    </row>
    <row r="446" spans="1:21" x14ac:dyDescent="0.2">
      <c r="A446">
        <v>1064</v>
      </c>
      <c r="B446">
        <f t="shared" si="48"/>
        <v>445</v>
      </c>
      <c r="C446" t="s">
        <v>1322</v>
      </c>
      <c r="D446">
        <v>27</v>
      </c>
      <c r="E446" t="s">
        <v>38</v>
      </c>
      <c r="F446" t="str">
        <f t="shared" si="49"/>
        <v>Female</v>
      </c>
      <c r="G446" s="1">
        <v>46073</v>
      </c>
      <c r="H446" s="1">
        <v>45844</v>
      </c>
      <c r="I446" t="s">
        <v>1323</v>
      </c>
      <c r="J446" t="str">
        <f t="shared" si="50"/>
        <v>Bradley Gibson</v>
      </c>
      <c r="K446" t="s">
        <v>28</v>
      </c>
      <c r="L446" t="str">
        <f t="shared" si="51"/>
        <v>General</v>
      </c>
      <c r="M446" t="s">
        <v>1324</v>
      </c>
      <c r="N446" t="str">
        <f t="shared" si="52"/>
        <v>GBP</v>
      </c>
      <c r="O446">
        <f t="shared" si="53"/>
        <v>173.85</v>
      </c>
      <c r="P446" cm="1">
        <f t="array" ref="P446">_xlfn.IFS(N446="USD",O446*1,N446="GBP",O446*1.27,N446="EUR",O446*1.09,N446="INR",O446*0.012,N446="N/A","N/A")</f>
        <v>220.7895</v>
      </c>
      <c r="Q446" t="s">
        <v>36</v>
      </c>
      <c r="R446" t="str" cm="1">
        <f t="array" ref="R446">_xlfn.IFS(Q446="Y","Yes", Q446="Yes","Yes", Q446="N","No", Q446="No","No", Q446=1,"N/A", Q446=0,"N/A", TRUE,"")</f>
        <v>Yes</v>
      </c>
      <c r="S446">
        <f t="shared" si="54"/>
        <v>5</v>
      </c>
      <c r="T446">
        <f t="shared" si="55"/>
        <v>1</v>
      </c>
      <c r="U446" t="str" cm="1">
        <f t="array" ref="U446">_xlfn.IFS(D446&lt;40,"Young Adult",AND(D446&gt;=40,D446&lt;65),"Middle Aged", D446&gt;=65,"Elderly")</f>
        <v>Young Adult</v>
      </c>
    </row>
    <row r="447" spans="1:21" x14ac:dyDescent="0.2">
      <c r="A447">
        <v>1036</v>
      </c>
      <c r="B447">
        <f t="shared" si="48"/>
        <v>446</v>
      </c>
      <c r="C447" t="s">
        <v>1325</v>
      </c>
      <c r="D447">
        <v>59</v>
      </c>
      <c r="E447" t="s">
        <v>2937</v>
      </c>
      <c r="F447" t="str">
        <f t="shared" si="49"/>
        <v>N/A</v>
      </c>
      <c r="G447" s="1">
        <v>45946</v>
      </c>
      <c r="H447" s="1">
        <v>45411</v>
      </c>
      <c r="I447" t="s">
        <v>1326</v>
      </c>
      <c r="J447" t="str">
        <f t="shared" si="50"/>
        <v>Theresa Simon</v>
      </c>
      <c r="K447" t="s">
        <v>13</v>
      </c>
      <c r="L447" t="str">
        <f t="shared" si="51"/>
        <v>Cardiology</v>
      </c>
      <c r="M447" t="s">
        <v>1327</v>
      </c>
      <c r="N447" t="str">
        <f t="shared" si="52"/>
        <v>USD</v>
      </c>
      <c r="O447">
        <f t="shared" si="53"/>
        <v>285.44</v>
      </c>
      <c r="P447" cm="1">
        <f t="array" ref="P447">_xlfn.IFS(N447="USD",O447*1,N447="GBP",O447*1.27,N447="EUR",O447*1.09,N447="INR",O447*0.012,N447="N/A","N/A")</f>
        <v>285.44</v>
      </c>
      <c r="Q447" t="s">
        <v>36</v>
      </c>
      <c r="R447" t="str" cm="1">
        <f t="array" ref="R447">_xlfn.IFS(Q447="Y","Yes", Q447="Yes","Yes", Q447="N","No", Q447="No","No", Q447=1,"N/A", Q447=0,"N/A", TRUE,"")</f>
        <v>Yes</v>
      </c>
      <c r="S447">
        <f t="shared" si="54"/>
        <v>14</v>
      </c>
      <c r="T447">
        <f t="shared" si="55"/>
        <v>1</v>
      </c>
      <c r="U447" t="str" cm="1">
        <f t="array" ref="U447">_xlfn.IFS(D447&lt;40,"Young Adult",AND(D447&gt;=40,D447&lt;65),"Middle Aged", D447&gt;=65,"Elderly")</f>
        <v>Middle Aged</v>
      </c>
    </row>
    <row r="448" spans="1:21" x14ac:dyDescent="0.2">
      <c r="A448">
        <v>1017</v>
      </c>
      <c r="B448">
        <f t="shared" si="48"/>
        <v>447</v>
      </c>
      <c r="C448" t="s">
        <v>1328</v>
      </c>
      <c r="D448">
        <v>34</v>
      </c>
      <c r="E448" t="s">
        <v>38</v>
      </c>
      <c r="F448" t="str">
        <f t="shared" si="49"/>
        <v>Female</v>
      </c>
      <c r="G448" s="1">
        <v>45858</v>
      </c>
      <c r="H448" s="1">
        <v>45791</v>
      </c>
      <c r="I448" t="s">
        <v>1329</v>
      </c>
      <c r="J448" t="str">
        <f t="shared" si="50"/>
        <v>Randy Vargas</v>
      </c>
      <c r="K448" t="s">
        <v>28</v>
      </c>
      <c r="L448" t="str">
        <f t="shared" si="51"/>
        <v>General</v>
      </c>
      <c r="M448" t="s">
        <v>1330</v>
      </c>
      <c r="N448" t="str">
        <f t="shared" si="52"/>
        <v>INR</v>
      </c>
      <c r="O448">
        <f t="shared" si="53"/>
        <v>202.92</v>
      </c>
      <c r="P448" cm="1">
        <f t="array" ref="P448">_xlfn.IFS(N448="USD",O448*1,N448="GBP",O448*1.27,N448="EUR",O448*1.09,N448="INR",O448*0.012,N448="N/A","N/A")</f>
        <v>2.4350399999999999</v>
      </c>
      <c r="Q448" t="s">
        <v>60</v>
      </c>
      <c r="R448" t="str" cm="1">
        <f t="array" ref="R448">_xlfn.IFS(Q448="Y","Yes", Q448="Yes","Yes", Q448="N","No", Q448="No","No", Q448=1,"N/A", Q448=0,"N/A", TRUE,"")</f>
        <v>No</v>
      </c>
      <c r="S448">
        <f t="shared" si="54"/>
        <v>8</v>
      </c>
      <c r="T448">
        <f t="shared" si="55"/>
        <v>1</v>
      </c>
      <c r="U448" t="str" cm="1">
        <f t="array" ref="U448">_xlfn.IFS(D448&lt;40,"Young Adult",AND(D448&gt;=40,D448&lt;65),"Middle Aged", D448&gt;=65,"Elderly")</f>
        <v>Young Adult</v>
      </c>
    </row>
    <row r="449" spans="1:21" x14ac:dyDescent="0.2">
      <c r="A449">
        <v>1005</v>
      </c>
      <c r="B449">
        <f t="shared" si="48"/>
        <v>448</v>
      </c>
      <c r="C449" t="s">
        <v>1331</v>
      </c>
      <c r="D449">
        <v>69</v>
      </c>
      <c r="E449" t="s">
        <v>71</v>
      </c>
      <c r="F449" t="str">
        <f t="shared" si="49"/>
        <v>Male</v>
      </c>
      <c r="G449" s="1">
        <v>45936</v>
      </c>
      <c r="H449" s="1">
        <v>45625</v>
      </c>
      <c r="I449" t="s">
        <v>1332</v>
      </c>
      <c r="J449" t="str">
        <f t="shared" si="50"/>
        <v>Larry Cohen</v>
      </c>
      <c r="K449" t="s">
        <v>24</v>
      </c>
      <c r="L449" t="str">
        <f t="shared" si="51"/>
        <v>Neurology</v>
      </c>
      <c r="M449" t="s">
        <v>1333</v>
      </c>
      <c r="N449" t="str">
        <f t="shared" si="52"/>
        <v>EUR</v>
      </c>
      <c r="O449">
        <f t="shared" si="53"/>
        <v>383.47</v>
      </c>
      <c r="P449" cm="1">
        <f t="array" ref="P449">_xlfn.IFS(N449="USD",O449*1,N449="GBP",O449*1.27,N449="EUR",O449*1.09,N449="INR",O449*0.012,N449="N/A","N/A")</f>
        <v>417.98230000000007</v>
      </c>
      <c r="Q449" t="s">
        <v>36</v>
      </c>
      <c r="R449" t="str" cm="1">
        <f t="array" ref="R449">_xlfn.IFS(Q449="Y","Yes", Q449="Yes","Yes", Q449="N","No", Q449="No","No", Q449=1,"N/A", Q449=0,"N/A", TRUE,"")</f>
        <v>Yes</v>
      </c>
      <c r="S449">
        <f t="shared" si="54"/>
        <v>13</v>
      </c>
      <c r="T449">
        <f t="shared" si="55"/>
        <v>1</v>
      </c>
      <c r="U449" t="str" cm="1">
        <f t="array" ref="U449">_xlfn.IFS(D449&lt;40,"Young Adult",AND(D449&gt;=40,D449&lt;65),"Middle Aged", D449&gt;=65,"Elderly")</f>
        <v>Elderly</v>
      </c>
    </row>
    <row r="450" spans="1:21" x14ac:dyDescent="0.2">
      <c r="A450">
        <v>1086</v>
      </c>
      <c r="B450">
        <f t="shared" si="48"/>
        <v>449</v>
      </c>
      <c r="C450" t="s">
        <v>1334</v>
      </c>
      <c r="D450">
        <v>84</v>
      </c>
      <c r="E450" t="s">
        <v>2937</v>
      </c>
      <c r="F450" t="str">
        <f t="shared" si="49"/>
        <v>N/A</v>
      </c>
      <c r="G450" s="1">
        <v>46015</v>
      </c>
      <c r="H450" s="1">
        <v>45534</v>
      </c>
      <c r="I450" t="s">
        <v>1335</v>
      </c>
      <c r="J450" t="str">
        <f t="shared" si="50"/>
        <v>Donald Garcia</v>
      </c>
      <c r="K450" t="s">
        <v>28</v>
      </c>
      <c r="L450" t="str">
        <f t="shared" si="51"/>
        <v>General</v>
      </c>
      <c r="M450" t="s">
        <v>1336</v>
      </c>
      <c r="N450" t="str">
        <f t="shared" si="52"/>
        <v>GBP</v>
      </c>
      <c r="O450">
        <f t="shared" si="53"/>
        <v>302.66000000000003</v>
      </c>
      <c r="P450" cm="1">
        <f t="array" ref="P450">_xlfn.IFS(N450="USD",O450*1,N450="GBP",O450*1.27,N450="EUR",O450*1.09,N450="INR",O450*0.012,N450="N/A","N/A")</f>
        <v>384.37820000000005</v>
      </c>
      <c r="Q450" t="s">
        <v>20</v>
      </c>
      <c r="R450" t="str" cm="1">
        <f t="array" ref="R450">_xlfn.IFS(Q450="Y","Yes", Q450="Yes","Yes", Q450="N","No", Q450="No","No", Q450=1,"N/A", Q450=0,"N/A", TRUE,"")</f>
        <v>Yes</v>
      </c>
      <c r="S450">
        <f t="shared" si="54"/>
        <v>9</v>
      </c>
      <c r="T450">
        <f t="shared" si="55"/>
        <v>1</v>
      </c>
      <c r="U450" t="str" cm="1">
        <f t="array" ref="U450">_xlfn.IFS(D450&lt;40,"Young Adult",AND(D450&gt;=40,D450&lt;65),"Middle Aged", D450&gt;=65,"Elderly")</f>
        <v>Elderly</v>
      </c>
    </row>
    <row r="451" spans="1:21" x14ac:dyDescent="0.2">
      <c r="A451">
        <v>1095</v>
      </c>
      <c r="B451">
        <f t="shared" ref="B451:B514" si="56">ROW()-1</f>
        <v>450</v>
      </c>
      <c r="C451" t="s">
        <v>1337</v>
      </c>
      <c r="D451">
        <v>37</v>
      </c>
      <c r="E451" t="s">
        <v>2937</v>
      </c>
      <c r="F451" t="str">
        <f t="shared" ref="F451:F514" si="57">IF(E451="male","Male",IF(E451="female","Female",IF(E451="F","Female",IF(E451="M","Male",IF(E451="N/A","N/A")))))</f>
        <v>N/A</v>
      </c>
      <c r="G451" s="1">
        <v>45914</v>
      </c>
      <c r="H451" s="1">
        <v>45432</v>
      </c>
      <c r="I451" t="s">
        <v>1338</v>
      </c>
      <c r="J451" t="str">
        <f t="shared" ref="J451:J514" si="58">PROPER(I451)</f>
        <v>Carlos Morton</v>
      </c>
      <c r="K451" t="s">
        <v>18</v>
      </c>
      <c r="L451" t="str">
        <f t="shared" ref="L451:L514" si="59">PROPER(K451)</f>
        <v>Orthopedics</v>
      </c>
      <c r="M451" t="s">
        <v>1339</v>
      </c>
      <c r="N451" t="str">
        <f t="shared" ref="N451:N514" si="60">IF(LEFT(M451,1)="$","USD",IF(LEFT(M451,2)="Rs","INR",IF(LEFT(M451,2)="¬£","GBP",IF(LEFT(M451,3)="‚Ç¨","EUR","N/A"))))</f>
        <v>GBP</v>
      </c>
      <c r="O451">
        <f t="shared" ref="O451:O514" si="61">IFERROR(VALUE(SUBSTITUTE(SUBSTITUTE(SUBSTITUTE(SUBSTITUTE(M451,"$",""), "Rs",""),"¬£",""),"‚Ç¨","")), "")</f>
        <v>472.57</v>
      </c>
      <c r="P451" cm="1">
        <f t="array" ref="P451">_xlfn.IFS(N451="USD",O451*1,N451="GBP",O451*1.27,N451="EUR",O451*1.09,N451="INR",O451*0.012,N451="N/A","N/A")</f>
        <v>600.16390000000001</v>
      </c>
      <c r="Q451" t="s">
        <v>36</v>
      </c>
      <c r="R451" t="str" cm="1">
        <f t="array" ref="R451">_xlfn.IFS(Q451="Y","Yes", Q451="Yes","Yes", Q451="N","No", Q451="No","No", Q451=1,"N/A", Q451=0,"N/A", TRUE,"")</f>
        <v>Yes</v>
      </c>
      <c r="S451">
        <f t="shared" ref="S451:S514" si="62">COUNTIF($A$2:$A$1001, A451)</f>
        <v>12</v>
      </c>
      <c r="T451">
        <f t="shared" ref="T451:T514" si="63">COUNTIFS($A$2:$A$1001, A451, $C$2:$C$1001, C451)</f>
        <v>1</v>
      </c>
      <c r="U451" t="str" cm="1">
        <f t="array" ref="U451">_xlfn.IFS(D451&lt;40,"Young Adult",AND(D451&gt;=40,D451&lt;65),"Middle Aged", D451&gt;=65,"Elderly")</f>
        <v>Young Adult</v>
      </c>
    </row>
    <row r="452" spans="1:21" x14ac:dyDescent="0.2">
      <c r="A452">
        <v>1030</v>
      </c>
      <c r="B452">
        <f t="shared" si="56"/>
        <v>451</v>
      </c>
      <c r="C452" t="s">
        <v>1340</v>
      </c>
      <c r="D452">
        <v>25</v>
      </c>
      <c r="E452" t="s">
        <v>16</v>
      </c>
      <c r="F452" t="str">
        <f t="shared" si="57"/>
        <v>Female</v>
      </c>
      <c r="G452" s="1">
        <v>45771</v>
      </c>
      <c r="H452" s="1">
        <v>45396</v>
      </c>
      <c r="I452" t="s">
        <v>1341</v>
      </c>
      <c r="J452" t="str">
        <f t="shared" si="58"/>
        <v>Adrienne Roberts</v>
      </c>
      <c r="K452" t="s">
        <v>18</v>
      </c>
      <c r="L452" t="str">
        <f t="shared" si="59"/>
        <v>Orthopedics</v>
      </c>
      <c r="M452" t="s">
        <v>1342</v>
      </c>
      <c r="N452" t="str">
        <f t="shared" si="60"/>
        <v>EUR</v>
      </c>
      <c r="O452">
        <f t="shared" si="61"/>
        <v>417.21</v>
      </c>
      <c r="P452" cm="1">
        <f t="array" ref="P452">_xlfn.IFS(N452="USD",O452*1,N452="GBP",O452*1.27,N452="EUR",O452*1.09,N452="INR",O452*0.012,N452="N/A","N/A")</f>
        <v>454.75889999999998</v>
      </c>
      <c r="Q452" t="s">
        <v>30</v>
      </c>
      <c r="R452" t="str" cm="1">
        <f t="array" ref="R452">_xlfn.IFS(Q452="Y","Yes", Q452="Yes","Yes", Q452="N","No", Q452="No","No", Q452=1,"N/A", Q452=0,"N/A", TRUE,"")</f>
        <v>No</v>
      </c>
      <c r="S452">
        <f t="shared" si="62"/>
        <v>11</v>
      </c>
      <c r="T452">
        <f t="shared" si="63"/>
        <v>1</v>
      </c>
      <c r="U452" t="str" cm="1">
        <f t="array" ref="U452">_xlfn.IFS(D452&lt;40,"Young Adult",AND(D452&gt;=40,D452&lt;65),"Middle Aged", D452&gt;=65,"Elderly")</f>
        <v>Young Adult</v>
      </c>
    </row>
    <row r="453" spans="1:21" x14ac:dyDescent="0.2">
      <c r="A453">
        <v>1059</v>
      </c>
      <c r="B453">
        <f t="shared" si="56"/>
        <v>452</v>
      </c>
      <c r="C453" t="s">
        <v>1343</v>
      </c>
      <c r="D453">
        <v>84</v>
      </c>
      <c r="E453" t="s">
        <v>38</v>
      </c>
      <c r="F453" t="str">
        <f t="shared" si="57"/>
        <v>Female</v>
      </c>
      <c r="G453" s="1">
        <v>46097</v>
      </c>
      <c r="H453" s="1">
        <v>45630</v>
      </c>
      <c r="I453" t="s">
        <v>1344</v>
      </c>
      <c r="J453" t="str">
        <f t="shared" si="58"/>
        <v>Robert Burton</v>
      </c>
      <c r="K453" t="s">
        <v>24</v>
      </c>
      <c r="L453" t="str">
        <f t="shared" si="59"/>
        <v>Neurology</v>
      </c>
      <c r="M453" t="s">
        <v>1345</v>
      </c>
      <c r="N453" t="str">
        <f t="shared" si="60"/>
        <v>USD</v>
      </c>
      <c r="O453">
        <f t="shared" si="61"/>
        <v>244.68</v>
      </c>
      <c r="P453" cm="1">
        <f t="array" ref="P453">_xlfn.IFS(N453="USD",O453*1,N453="GBP",O453*1.27,N453="EUR",O453*1.09,N453="INR",O453*0.012,N453="N/A","N/A")</f>
        <v>244.68</v>
      </c>
      <c r="Q453" t="s">
        <v>36</v>
      </c>
      <c r="R453" t="str" cm="1">
        <f t="array" ref="R453">_xlfn.IFS(Q453="Y","Yes", Q453="Yes","Yes", Q453="N","No", Q453="No","No", Q453=1,"N/A", Q453=0,"N/A", TRUE,"")</f>
        <v>Yes</v>
      </c>
      <c r="S453">
        <f t="shared" si="62"/>
        <v>13</v>
      </c>
      <c r="T453">
        <f t="shared" si="63"/>
        <v>1</v>
      </c>
      <c r="U453" t="str" cm="1">
        <f t="array" ref="U453">_xlfn.IFS(D453&lt;40,"Young Adult",AND(D453&gt;=40,D453&lt;65),"Middle Aged", D453&gt;=65,"Elderly")</f>
        <v>Elderly</v>
      </c>
    </row>
    <row r="454" spans="1:21" x14ac:dyDescent="0.2">
      <c r="A454">
        <v>1012</v>
      </c>
      <c r="B454">
        <f t="shared" si="56"/>
        <v>453</v>
      </c>
      <c r="C454" t="s">
        <v>1346</v>
      </c>
      <c r="D454">
        <v>30</v>
      </c>
      <c r="E454" t="s">
        <v>2937</v>
      </c>
      <c r="F454" t="str">
        <f t="shared" si="57"/>
        <v>N/A</v>
      </c>
      <c r="G454" s="1">
        <v>46030</v>
      </c>
      <c r="H454" s="1">
        <v>45888</v>
      </c>
      <c r="I454" t="s">
        <v>1347</v>
      </c>
      <c r="J454" t="str">
        <f t="shared" si="58"/>
        <v>Mark Hill</v>
      </c>
      <c r="K454" t="s">
        <v>13</v>
      </c>
      <c r="L454" t="str">
        <f t="shared" si="59"/>
        <v>Cardiology</v>
      </c>
      <c r="M454" t="s">
        <v>1348</v>
      </c>
      <c r="N454" t="str">
        <f t="shared" si="60"/>
        <v>USD</v>
      </c>
      <c r="O454">
        <f t="shared" si="61"/>
        <v>70.7</v>
      </c>
      <c r="P454" cm="1">
        <f t="array" ref="P454">_xlfn.IFS(N454="USD",O454*1,N454="GBP",O454*1.27,N454="EUR",O454*1.09,N454="INR",O454*0.012,N454="N/A","N/A")</f>
        <v>70.7</v>
      </c>
      <c r="Q454" t="s">
        <v>20</v>
      </c>
      <c r="R454" t="str" cm="1">
        <f t="array" ref="R454">_xlfn.IFS(Q454="Y","Yes", Q454="Yes","Yes", Q454="N","No", Q454="No","No", Q454=1,"N/A", Q454=0,"N/A", TRUE,"")</f>
        <v>Yes</v>
      </c>
      <c r="S454">
        <f t="shared" si="62"/>
        <v>9</v>
      </c>
      <c r="T454">
        <f t="shared" si="63"/>
        <v>1</v>
      </c>
      <c r="U454" t="str" cm="1">
        <f t="array" ref="U454">_xlfn.IFS(D454&lt;40,"Young Adult",AND(D454&gt;=40,D454&lt;65),"Middle Aged", D454&gt;=65,"Elderly")</f>
        <v>Young Adult</v>
      </c>
    </row>
    <row r="455" spans="1:21" x14ac:dyDescent="0.2">
      <c r="A455">
        <v>1074</v>
      </c>
      <c r="B455">
        <f t="shared" si="56"/>
        <v>454</v>
      </c>
      <c r="C455" t="s">
        <v>1349</v>
      </c>
      <c r="D455">
        <v>64</v>
      </c>
      <c r="E455" t="s">
        <v>51</v>
      </c>
      <c r="F455" t="str">
        <f t="shared" si="57"/>
        <v>Male</v>
      </c>
      <c r="G455" s="1">
        <v>45832</v>
      </c>
      <c r="H455" s="1">
        <v>45571</v>
      </c>
      <c r="I455" t="s">
        <v>1350</v>
      </c>
      <c r="J455" t="str">
        <f t="shared" si="58"/>
        <v>Karla Baker</v>
      </c>
      <c r="K455" t="s">
        <v>28</v>
      </c>
      <c r="L455" t="str">
        <f t="shared" si="59"/>
        <v>General</v>
      </c>
      <c r="M455" t="s">
        <v>1351</v>
      </c>
      <c r="N455" t="str">
        <f t="shared" si="60"/>
        <v>EUR</v>
      </c>
      <c r="O455">
        <f t="shared" si="61"/>
        <v>386.37</v>
      </c>
      <c r="P455" cm="1">
        <f t="array" ref="P455">_xlfn.IFS(N455="USD",O455*1,N455="GBP",O455*1.27,N455="EUR",O455*1.09,N455="INR",O455*0.012,N455="N/A","N/A")</f>
        <v>421.14330000000001</v>
      </c>
      <c r="Q455" t="s">
        <v>30</v>
      </c>
      <c r="R455" t="str" cm="1">
        <f t="array" ref="R455">_xlfn.IFS(Q455="Y","Yes", Q455="Yes","Yes", Q455="N","No", Q455="No","No", Q455=1,"N/A", Q455=0,"N/A", TRUE,"")</f>
        <v>No</v>
      </c>
      <c r="S455">
        <f t="shared" si="62"/>
        <v>17</v>
      </c>
      <c r="T455">
        <f t="shared" si="63"/>
        <v>1</v>
      </c>
      <c r="U455" t="str" cm="1">
        <f t="array" ref="U455">_xlfn.IFS(D455&lt;40,"Young Adult",AND(D455&gt;=40,D455&lt;65),"Middle Aged", D455&gt;=65,"Elderly")</f>
        <v>Middle Aged</v>
      </c>
    </row>
    <row r="456" spans="1:21" x14ac:dyDescent="0.2">
      <c r="A456">
        <v>1082</v>
      </c>
      <c r="B456">
        <f t="shared" si="56"/>
        <v>455</v>
      </c>
      <c r="C456" t="s">
        <v>1352</v>
      </c>
      <c r="D456">
        <v>33</v>
      </c>
      <c r="E456" t="s">
        <v>71</v>
      </c>
      <c r="F456" t="str">
        <f t="shared" si="57"/>
        <v>Male</v>
      </c>
      <c r="G456" s="1">
        <v>45819</v>
      </c>
      <c r="H456" s="1">
        <v>45707</v>
      </c>
      <c r="I456" t="s">
        <v>1353</v>
      </c>
      <c r="J456" t="str">
        <f t="shared" si="58"/>
        <v>Jasmin Holmes</v>
      </c>
      <c r="K456" t="s">
        <v>24</v>
      </c>
      <c r="L456" t="str">
        <f t="shared" si="59"/>
        <v>Neurology</v>
      </c>
      <c r="M456" t="s">
        <v>1354</v>
      </c>
      <c r="N456" t="str">
        <f t="shared" si="60"/>
        <v>USD</v>
      </c>
      <c r="O456">
        <f t="shared" si="61"/>
        <v>387.75</v>
      </c>
      <c r="P456" cm="1">
        <f t="array" ref="P456">_xlfn.IFS(N456="USD",O456*1,N456="GBP",O456*1.27,N456="EUR",O456*1.09,N456="INR",O456*0.012,N456="N/A","N/A")</f>
        <v>387.75</v>
      </c>
      <c r="Q456" t="s">
        <v>36</v>
      </c>
      <c r="R456" t="str" cm="1">
        <f t="array" ref="R456">_xlfn.IFS(Q456="Y","Yes", Q456="Yes","Yes", Q456="N","No", Q456="No","No", Q456=1,"N/A", Q456=0,"N/A", TRUE,"")</f>
        <v>Yes</v>
      </c>
      <c r="S456">
        <f t="shared" si="62"/>
        <v>14</v>
      </c>
      <c r="T456">
        <f t="shared" si="63"/>
        <v>1</v>
      </c>
      <c r="U456" t="str" cm="1">
        <f t="array" ref="U456">_xlfn.IFS(D456&lt;40,"Young Adult",AND(D456&gt;=40,D456&lt;65),"Middle Aged", D456&gt;=65,"Elderly")</f>
        <v>Young Adult</v>
      </c>
    </row>
    <row r="457" spans="1:21" x14ac:dyDescent="0.2">
      <c r="A457">
        <v>1009</v>
      </c>
      <c r="B457">
        <f t="shared" si="56"/>
        <v>456</v>
      </c>
      <c r="C457" t="s">
        <v>1355</v>
      </c>
      <c r="D457">
        <v>63</v>
      </c>
      <c r="E457" t="s">
        <v>71</v>
      </c>
      <c r="F457" t="str">
        <f t="shared" si="57"/>
        <v>Male</v>
      </c>
      <c r="G457" s="1">
        <v>46070</v>
      </c>
      <c r="H457" s="1">
        <v>46033</v>
      </c>
      <c r="I457" t="s">
        <v>1356</v>
      </c>
      <c r="J457" t="str">
        <f t="shared" si="58"/>
        <v>Margaret Montoya</v>
      </c>
      <c r="K457" t="s">
        <v>13</v>
      </c>
      <c r="L457" t="str">
        <f t="shared" si="59"/>
        <v>Cardiology</v>
      </c>
      <c r="M457" t="s">
        <v>1357</v>
      </c>
      <c r="N457" t="str">
        <f t="shared" si="60"/>
        <v>INR</v>
      </c>
      <c r="O457">
        <f t="shared" si="61"/>
        <v>176.68</v>
      </c>
      <c r="P457" cm="1">
        <f t="array" ref="P457">_xlfn.IFS(N457="USD",O457*1,N457="GBP",O457*1.27,N457="EUR",O457*1.09,N457="INR",O457*0.012,N457="N/A","N/A")</f>
        <v>2.1201600000000003</v>
      </c>
      <c r="Q457" t="s">
        <v>60</v>
      </c>
      <c r="R457" t="str" cm="1">
        <f t="array" ref="R457">_xlfn.IFS(Q457="Y","Yes", Q457="Yes","Yes", Q457="N","No", Q457="No","No", Q457=1,"N/A", Q457=0,"N/A", TRUE,"")</f>
        <v>No</v>
      </c>
      <c r="S457">
        <f t="shared" si="62"/>
        <v>9</v>
      </c>
      <c r="T457">
        <f t="shared" si="63"/>
        <v>1</v>
      </c>
      <c r="U457" t="str" cm="1">
        <f t="array" ref="U457">_xlfn.IFS(D457&lt;40,"Young Adult",AND(D457&gt;=40,D457&lt;65),"Middle Aged", D457&gt;=65,"Elderly")</f>
        <v>Middle Aged</v>
      </c>
    </row>
    <row r="458" spans="1:21" x14ac:dyDescent="0.2">
      <c r="A458">
        <v>1091</v>
      </c>
      <c r="B458">
        <f t="shared" si="56"/>
        <v>457</v>
      </c>
      <c r="C458" t="s">
        <v>1358</v>
      </c>
      <c r="D458">
        <v>86</v>
      </c>
      <c r="E458" t="s">
        <v>51</v>
      </c>
      <c r="F458" t="str">
        <f t="shared" si="57"/>
        <v>Male</v>
      </c>
      <c r="G458" s="1">
        <v>46014</v>
      </c>
      <c r="H458" s="1">
        <v>45620</v>
      </c>
      <c r="I458" t="s">
        <v>1359</v>
      </c>
      <c r="J458" t="str">
        <f t="shared" si="58"/>
        <v>Richard Torres</v>
      </c>
      <c r="K458" t="s">
        <v>28</v>
      </c>
      <c r="L458" t="str">
        <f t="shared" si="59"/>
        <v>General</v>
      </c>
      <c r="M458" t="s">
        <v>1360</v>
      </c>
      <c r="N458" t="str">
        <f t="shared" si="60"/>
        <v>INR</v>
      </c>
      <c r="O458">
        <f t="shared" si="61"/>
        <v>491.64</v>
      </c>
      <c r="P458" cm="1">
        <f t="array" ref="P458">_xlfn.IFS(N458="USD",O458*1,N458="GBP",O458*1.27,N458="EUR",O458*1.09,N458="INR",O458*0.012,N458="N/A","N/A")</f>
        <v>5.89968</v>
      </c>
      <c r="Q458">
        <v>0</v>
      </c>
      <c r="R458" t="str" cm="1">
        <f t="array" ref="R458">_xlfn.IFS(Q458="Y","Yes", Q458="Yes","Yes", Q458="N","No", Q458="No","No", Q458=1,"N/A", Q458=0,"N/A", TRUE,"")</f>
        <v>N/A</v>
      </c>
      <c r="S458">
        <f t="shared" si="62"/>
        <v>9</v>
      </c>
      <c r="T458">
        <f t="shared" si="63"/>
        <v>1</v>
      </c>
      <c r="U458" t="str" cm="1">
        <f t="array" ref="U458">_xlfn.IFS(D458&lt;40,"Young Adult",AND(D458&gt;=40,D458&lt;65),"Middle Aged", D458&gt;=65,"Elderly")</f>
        <v>Elderly</v>
      </c>
    </row>
    <row r="459" spans="1:21" x14ac:dyDescent="0.2">
      <c r="A459">
        <v>1038</v>
      </c>
      <c r="B459">
        <f t="shared" si="56"/>
        <v>458</v>
      </c>
      <c r="C459" t="s">
        <v>1361</v>
      </c>
      <c r="D459">
        <v>54</v>
      </c>
      <c r="E459" t="s">
        <v>2937</v>
      </c>
      <c r="F459" t="str">
        <f t="shared" si="57"/>
        <v>N/A</v>
      </c>
      <c r="G459" s="1">
        <v>45824</v>
      </c>
      <c r="H459" s="1">
        <v>45771</v>
      </c>
      <c r="I459" t="s">
        <v>1362</v>
      </c>
      <c r="J459" t="str">
        <f t="shared" si="58"/>
        <v>Jacob Hobbs</v>
      </c>
      <c r="K459" t="s">
        <v>28</v>
      </c>
      <c r="L459" t="str">
        <f t="shared" si="59"/>
        <v>General</v>
      </c>
      <c r="M459" t="s">
        <v>1363</v>
      </c>
      <c r="N459" t="str">
        <f t="shared" si="60"/>
        <v>USD</v>
      </c>
      <c r="O459">
        <f t="shared" si="61"/>
        <v>325.91000000000003</v>
      </c>
      <c r="P459" cm="1">
        <f t="array" ref="P459">_xlfn.IFS(N459="USD",O459*1,N459="GBP",O459*1.27,N459="EUR",O459*1.09,N459="INR",O459*0.012,N459="N/A","N/A")</f>
        <v>325.91000000000003</v>
      </c>
      <c r="Q459">
        <v>0</v>
      </c>
      <c r="R459" t="str" cm="1">
        <f t="array" ref="R459">_xlfn.IFS(Q459="Y","Yes", Q459="Yes","Yes", Q459="N","No", Q459="No","No", Q459=1,"N/A", Q459=0,"N/A", TRUE,"")</f>
        <v>N/A</v>
      </c>
      <c r="S459">
        <f t="shared" si="62"/>
        <v>10</v>
      </c>
      <c r="T459">
        <f t="shared" si="63"/>
        <v>1</v>
      </c>
      <c r="U459" t="str" cm="1">
        <f t="array" ref="U459">_xlfn.IFS(D459&lt;40,"Young Adult",AND(D459&gt;=40,D459&lt;65),"Middle Aged", D459&gt;=65,"Elderly")</f>
        <v>Middle Aged</v>
      </c>
    </row>
    <row r="460" spans="1:21" x14ac:dyDescent="0.2">
      <c r="A460">
        <v>1037</v>
      </c>
      <c r="B460">
        <f t="shared" si="56"/>
        <v>459</v>
      </c>
      <c r="C460" t="s">
        <v>1364</v>
      </c>
      <c r="D460">
        <v>52</v>
      </c>
      <c r="E460" t="s">
        <v>2937</v>
      </c>
      <c r="F460" t="str">
        <f t="shared" si="57"/>
        <v>N/A</v>
      </c>
      <c r="G460" s="1">
        <v>45997</v>
      </c>
      <c r="H460" s="1">
        <v>45676</v>
      </c>
      <c r="I460" t="s">
        <v>1365</v>
      </c>
      <c r="J460" t="str">
        <f t="shared" si="58"/>
        <v>Marc Copeland</v>
      </c>
      <c r="K460" t="s">
        <v>28</v>
      </c>
      <c r="L460" t="str">
        <f t="shared" si="59"/>
        <v>General</v>
      </c>
      <c r="N460" t="str">
        <f t="shared" si="60"/>
        <v>N/A</v>
      </c>
      <c r="O460" t="str">
        <f t="shared" si="61"/>
        <v/>
      </c>
      <c r="P460" t="str" cm="1">
        <f t="array" ref="P460">_xlfn.IFS(N460="USD",O460*1,N460="GBP",O460*1.27,N460="EUR",O460*1.09,N460="INR",O460*0.012,N460="N/A","N/A")</f>
        <v>N/A</v>
      </c>
      <c r="Q460" t="s">
        <v>60</v>
      </c>
      <c r="R460" t="str" cm="1">
        <f t="array" ref="R460">_xlfn.IFS(Q460="Y","Yes", Q460="Yes","Yes", Q460="N","No", Q460="No","No", Q460=1,"N/A", Q460=0,"N/A", TRUE,"")</f>
        <v>No</v>
      </c>
      <c r="S460">
        <f t="shared" si="62"/>
        <v>5</v>
      </c>
      <c r="T460">
        <f t="shared" si="63"/>
        <v>1</v>
      </c>
      <c r="U460" t="str" cm="1">
        <f t="array" ref="U460">_xlfn.IFS(D460&lt;40,"Young Adult",AND(D460&gt;=40,D460&lt;65),"Middle Aged", D460&gt;=65,"Elderly")</f>
        <v>Middle Aged</v>
      </c>
    </row>
    <row r="461" spans="1:21" x14ac:dyDescent="0.2">
      <c r="A461">
        <v>1053</v>
      </c>
      <c r="B461">
        <f t="shared" si="56"/>
        <v>460</v>
      </c>
      <c r="C461" t="s">
        <v>1036</v>
      </c>
      <c r="D461">
        <v>30</v>
      </c>
      <c r="E461" t="s">
        <v>38</v>
      </c>
      <c r="F461" t="str">
        <f t="shared" si="57"/>
        <v>Female</v>
      </c>
      <c r="G461" s="1">
        <v>46022</v>
      </c>
      <c r="H461" s="1">
        <v>45975</v>
      </c>
      <c r="I461" t="s">
        <v>1366</v>
      </c>
      <c r="J461" t="str">
        <f t="shared" si="58"/>
        <v>Tamara Smith</v>
      </c>
      <c r="K461" t="s">
        <v>13</v>
      </c>
      <c r="L461" t="str">
        <f t="shared" si="59"/>
        <v>Cardiology</v>
      </c>
      <c r="M461" t="s">
        <v>1367</v>
      </c>
      <c r="N461" t="str">
        <f t="shared" si="60"/>
        <v>USD</v>
      </c>
      <c r="O461">
        <f t="shared" si="61"/>
        <v>280.20999999999998</v>
      </c>
      <c r="P461" cm="1">
        <f t="array" ref="P461">_xlfn.IFS(N461="USD",O461*1,N461="GBP",O461*1.27,N461="EUR",O461*1.09,N461="INR",O461*0.012,N461="N/A","N/A")</f>
        <v>280.20999999999998</v>
      </c>
      <c r="Q461" t="s">
        <v>20</v>
      </c>
      <c r="R461" t="str" cm="1">
        <f t="array" ref="R461">_xlfn.IFS(Q461="Y","Yes", Q461="Yes","Yes", Q461="N","No", Q461="No","No", Q461=1,"N/A", Q461=0,"N/A", TRUE,"")</f>
        <v>Yes</v>
      </c>
      <c r="S461">
        <f t="shared" si="62"/>
        <v>14</v>
      </c>
      <c r="T461">
        <f t="shared" si="63"/>
        <v>1</v>
      </c>
      <c r="U461" t="str" cm="1">
        <f t="array" ref="U461">_xlfn.IFS(D461&lt;40,"Young Adult",AND(D461&gt;=40,D461&lt;65),"Middle Aged", D461&gt;=65,"Elderly")</f>
        <v>Young Adult</v>
      </c>
    </row>
    <row r="462" spans="1:21" x14ac:dyDescent="0.2">
      <c r="A462">
        <v>1043</v>
      </c>
      <c r="B462">
        <f t="shared" si="56"/>
        <v>461</v>
      </c>
      <c r="C462" t="s">
        <v>1368</v>
      </c>
      <c r="D462">
        <v>28</v>
      </c>
      <c r="E462" t="s">
        <v>2937</v>
      </c>
      <c r="F462" t="str">
        <f t="shared" si="57"/>
        <v>N/A</v>
      </c>
      <c r="G462" s="1">
        <v>45927</v>
      </c>
      <c r="H462" s="1">
        <v>45827</v>
      </c>
      <c r="I462" t="s">
        <v>1369</v>
      </c>
      <c r="J462" t="str">
        <f t="shared" si="58"/>
        <v>Thomas Wallace</v>
      </c>
      <c r="K462" t="s">
        <v>28</v>
      </c>
      <c r="L462" t="str">
        <f t="shared" si="59"/>
        <v>General</v>
      </c>
      <c r="M462" t="s">
        <v>1370</v>
      </c>
      <c r="N462" t="str">
        <f t="shared" si="60"/>
        <v>INR</v>
      </c>
      <c r="O462">
        <f t="shared" si="61"/>
        <v>88.29</v>
      </c>
      <c r="P462" cm="1">
        <f t="array" ref="P462">_xlfn.IFS(N462="USD",O462*1,N462="GBP",O462*1.27,N462="EUR",O462*1.09,N462="INR",O462*0.012,N462="N/A","N/A")</f>
        <v>1.0594800000000002</v>
      </c>
      <c r="Q462">
        <v>0</v>
      </c>
      <c r="R462" t="str" cm="1">
        <f t="array" ref="R462">_xlfn.IFS(Q462="Y","Yes", Q462="Yes","Yes", Q462="N","No", Q462="No","No", Q462=1,"N/A", Q462=0,"N/A", TRUE,"")</f>
        <v>N/A</v>
      </c>
      <c r="S462">
        <f t="shared" si="62"/>
        <v>12</v>
      </c>
      <c r="T462">
        <f t="shared" si="63"/>
        <v>1</v>
      </c>
      <c r="U462" t="str" cm="1">
        <f t="array" ref="U462">_xlfn.IFS(D462&lt;40,"Young Adult",AND(D462&gt;=40,D462&lt;65),"Middle Aged", D462&gt;=65,"Elderly")</f>
        <v>Young Adult</v>
      </c>
    </row>
    <row r="463" spans="1:21" x14ac:dyDescent="0.2">
      <c r="A463">
        <v>1021</v>
      </c>
      <c r="B463">
        <f t="shared" si="56"/>
        <v>462</v>
      </c>
      <c r="C463" t="s">
        <v>1371</v>
      </c>
      <c r="D463">
        <v>53</v>
      </c>
      <c r="E463" t="s">
        <v>71</v>
      </c>
      <c r="F463" t="str">
        <f t="shared" si="57"/>
        <v>Male</v>
      </c>
      <c r="G463" s="1">
        <v>46069</v>
      </c>
      <c r="H463" s="1">
        <v>45751</v>
      </c>
      <c r="I463" t="s">
        <v>1372</v>
      </c>
      <c r="J463" t="str">
        <f t="shared" si="58"/>
        <v>Justin Taylor</v>
      </c>
      <c r="K463" t="s">
        <v>24</v>
      </c>
      <c r="L463" t="str">
        <f t="shared" si="59"/>
        <v>Neurology</v>
      </c>
      <c r="M463" t="s">
        <v>1373</v>
      </c>
      <c r="N463" t="str">
        <f t="shared" si="60"/>
        <v>USD</v>
      </c>
      <c r="O463">
        <f t="shared" si="61"/>
        <v>443.75</v>
      </c>
      <c r="P463" cm="1">
        <f t="array" ref="P463">_xlfn.IFS(N463="USD",O463*1,N463="GBP",O463*1.27,N463="EUR",O463*1.09,N463="INR",O463*0.012,N463="N/A","N/A")</f>
        <v>443.75</v>
      </c>
      <c r="Q463" t="s">
        <v>20</v>
      </c>
      <c r="R463" t="str" cm="1">
        <f t="array" ref="R463">_xlfn.IFS(Q463="Y","Yes", Q463="Yes","Yes", Q463="N","No", Q463="No","No", Q463=1,"N/A", Q463=0,"N/A", TRUE,"")</f>
        <v>Yes</v>
      </c>
      <c r="S463">
        <f t="shared" si="62"/>
        <v>16</v>
      </c>
      <c r="T463">
        <f t="shared" si="63"/>
        <v>1</v>
      </c>
      <c r="U463" t="str" cm="1">
        <f t="array" ref="U463">_xlfn.IFS(D463&lt;40,"Young Adult",AND(D463&gt;=40,D463&lt;65),"Middle Aged", D463&gt;=65,"Elderly")</f>
        <v>Middle Aged</v>
      </c>
    </row>
    <row r="464" spans="1:21" x14ac:dyDescent="0.2">
      <c r="A464">
        <v>1059</v>
      </c>
      <c r="B464">
        <f t="shared" si="56"/>
        <v>463</v>
      </c>
      <c r="C464" t="s">
        <v>1374</v>
      </c>
      <c r="D464">
        <v>57</v>
      </c>
      <c r="E464" t="s">
        <v>22</v>
      </c>
      <c r="F464" t="str">
        <f t="shared" si="57"/>
        <v>Male</v>
      </c>
      <c r="G464" s="1">
        <v>45896</v>
      </c>
      <c r="H464" s="1">
        <v>45387</v>
      </c>
      <c r="I464" t="s">
        <v>1375</v>
      </c>
      <c r="J464" t="str">
        <f t="shared" si="58"/>
        <v>Leonard Campbell</v>
      </c>
      <c r="K464" t="s">
        <v>13</v>
      </c>
      <c r="L464" t="str">
        <f t="shared" si="59"/>
        <v>Cardiology</v>
      </c>
      <c r="M464" t="s">
        <v>1376</v>
      </c>
      <c r="N464" t="str">
        <f t="shared" si="60"/>
        <v>USD</v>
      </c>
      <c r="O464">
        <f t="shared" si="61"/>
        <v>385.61</v>
      </c>
      <c r="P464" cm="1">
        <f t="array" ref="P464">_xlfn.IFS(N464="USD",O464*1,N464="GBP",O464*1.27,N464="EUR",O464*1.09,N464="INR",O464*0.012,N464="N/A","N/A")</f>
        <v>385.61</v>
      </c>
      <c r="Q464" t="s">
        <v>36</v>
      </c>
      <c r="R464" t="str" cm="1">
        <f t="array" ref="R464">_xlfn.IFS(Q464="Y","Yes", Q464="Yes","Yes", Q464="N","No", Q464="No","No", Q464=1,"N/A", Q464=0,"N/A", TRUE,"")</f>
        <v>Yes</v>
      </c>
      <c r="S464">
        <f t="shared" si="62"/>
        <v>13</v>
      </c>
      <c r="T464">
        <f t="shared" si="63"/>
        <v>1</v>
      </c>
      <c r="U464" t="str" cm="1">
        <f t="array" ref="U464">_xlfn.IFS(D464&lt;40,"Young Adult",AND(D464&gt;=40,D464&lt;65),"Middle Aged", D464&gt;=65,"Elderly")</f>
        <v>Middle Aged</v>
      </c>
    </row>
    <row r="465" spans="1:21" x14ac:dyDescent="0.2">
      <c r="A465">
        <v>1038</v>
      </c>
      <c r="B465">
        <f t="shared" si="56"/>
        <v>464</v>
      </c>
      <c r="C465" t="s">
        <v>1377</v>
      </c>
      <c r="D465">
        <v>19</v>
      </c>
      <c r="E465" t="s">
        <v>38</v>
      </c>
      <c r="F465" t="str">
        <f t="shared" si="57"/>
        <v>Female</v>
      </c>
      <c r="G465" s="1">
        <v>45790</v>
      </c>
      <c r="H465" s="1">
        <v>45491</v>
      </c>
      <c r="I465" t="s">
        <v>1378</v>
      </c>
      <c r="J465" t="str">
        <f t="shared" si="58"/>
        <v>Darren Williams</v>
      </c>
      <c r="K465" t="s">
        <v>13</v>
      </c>
      <c r="L465" t="str">
        <f t="shared" si="59"/>
        <v>Cardiology</v>
      </c>
      <c r="M465" t="s">
        <v>1379</v>
      </c>
      <c r="N465" t="str">
        <f t="shared" si="60"/>
        <v>INR</v>
      </c>
      <c r="O465">
        <f t="shared" si="61"/>
        <v>350.5</v>
      </c>
      <c r="P465" cm="1">
        <f t="array" ref="P465">_xlfn.IFS(N465="USD",O465*1,N465="GBP",O465*1.27,N465="EUR",O465*1.09,N465="INR",O465*0.012,N465="N/A","N/A")</f>
        <v>4.2060000000000004</v>
      </c>
      <c r="Q465" t="s">
        <v>20</v>
      </c>
      <c r="R465" t="str" cm="1">
        <f t="array" ref="R465">_xlfn.IFS(Q465="Y","Yes", Q465="Yes","Yes", Q465="N","No", Q465="No","No", Q465=1,"N/A", Q465=0,"N/A", TRUE,"")</f>
        <v>Yes</v>
      </c>
      <c r="S465">
        <f t="shared" si="62"/>
        <v>10</v>
      </c>
      <c r="T465">
        <f t="shared" si="63"/>
        <v>1</v>
      </c>
      <c r="U465" t="str" cm="1">
        <f t="array" ref="U465">_xlfn.IFS(D465&lt;40,"Young Adult",AND(D465&gt;=40,D465&lt;65),"Middle Aged", D465&gt;=65,"Elderly")</f>
        <v>Young Adult</v>
      </c>
    </row>
    <row r="466" spans="1:21" x14ac:dyDescent="0.2">
      <c r="A466">
        <v>1065</v>
      </c>
      <c r="B466">
        <f t="shared" si="56"/>
        <v>465</v>
      </c>
      <c r="C466" t="s">
        <v>1380</v>
      </c>
      <c r="D466">
        <v>75</v>
      </c>
      <c r="E466" t="s">
        <v>22</v>
      </c>
      <c r="F466" t="str">
        <f t="shared" si="57"/>
        <v>Male</v>
      </c>
      <c r="G466" s="1">
        <v>46005</v>
      </c>
      <c r="H466" s="1">
        <v>45442</v>
      </c>
      <c r="I466" t="s">
        <v>1381</v>
      </c>
      <c r="J466" t="str">
        <f t="shared" si="58"/>
        <v>Kimberly Pierce</v>
      </c>
      <c r="K466" t="s">
        <v>18</v>
      </c>
      <c r="L466" t="str">
        <f t="shared" si="59"/>
        <v>Orthopedics</v>
      </c>
      <c r="M466" t="s">
        <v>1382</v>
      </c>
      <c r="N466" t="str">
        <f t="shared" si="60"/>
        <v>USD</v>
      </c>
      <c r="O466">
        <f t="shared" si="61"/>
        <v>255.56</v>
      </c>
      <c r="P466" cm="1">
        <f t="array" ref="P466">_xlfn.IFS(N466="USD",O466*1,N466="GBP",O466*1.27,N466="EUR",O466*1.09,N466="INR",O466*0.012,N466="N/A","N/A")</f>
        <v>255.56</v>
      </c>
      <c r="Q466">
        <v>1</v>
      </c>
      <c r="R466" t="str" cm="1">
        <f t="array" ref="R466">_xlfn.IFS(Q466="Y","Yes", Q466="Yes","Yes", Q466="N","No", Q466="No","No", Q466=1,"N/A", Q466=0,"N/A", TRUE,"")</f>
        <v>N/A</v>
      </c>
      <c r="S466">
        <f t="shared" si="62"/>
        <v>9</v>
      </c>
      <c r="T466">
        <f t="shared" si="63"/>
        <v>1</v>
      </c>
      <c r="U466" t="str" cm="1">
        <f t="array" ref="U466">_xlfn.IFS(D466&lt;40,"Young Adult",AND(D466&gt;=40,D466&lt;65),"Middle Aged", D466&gt;=65,"Elderly")</f>
        <v>Elderly</v>
      </c>
    </row>
    <row r="467" spans="1:21" x14ac:dyDescent="0.2">
      <c r="A467">
        <v>1031</v>
      </c>
      <c r="B467">
        <f t="shared" si="56"/>
        <v>466</v>
      </c>
      <c r="C467" t="s">
        <v>1383</v>
      </c>
      <c r="D467">
        <v>33</v>
      </c>
      <c r="E467" t="s">
        <v>2937</v>
      </c>
      <c r="F467" t="str">
        <f t="shared" si="57"/>
        <v>N/A</v>
      </c>
      <c r="G467" s="1">
        <v>45913</v>
      </c>
      <c r="H467" s="1">
        <v>45475</v>
      </c>
      <c r="I467" t="s">
        <v>1384</v>
      </c>
      <c r="J467" t="str">
        <f t="shared" si="58"/>
        <v>Selena Brown</v>
      </c>
      <c r="K467" t="s">
        <v>18</v>
      </c>
      <c r="L467" t="str">
        <f t="shared" si="59"/>
        <v>Orthopedics</v>
      </c>
      <c r="M467" t="s">
        <v>1385</v>
      </c>
      <c r="N467" t="str">
        <f t="shared" si="60"/>
        <v>GBP</v>
      </c>
      <c r="O467">
        <f t="shared" si="61"/>
        <v>458.83</v>
      </c>
      <c r="P467" cm="1">
        <f t="array" ref="P467">_xlfn.IFS(N467="USD",O467*1,N467="GBP",O467*1.27,N467="EUR",O467*1.09,N467="INR",O467*0.012,N467="N/A","N/A")</f>
        <v>582.71410000000003</v>
      </c>
      <c r="Q467">
        <v>1</v>
      </c>
      <c r="R467" t="str" cm="1">
        <f t="array" ref="R467">_xlfn.IFS(Q467="Y","Yes", Q467="Yes","Yes", Q467="N","No", Q467="No","No", Q467=1,"N/A", Q467=0,"N/A", TRUE,"")</f>
        <v>N/A</v>
      </c>
      <c r="S467">
        <f t="shared" si="62"/>
        <v>13</v>
      </c>
      <c r="T467">
        <f t="shared" si="63"/>
        <v>1</v>
      </c>
      <c r="U467" t="str" cm="1">
        <f t="array" ref="U467">_xlfn.IFS(D467&lt;40,"Young Adult",AND(D467&gt;=40,D467&lt;65),"Middle Aged", D467&gt;=65,"Elderly")</f>
        <v>Young Adult</v>
      </c>
    </row>
    <row r="468" spans="1:21" x14ac:dyDescent="0.2">
      <c r="A468">
        <v>1018</v>
      </c>
      <c r="B468">
        <f t="shared" si="56"/>
        <v>467</v>
      </c>
      <c r="C468" t="s">
        <v>1386</v>
      </c>
      <c r="D468">
        <v>20</v>
      </c>
      <c r="E468" t="s">
        <v>38</v>
      </c>
      <c r="F468" t="str">
        <f t="shared" si="57"/>
        <v>Female</v>
      </c>
      <c r="G468" s="1">
        <v>45861</v>
      </c>
      <c r="H468" s="1">
        <v>45830</v>
      </c>
      <c r="I468" t="s">
        <v>1387</v>
      </c>
      <c r="J468" t="str">
        <f t="shared" si="58"/>
        <v>Scott Tran</v>
      </c>
      <c r="K468" t="s">
        <v>24</v>
      </c>
      <c r="L468" t="str">
        <f t="shared" si="59"/>
        <v>Neurology</v>
      </c>
      <c r="M468" t="s">
        <v>1388</v>
      </c>
      <c r="N468" t="str">
        <f t="shared" si="60"/>
        <v>EUR</v>
      </c>
      <c r="O468">
        <f t="shared" si="61"/>
        <v>138.29</v>
      </c>
      <c r="P468" cm="1">
        <f t="array" ref="P468">_xlfn.IFS(N468="USD",O468*1,N468="GBP",O468*1.27,N468="EUR",O468*1.09,N468="INR",O468*0.012,N468="N/A","N/A")</f>
        <v>150.73609999999999</v>
      </c>
      <c r="Q468" t="s">
        <v>60</v>
      </c>
      <c r="R468" t="str" cm="1">
        <f t="array" ref="R468">_xlfn.IFS(Q468="Y","Yes", Q468="Yes","Yes", Q468="N","No", Q468="No","No", Q468=1,"N/A", Q468=0,"N/A", TRUE,"")</f>
        <v>No</v>
      </c>
      <c r="S468">
        <f t="shared" si="62"/>
        <v>14</v>
      </c>
      <c r="T468">
        <f t="shared" si="63"/>
        <v>1</v>
      </c>
      <c r="U468" t="str" cm="1">
        <f t="array" ref="U468">_xlfn.IFS(D468&lt;40,"Young Adult",AND(D468&gt;=40,D468&lt;65),"Middle Aged", D468&gt;=65,"Elderly")</f>
        <v>Young Adult</v>
      </c>
    </row>
    <row r="469" spans="1:21" x14ac:dyDescent="0.2">
      <c r="A469">
        <v>1081</v>
      </c>
      <c r="B469">
        <f t="shared" si="56"/>
        <v>468</v>
      </c>
      <c r="C469" t="s">
        <v>1389</v>
      </c>
      <c r="D469">
        <v>42</v>
      </c>
      <c r="E469" t="s">
        <v>38</v>
      </c>
      <c r="F469" t="str">
        <f t="shared" si="57"/>
        <v>Female</v>
      </c>
      <c r="G469" s="1">
        <v>46096</v>
      </c>
      <c r="H469" s="1">
        <v>45435</v>
      </c>
      <c r="I469" t="s">
        <v>1390</v>
      </c>
      <c r="J469" t="str">
        <f t="shared" si="58"/>
        <v>Daniel Carlson</v>
      </c>
      <c r="K469" t="s">
        <v>13</v>
      </c>
      <c r="L469" t="str">
        <f t="shared" si="59"/>
        <v>Cardiology</v>
      </c>
      <c r="M469" t="s">
        <v>1391</v>
      </c>
      <c r="N469" t="str">
        <f t="shared" si="60"/>
        <v>INR</v>
      </c>
      <c r="O469">
        <f t="shared" si="61"/>
        <v>189.02</v>
      </c>
      <c r="P469" cm="1">
        <f t="array" ref="P469">_xlfn.IFS(N469="USD",O469*1,N469="GBP",O469*1.27,N469="EUR",O469*1.09,N469="INR",O469*0.012,N469="N/A","N/A")</f>
        <v>2.26824</v>
      </c>
      <c r="Q469" t="s">
        <v>36</v>
      </c>
      <c r="R469" t="str" cm="1">
        <f t="array" ref="R469">_xlfn.IFS(Q469="Y","Yes", Q469="Yes","Yes", Q469="N","No", Q469="No","No", Q469=1,"N/A", Q469=0,"N/A", TRUE,"")</f>
        <v>Yes</v>
      </c>
      <c r="S469">
        <f t="shared" si="62"/>
        <v>9</v>
      </c>
      <c r="T469">
        <f t="shared" si="63"/>
        <v>1</v>
      </c>
      <c r="U469" t="str" cm="1">
        <f t="array" ref="U469">_xlfn.IFS(D469&lt;40,"Young Adult",AND(D469&gt;=40,D469&lt;65),"Middle Aged", D469&gt;=65,"Elderly")</f>
        <v>Middle Aged</v>
      </c>
    </row>
    <row r="470" spans="1:21" x14ac:dyDescent="0.2">
      <c r="A470">
        <v>1098</v>
      </c>
      <c r="B470">
        <f t="shared" si="56"/>
        <v>469</v>
      </c>
      <c r="C470" t="s">
        <v>1392</v>
      </c>
      <c r="D470">
        <v>27</v>
      </c>
      <c r="E470" t="s">
        <v>2937</v>
      </c>
      <c r="F470" t="str">
        <f t="shared" si="57"/>
        <v>N/A</v>
      </c>
      <c r="G470" s="1">
        <v>45883</v>
      </c>
      <c r="H470" s="1">
        <v>45628</v>
      </c>
      <c r="I470" t="s">
        <v>1393</v>
      </c>
      <c r="J470" t="str">
        <f t="shared" si="58"/>
        <v>Jennifer Banks</v>
      </c>
      <c r="K470" t="s">
        <v>18</v>
      </c>
      <c r="L470" t="str">
        <f t="shared" si="59"/>
        <v>Orthopedics</v>
      </c>
      <c r="M470" t="s">
        <v>1394</v>
      </c>
      <c r="N470" t="str">
        <f t="shared" si="60"/>
        <v>EUR</v>
      </c>
      <c r="O470">
        <f t="shared" si="61"/>
        <v>272.47000000000003</v>
      </c>
      <c r="P470" cm="1">
        <f t="array" ref="P470">_xlfn.IFS(N470="USD",O470*1,N470="GBP",O470*1.27,N470="EUR",O470*1.09,N470="INR",O470*0.012,N470="N/A","N/A")</f>
        <v>296.99230000000006</v>
      </c>
      <c r="Q470" t="s">
        <v>30</v>
      </c>
      <c r="R470" t="str" cm="1">
        <f t="array" ref="R470">_xlfn.IFS(Q470="Y","Yes", Q470="Yes","Yes", Q470="N","No", Q470="No","No", Q470=1,"N/A", Q470=0,"N/A", TRUE,"")</f>
        <v>No</v>
      </c>
      <c r="S470">
        <f t="shared" si="62"/>
        <v>12</v>
      </c>
      <c r="T470">
        <f t="shared" si="63"/>
        <v>1</v>
      </c>
      <c r="U470" t="str" cm="1">
        <f t="array" ref="U470">_xlfn.IFS(D470&lt;40,"Young Adult",AND(D470&gt;=40,D470&lt;65),"Middle Aged", D470&gt;=65,"Elderly")</f>
        <v>Young Adult</v>
      </c>
    </row>
    <row r="471" spans="1:21" x14ac:dyDescent="0.2">
      <c r="A471">
        <v>1070</v>
      </c>
      <c r="B471">
        <f t="shared" si="56"/>
        <v>470</v>
      </c>
      <c r="C471" t="s">
        <v>1395</v>
      </c>
      <c r="D471">
        <v>56</v>
      </c>
      <c r="E471" t="s">
        <v>71</v>
      </c>
      <c r="F471" t="str">
        <f t="shared" si="57"/>
        <v>Male</v>
      </c>
      <c r="G471" s="1">
        <v>45919</v>
      </c>
      <c r="H471" s="1">
        <v>45563</v>
      </c>
      <c r="I471" t="s">
        <v>1396</v>
      </c>
      <c r="J471" t="str">
        <f t="shared" si="58"/>
        <v>Richard Arias</v>
      </c>
      <c r="K471" t="s">
        <v>13</v>
      </c>
      <c r="L471" t="str">
        <f t="shared" si="59"/>
        <v>Cardiology</v>
      </c>
      <c r="M471" t="s">
        <v>1397</v>
      </c>
      <c r="N471" t="str">
        <f t="shared" si="60"/>
        <v>EUR</v>
      </c>
      <c r="O471">
        <f t="shared" si="61"/>
        <v>450.37</v>
      </c>
      <c r="P471" cm="1">
        <f t="array" ref="P471">_xlfn.IFS(N471="USD",O471*1,N471="GBP",O471*1.27,N471="EUR",O471*1.09,N471="INR",O471*0.012,N471="N/A","N/A")</f>
        <v>490.90330000000006</v>
      </c>
      <c r="Q471" t="s">
        <v>20</v>
      </c>
      <c r="R471" t="str" cm="1">
        <f t="array" ref="R471">_xlfn.IFS(Q471="Y","Yes", Q471="Yes","Yes", Q471="N","No", Q471="No","No", Q471=1,"N/A", Q471=0,"N/A", TRUE,"")</f>
        <v>Yes</v>
      </c>
      <c r="S471">
        <f t="shared" si="62"/>
        <v>13</v>
      </c>
      <c r="T471">
        <f t="shared" si="63"/>
        <v>1</v>
      </c>
      <c r="U471" t="str" cm="1">
        <f t="array" ref="U471">_xlfn.IFS(D471&lt;40,"Young Adult",AND(D471&gt;=40,D471&lt;65),"Middle Aged", D471&gt;=65,"Elderly")</f>
        <v>Middle Aged</v>
      </c>
    </row>
    <row r="472" spans="1:21" x14ac:dyDescent="0.2">
      <c r="A472">
        <v>1093</v>
      </c>
      <c r="B472">
        <f t="shared" si="56"/>
        <v>471</v>
      </c>
      <c r="C472" t="s">
        <v>1398</v>
      </c>
      <c r="D472">
        <v>81</v>
      </c>
      <c r="E472" t="s">
        <v>2937</v>
      </c>
      <c r="F472" t="str">
        <f t="shared" si="57"/>
        <v>N/A</v>
      </c>
      <c r="G472" s="1">
        <v>46060</v>
      </c>
      <c r="H472" s="1">
        <v>45470</v>
      </c>
      <c r="I472" t="s">
        <v>1399</v>
      </c>
      <c r="J472" t="str">
        <f t="shared" si="58"/>
        <v>Scott Shannon</v>
      </c>
      <c r="K472" t="s">
        <v>28</v>
      </c>
      <c r="L472" t="str">
        <f t="shared" si="59"/>
        <v>General</v>
      </c>
      <c r="M472" t="s">
        <v>1400</v>
      </c>
      <c r="N472" t="str">
        <f t="shared" si="60"/>
        <v>USD</v>
      </c>
      <c r="O472">
        <f t="shared" si="61"/>
        <v>490.67</v>
      </c>
      <c r="P472" cm="1">
        <f t="array" ref="P472">_xlfn.IFS(N472="USD",O472*1,N472="GBP",O472*1.27,N472="EUR",O472*1.09,N472="INR",O472*0.012,N472="N/A","N/A")</f>
        <v>490.67</v>
      </c>
      <c r="Q472" t="s">
        <v>36</v>
      </c>
      <c r="R472" t="str" cm="1">
        <f t="array" ref="R472">_xlfn.IFS(Q472="Y","Yes", Q472="Yes","Yes", Q472="N","No", Q472="No","No", Q472=1,"N/A", Q472=0,"N/A", TRUE,"")</f>
        <v>Yes</v>
      </c>
      <c r="S472">
        <f t="shared" si="62"/>
        <v>11</v>
      </c>
      <c r="T472">
        <f t="shared" si="63"/>
        <v>1</v>
      </c>
      <c r="U472" t="str" cm="1">
        <f t="array" ref="U472">_xlfn.IFS(D472&lt;40,"Young Adult",AND(D472&gt;=40,D472&lt;65),"Middle Aged", D472&gt;=65,"Elderly")</f>
        <v>Elderly</v>
      </c>
    </row>
    <row r="473" spans="1:21" x14ac:dyDescent="0.2">
      <c r="A473">
        <v>1032</v>
      </c>
      <c r="B473">
        <f t="shared" si="56"/>
        <v>472</v>
      </c>
      <c r="C473" t="s">
        <v>1401</v>
      </c>
      <c r="D473">
        <v>56</v>
      </c>
      <c r="E473" t="s">
        <v>2937</v>
      </c>
      <c r="F473" t="str">
        <f t="shared" si="57"/>
        <v>N/A</v>
      </c>
      <c r="G473" s="1">
        <v>45927</v>
      </c>
      <c r="H473" s="1">
        <v>45693</v>
      </c>
      <c r="I473" t="s">
        <v>1402</v>
      </c>
      <c r="J473" t="str">
        <f t="shared" si="58"/>
        <v>Joseph King</v>
      </c>
      <c r="K473" t="s">
        <v>13</v>
      </c>
      <c r="L473" t="str">
        <f t="shared" si="59"/>
        <v>Cardiology</v>
      </c>
      <c r="M473" t="s">
        <v>1403</v>
      </c>
      <c r="N473" t="str">
        <f t="shared" si="60"/>
        <v>GBP</v>
      </c>
      <c r="O473">
        <f t="shared" si="61"/>
        <v>99.17</v>
      </c>
      <c r="P473" cm="1">
        <f t="array" ref="P473">_xlfn.IFS(N473="USD",O473*1,N473="GBP",O473*1.27,N473="EUR",O473*1.09,N473="INR",O473*0.012,N473="N/A","N/A")</f>
        <v>125.94590000000001</v>
      </c>
      <c r="Q473" t="s">
        <v>30</v>
      </c>
      <c r="R473" t="str" cm="1">
        <f t="array" ref="R473">_xlfn.IFS(Q473="Y","Yes", Q473="Yes","Yes", Q473="N","No", Q473="No","No", Q473=1,"N/A", Q473=0,"N/A", TRUE,"")</f>
        <v>No</v>
      </c>
      <c r="S473">
        <f t="shared" si="62"/>
        <v>7</v>
      </c>
      <c r="T473">
        <f t="shared" si="63"/>
        <v>1</v>
      </c>
      <c r="U473" t="str" cm="1">
        <f t="array" ref="U473">_xlfn.IFS(D473&lt;40,"Young Adult",AND(D473&gt;=40,D473&lt;65),"Middle Aged", D473&gt;=65,"Elderly")</f>
        <v>Middle Aged</v>
      </c>
    </row>
    <row r="474" spans="1:21" x14ac:dyDescent="0.2">
      <c r="A474">
        <v>1071</v>
      </c>
      <c r="B474">
        <f t="shared" si="56"/>
        <v>473</v>
      </c>
      <c r="C474" t="s">
        <v>1404</v>
      </c>
      <c r="D474">
        <v>80</v>
      </c>
      <c r="E474" t="s">
        <v>2937</v>
      </c>
      <c r="F474" t="str">
        <f t="shared" si="57"/>
        <v>N/A</v>
      </c>
      <c r="G474" s="1">
        <v>45867</v>
      </c>
      <c r="H474" s="1">
        <v>45396</v>
      </c>
      <c r="I474" t="s">
        <v>1405</v>
      </c>
      <c r="J474" t="str">
        <f t="shared" si="58"/>
        <v>Frank Harrell</v>
      </c>
      <c r="K474" t="s">
        <v>24</v>
      </c>
      <c r="L474" t="str">
        <f t="shared" si="59"/>
        <v>Neurology</v>
      </c>
      <c r="M474" t="s">
        <v>1406</v>
      </c>
      <c r="N474" t="str">
        <f t="shared" si="60"/>
        <v>USD</v>
      </c>
      <c r="O474">
        <f t="shared" si="61"/>
        <v>105.64</v>
      </c>
      <c r="P474" cm="1">
        <f t="array" ref="P474">_xlfn.IFS(N474="USD",O474*1,N474="GBP",O474*1.27,N474="EUR",O474*1.09,N474="INR",O474*0.012,N474="N/A","N/A")</f>
        <v>105.64</v>
      </c>
      <c r="Q474" t="s">
        <v>30</v>
      </c>
      <c r="R474" t="str" cm="1">
        <f t="array" ref="R474">_xlfn.IFS(Q474="Y","Yes", Q474="Yes","Yes", Q474="N","No", Q474="No","No", Q474=1,"N/A", Q474=0,"N/A", TRUE,"")</f>
        <v>No</v>
      </c>
      <c r="S474">
        <f t="shared" si="62"/>
        <v>10</v>
      </c>
      <c r="T474">
        <f t="shared" si="63"/>
        <v>1</v>
      </c>
      <c r="U474" t="str" cm="1">
        <f t="array" ref="U474">_xlfn.IFS(D474&lt;40,"Young Adult",AND(D474&gt;=40,D474&lt;65),"Middle Aged", D474&gt;=65,"Elderly")</f>
        <v>Elderly</v>
      </c>
    </row>
    <row r="475" spans="1:21" x14ac:dyDescent="0.2">
      <c r="A475">
        <v>1067</v>
      </c>
      <c r="B475">
        <f t="shared" si="56"/>
        <v>474</v>
      </c>
      <c r="C475" t="s">
        <v>1407</v>
      </c>
      <c r="D475">
        <v>72</v>
      </c>
      <c r="E475" t="s">
        <v>2937</v>
      </c>
      <c r="F475" t="str">
        <f t="shared" si="57"/>
        <v>N/A</v>
      </c>
      <c r="G475" s="1">
        <v>46101</v>
      </c>
      <c r="H475" s="1">
        <v>45486</v>
      </c>
      <c r="I475" t="s">
        <v>1408</v>
      </c>
      <c r="J475" t="str">
        <f t="shared" si="58"/>
        <v>Sharon Nash</v>
      </c>
      <c r="K475" t="s">
        <v>18</v>
      </c>
      <c r="L475" t="str">
        <f t="shared" si="59"/>
        <v>Orthopedics</v>
      </c>
      <c r="M475" t="s">
        <v>1409</v>
      </c>
      <c r="N475" t="str">
        <f t="shared" si="60"/>
        <v>EUR</v>
      </c>
      <c r="O475">
        <f t="shared" si="61"/>
        <v>437.18</v>
      </c>
      <c r="P475" cm="1">
        <f t="array" ref="P475">_xlfn.IFS(N475="USD",O475*1,N475="GBP",O475*1.27,N475="EUR",O475*1.09,N475="INR",O475*0.012,N475="N/A","N/A")</f>
        <v>476.52620000000002</v>
      </c>
      <c r="Q475" t="s">
        <v>60</v>
      </c>
      <c r="R475" t="str" cm="1">
        <f t="array" ref="R475">_xlfn.IFS(Q475="Y","Yes", Q475="Yes","Yes", Q475="N","No", Q475="No","No", Q475=1,"N/A", Q475=0,"N/A", TRUE,"")</f>
        <v>No</v>
      </c>
      <c r="S475">
        <f t="shared" si="62"/>
        <v>9</v>
      </c>
      <c r="T475">
        <f t="shared" si="63"/>
        <v>1</v>
      </c>
      <c r="U475" t="str" cm="1">
        <f t="array" ref="U475">_xlfn.IFS(D475&lt;40,"Young Adult",AND(D475&gt;=40,D475&lt;65),"Middle Aged", D475&gt;=65,"Elderly")</f>
        <v>Elderly</v>
      </c>
    </row>
    <row r="476" spans="1:21" x14ac:dyDescent="0.2">
      <c r="A476">
        <v>1090</v>
      </c>
      <c r="B476">
        <f t="shared" si="56"/>
        <v>475</v>
      </c>
      <c r="C476" t="s">
        <v>1410</v>
      </c>
      <c r="D476">
        <v>37</v>
      </c>
      <c r="E476" t="s">
        <v>22</v>
      </c>
      <c r="F476" t="str">
        <f t="shared" si="57"/>
        <v>Male</v>
      </c>
      <c r="G476" s="1">
        <v>46081</v>
      </c>
      <c r="H476" s="1">
        <v>45400</v>
      </c>
      <c r="I476" t="s">
        <v>1411</v>
      </c>
      <c r="J476" t="str">
        <f t="shared" si="58"/>
        <v>Willie Dean</v>
      </c>
      <c r="K476" t="s">
        <v>28</v>
      </c>
      <c r="L476" t="str">
        <f t="shared" si="59"/>
        <v>General</v>
      </c>
      <c r="M476" t="s">
        <v>1412</v>
      </c>
      <c r="N476" t="str">
        <f t="shared" si="60"/>
        <v>INR</v>
      </c>
      <c r="O476">
        <f t="shared" si="61"/>
        <v>77.2</v>
      </c>
      <c r="P476" cm="1">
        <f t="array" ref="P476">_xlfn.IFS(N476="USD",O476*1,N476="GBP",O476*1.27,N476="EUR",O476*1.09,N476="INR",O476*0.012,N476="N/A","N/A")</f>
        <v>0.9264</v>
      </c>
      <c r="Q476">
        <v>0</v>
      </c>
      <c r="R476" t="str" cm="1">
        <f t="array" ref="R476">_xlfn.IFS(Q476="Y","Yes", Q476="Yes","Yes", Q476="N","No", Q476="No","No", Q476=1,"N/A", Q476=0,"N/A", TRUE,"")</f>
        <v>N/A</v>
      </c>
      <c r="S476">
        <f t="shared" si="62"/>
        <v>8</v>
      </c>
      <c r="T476">
        <f t="shared" si="63"/>
        <v>1</v>
      </c>
      <c r="U476" t="str" cm="1">
        <f t="array" ref="U476">_xlfn.IFS(D476&lt;40,"Young Adult",AND(D476&gt;=40,D476&lt;65),"Middle Aged", D476&gt;=65,"Elderly")</f>
        <v>Young Adult</v>
      </c>
    </row>
    <row r="477" spans="1:21" x14ac:dyDescent="0.2">
      <c r="A477">
        <v>1027</v>
      </c>
      <c r="B477">
        <f t="shared" si="56"/>
        <v>476</v>
      </c>
      <c r="C477" t="s">
        <v>1413</v>
      </c>
      <c r="D477">
        <v>81</v>
      </c>
      <c r="E477" t="s">
        <v>38</v>
      </c>
      <c r="F477" t="str">
        <f t="shared" si="57"/>
        <v>Female</v>
      </c>
      <c r="G477" s="1">
        <v>46021</v>
      </c>
      <c r="H477" s="1">
        <v>45666</v>
      </c>
      <c r="I477" t="s">
        <v>1414</v>
      </c>
      <c r="J477" t="str">
        <f t="shared" si="58"/>
        <v>Andrew Carroll</v>
      </c>
      <c r="K477" t="s">
        <v>28</v>
      </c>
      <c r="L477" t="str">
        <f t="shared" si="59"/>
        <v>General</v>
      </c>
      <c r="M477" t="s">
        <v>1415</v>
      </c>
      <c r="N477" t="str">
        <f t="shared" si="60"/>
        <v>EUR</v>
      </c>
      <c r="O477">
        <f t="shared" si="61"/>
        <v>118.72</v>
      </c>
      <c r="P477" cm="1">
        <f t="array" ref="P477">_xlfn.IFS(N477="USD",O477*1,N477="GBP",O477*1.27,N477="EUR",O477*1.09,N477="INR",O477*0.012,N477="N/A","N/A")</f>
        <v>129.40479999999999</v>
      </c>
      <c r="Q477">
        <v>0</v>
      </c>
      <c r="R477" t="str" cm="1">
        <f t="array" ref="R477">_xlfn.IFS(Q477="Y","Yes", Q477="Yes","Yes", Q477="N","No", Q477="No","No", Q477=1,"N/A", Q477=0,"N/A", TRUE,"")</f>
        <v>N/A</v>
      </c>
      <c r="S477">
        <f t="shared" si="62"/>
        <v>12</v>
      </c>
      <c r="T477">
        <f t="shared" si="63"/>
        <v>1</v>
      </c>
      <c r="U477" t="str" cm="1">
        <f t="array" ref="U477">_xlfn.IFS(D477&lt;40,"Young Adult",AND(D477&gt;=40,D477&lt;65),"Middle Aged", D477&gt;=65,"Elderly")</f>
        <v>Elderly</v>
      </c>
    </row>
    <row r="478" spans="1:21" x14ac:dyDescent="0.2">
      <c r="A478">
        <v>1073</v>
      </c>
      <c r="B478">
        <f t="shared" si="56"/>
        <v>477</v>
      </c>
      <c r="C478" t="s">
        <v>1416</v>
      </c>
      <c r="D478">
        <v>52</v>
      </c>
      <c r="E478" t="s">
        <v>51</v>
      </c>
      <c r="F478" t="str">
        <f t="shared" si="57"/>
        <v>Male</v>
      </c>
      <c r="G478" s="1">
        <v>46098</v>
      </c>
      <c r="H478" s="1">
        <v>45950</v>
      </c>
      <c r="I478" t="s">
        <v>1417</v>
      </c>
      <c r="J478" t="str">
        <f t="shared" si="58"/>
        <v>Sheila Williams</v>
      </c>
      <c r="K478" t="s">
        <v>24</v>
      </c>
      <c r="L478" t="str">
        <f t="shared" si="59"/>
        <v>Neurology</v>
      </c>
      <c r="M478" t="s">
        <v>1418</v>
      </c>
      <c r="N478" t="str">
        <f t="shared" si="60"/>
        <v>EUR</v>
      </c>
      <c r="O478">
        <f t="shared" si="61"/>
        <v>155.69</v>
      </c>
      <c r="P478" cm="1">
        <f t="array" ref="P478">_xlfn.IFS(N478="USD",O478*1,N478="GBP",O478*1.27,N478="EUR",O478*1.09,N478="INR",O478*0.012,N478="N/A","N/A")</f>
        <v>169.7021</v>
      </c>
      <c r="Q478" t="s">
        <v>20</v>
      </c>
      <c r="R478" t="str" cm="1">
        <f t="array" ref="R478">_xlfn.IFS(Q478="Y","Yes", Q478="Yes","Yes", Q478="N","No", Q478="No","No", Q478=1,"N/A", Q478=0,"N/A", TRUE,"")</f>
        <v>Yes</v>
      </c>
      <c r="S478">
        <f t="shared" si="62"/>
        <v>11</v>
      </c>
      <c r="T478">
        <f t="shared" si="63"/>
        <v>1</v>
      </c>
      <c r="U478" t="str" cm="1">
        <f t="array" ref="U478">_xlfn.IFS(D478&lt;40,"Young Adult",AND(D478&gt;=40,D478&lt;65),"Middle Aged", D478&gt;=65,"Elderly")</f>
        <v>Middle Aged</v>
      </c>
    </row>
    <row r="479" spans="1:21" x14ac:dyDescent="0.2">
      <c r="A479">
        <v>1092</v>
      </c>
      <c r="B479">
        <f t="shared" si="56"/>
        <v>478</v>
      </c>
      <c r="C479" t="s">
        <v>1419</v>
      </c>
      <c r="D479">
        <v>79</v>
      </c>
      <c r="E479" t="s">
        <v>2937</v>
      </c>
      <c r="F479" t="str">
        <f t="shared" si="57"/>
        <v>N/A</v>
      </c>
      <c r="G479" s="1">
        <v>45909</v>
      </c>
      <c r="H479" s="1">
        <v>45690</v>
      </c>
      <c r="I479" t="s">
        <v>1420</v>
      </c>
      <c r="J479" t="str">
        <f t="shared" si="58"/>
        <v>Yolanda Richardson</v>
      </c>
      <c r="K479" t="s">
        <v>24</v>
      </c>
      <c r="L479" t="str">
        <f t="shared" si="59"/>
        <v>Neurology</v>
      </c>
      <c r="M479" t="s">
        <v>1421</v>
      </c>
      <c r="N479" t="str">
        <f t="shared" si="60"/>
        <v>USD</v>
      </c>
      <c r="O479">
        <f t="shared" si="61"/>
        <v>487.57</v>
      </c>
      <c r="P479" cm="1">
        <f t="array" ref="P479">_xlfn.IFS(N479="USD",O479*1,N479="GBP",O479*1.27,N479="EUR",O479*1.09,N479="INR",O479*0.012,N479="N/A","N/A")</f>
        <v>487.57</v>
      </c>
      <c r="Q479" t="s">
        <v>60</v>
      </c>
      <c r="R479" t="str" cm="1">
        <f t="array" ref="R479">_xlfn.IFS(Q479="Y","Yes", Q479="Yes","Yes", Q479="N","No", Q479="No","No", Q479=1,"N/A", Q479=0,"N/A", TRUE,"")</f>
        <v>No</v>
      </c>
      <c r="S479">
        <f t="shared" si="62"/>
        <v>11</v>
      </c>
      <c r="T479">
        <f t="shared" si="63"/>
        <v>1</v>
      </c>
      <c r="U479" t="str" cm="1">
        <f t="array" ref="U479">_xlfn.IFS(D479&lt;40,"Young Adult",AND(D479&gt;=40,D479&lt;65),"Middle Aged", D479&gt;=65,"Elderly")</f>
        <v>Elderly</v>
      </c>
    </row>
    <row r="480" spans="1:21" x14ac:dyDescent="0.2">
      <c r="A480">
        <v>1083</v>
      </c>
      <c r="B480">
        <f t="shared" si="56"/>
        <v>479</v>
      </c>
      <c r="C480" t="s">
        <v>1422</v>
      </c>
      <c r="D480">
        <v>56</v>
      </c>
      <c r="E480" t="s">
        <v>16</v>
      </c>
      <c r="F480" t="str">
        <f t="shared" si="57"/>
        <v>Female</v>
      </c>
      <c r="G480" s="1">
        <v>45979</v>
      </c>
      <c r="H480" s="1">
        <v>45695</v>
      </c>
      <c r="I480" t="s">
        <v>1423</v>
      </c>
      <c r="J480" t="str">
        <f t="shared" si="58"/>
        <v>Tiffany Shepherd</v>
      </c>
      <c r="K480" t="s">
        <v>13</v>
      </c>
      <c r="L480" t="str">
        <f t="shared" si="59"/>
        <v>Cardiology</v>
      </c>
      <c r="M480" t="s">
        <v>1424</v>
      </c>
      <c r="N480" t="str">
        <f t="shared" si="60"/>
        <v>INR</v>
      </c>
      <c r="O480">
        <f t="shared" si="61"/>
        <v>412.44</v>
      </c>
      <c r="P480" cm="1">
        <f t="array" ref="P480">_xlfn.IFS(N480="USD",O480*1,N480="GBP",O480*1.27,N480="EUR",O480*1.09,N480="INR",O480*0.012,N480="N/A","N/A")</f>
        <v>4.9492799999999999</v>
      </c>
      <c r="Q480">
        <v>0</v>
      </c>
      <c r="R480" t="str" cm="1">
        <f t="array" ref="R480">_xlfn.IFS(Q480="Y","Yes", Q480="Yes","Yes", Q480="N","No", Q480="No","No", Q480=1,"N/A", Q480=0,"N/A", TRUE,"")</f>
        <v>N/A</v>
      </c>
      <c r="S480">
        <f t="shared" si="62"/>
        <v>7</v>
      </c>
      <c r="T480">
        <f t="shared" si="63"/>
        <v>1</v>
      </c>
      <c r="U480" t="str" cm="1">
        <f t="array" ref="U480">_xlfn.IFS(D480&lt;40,"Young Adult",AND(D480&gt;=40,D480&lt;65),"Middle Aged", D480&gt;=65,"Elderly")</f>
        <v>Middle Aged</v>
      </c>
    </row>
    <row r="481" spans="1:21" x14ac:dyDescent="0.2">
      <c r="A481">
        <v>1091</v>
      </c>
      <c r="B481">
        <f t="shared" si="56"/>
        <v>480</v>
      </c>
      <c r="C481" t="s">
        <v>1425</v>
      </c>
      <c r="D481">
        <v>74</v>
      </c>
      <c r="E481" t="s">
        <v>71</v>
      </c>
      <c r="F481" t="str">
        <f t="shared" si="57"/>
        <v>Male</v>
      </c>
      <c r="G481" s="1">
        <v>46002</v>
      </c>
      <c r="H481" s="1">
        <v>45770</v>
      </c>
      <c r="I481" t="s">
        <v>1426</v>
      </c>
      <c r="J481" t="str">
        <f t="shared" si="58"/>
        <v>Lisa Taylor</v>
      </c>
      <c r="K481" t="s">
        <v>13</v>
      </c>
      <c r="L481" t="str">
        <f t="shared" si="59"/>
        <v>Cardiology</v>
      </c>
      <c r="M481" t="s">
        <v>1427</v>
      </c>
      <c r="N481" t="str">
        <f t="shared" si="60"/>
        <v>GBP</v>
      </c>
      <c r="O481">
        <f t="shared" si="61"/>
        <v>297.5</v>
      </c>
      <c r="P481" cm="1">
        <f t="array" ref="P481">_xlfn.IFS(N481="USD",O481*1,N481="GBP",O481*1.27,N481="EUR",O481*1.09,N481="INR",O481*0.012,N481="N/A","N/A")</f>
        <v>377.82499999999999</v>
      </c>
      <c r="Q481" t="s">
        <v>20</v>
      </c>
      <c r="R481" t="str" cm="1">
        <f t="array" ref="R481">_xlfn.IFS(Q481="Y","Yes", Q481="Yes","Yes", Q481="N","No", Q481="No","No", Q481=1,"N/A", Q481=0,"N/A", TRUE,"")</f>
        <v>Yes</v>
      </c>
      <c r="S481">
        <f t="shared" si="62"/>
        <v>9</v>
      </c>
      <c r="T481">
        <f t="shared" si="63"/>
        <v>1</v>
      </c>
      <c r="U481" t="str" cm="1">
        <f t="array" ref="U481">_xlfn.IFS(D481&lt;40,"Young Adult",AND(D481&gt;=40,D481&lt;65),"Middle Aged", D481&gt;=65,"Elderly")</f>
        <v>Elderly</v>
      </c>
    </row>
    <row r="482" spans="1:21" x14ac:dyDescent="0.2">
      <c r="A482">
        <v>1057</v>
      </c>
      <c r="B482">
        <f t="shared" si="56"/>
        <v>481</v>
      </c>
      <c r="C482" t="s">
        <v>1428</v>
      </c>
      <c r="D482">
        <v>60</v>
      </c>
      <c r="E482" t="s">
        <v>38</v>
      </c>
      <c r="F482" t="str">
        <f t="shared" si="57"/>
        <v>Female</v>
      </c>
      <c r="G482" s="1">
        <v>46048</v>
      </c>
      <c r="H482" s="1">
        <v>45565</v>
      </c>
      <c r="I482" t="s">
        <v>1429</v>
      </c>
      <c r="J482" t="str">
        <f t="shared" si="58"/>
        <v>Donna Sandoval</v>
      </c>
      <c r="K482" t="s">
        <v>28</v>
      </c>
      <c r="L482" t="str">
        <f t="shared" si="59"/>
        <v>General</v>
      </c>
      <c r="M482" t="s">
        <v>1430</v>
      </c>
      <c r="N482" t="str">
        <f t="shared" si="60"/>
        <v>EUR</v>
      </c>
      <c r="O482">
        <f t="shared" si="61"/>
        <v>481.4</v>
      </c>
      <c r="P482" cm="1">
        <f t="array" ref="P482">_xlfn.IFS(N482="USD",O482*1,N482="GBP",O482*1.27,N482="EUR",O482*1.09,N482="INR",O482*0.012,N482="N/A","N/A")</f>
        <v>524.726</v>
      </c>
      <c r="Q482" t="s">
        <v>36</v>
      </c>
      <c r="R482" t="str" cm="1">
        <f t="array" ref="R482">_xlfn.IFS(Q482="Y","Yes", Q482="Yes","Yes", Q482="N","No", Q482="No","No", Q482=1,"N/A", Q482=0,"N/A", TRUE,"")</f>
        <v>Yes</v>
      </c>
      <c r="S482">
        <f t="shared" si="62"/>
        <v>7</v>
      </c>
      <c r="T482">
        <f t="shared" si="63"/>
        <v>1</v>
      </c>
      <c r="U482" t="str" cm="1">
        <f t="array" ref="U482">_xlfn.IFS(D482&lt;40,"Young Adult",AND(D482&gt;=40,D482&lt;65),"Middle Aged", D482&gt;=65,"Elderly")</f>
        <v>Middle Aged</v>
      </c>
    </row>
    <row r="483" spans="1:21" x14ac:dyDescent="0.2">
      <c r="A483">
        <v>1018</v>
      </c>
      <c r="B483">
        <f t="shared" si="56"/>
        <v>482</v>
      </c>
      <c r="C483" t="s">
        <v>1431</v>
      </c>
      <c r="D483">
        <v>54</v>
      </c>
      <c r="E483" t="s">
        <v>22</v>
      </c>
      <c r="F483" t="str">
        <f t="shared" si="57"/>
        <v>Male</v>
      </c>
      <c r="G483" s="1">
        <v>45951</v>
      </c>
      <c r="H483" s="1">
        <v>45758</v>
      </c>
      <c r="I483" t="s">
        <v>1432</v>
      </c>
      <c r="J483" t="str">
        <f t="shared" si="58"/>
        <v>Brianna Ortega</v>
      </c>
      <c r="K483" t="s">
        <v>28</v>
      </c>
      <c r="L483" t="str">
        <f t="shared" si="59"/>
        <v>General</v>
      </c>
      <c r="M483" t="s">
        <v>1433</v>
      </c>
      <c r="N483" t="str">
        <f t="shared" si="60"/>
        <v>USD</v>
      </c>
      <c r="O483">
        <f t="shared" si="61"/>
        <v>252.53</v>
      </c>
      <c r="P483" cm="1">
        <f t="array" ref="P483">_xlfn.IFS(N483="USD",O483*1,N483="GBP",O483*1.27,N483="EUR",O483*1.09,N483="INR",O483*0.012,N483="N/A","N/A")</f>
        <v>252.53</v>
      </c>
      <c r="Q483" t="s">
        <v>20</v>
      </c>
      <c r="R483" t="str" cm="1">
        <f t="array" ref="R483">_xlfn.IFS(Q483="Y","Yes", Q483="Yes","Yes", Q483="N","No", Q483="No","No", Q483=1,"N/A", Q483=0,"N/A", TRUE,"")</f>
        <v>Yes</v>
      </c>
      <c r="S483">
        <f t="shared" si="62"/>
        <v>14</v>
      </c>
      <c r="T483">
        <f t="shared" si="63"/>
        <v>1</v>
      </c>
      <c r="U483" t="str" cm="1">
        <f t="array" ref="U483">_xlfn.IFS(D483&lt;40,"Young Adult",AND(D483&gt;=40,D483&lt;65),"Middle Aged", D483&gt;=65,"Elderly")</f>
        <v>Middle Aged</v>
      </c>
    </row>
    <row r="484" spans="1:21" x14ac:dyDescent="0.2">
      <c r="A484">
        <v>1002</v>
      </c>
      <c r="B484">
        <f t="shared" si="56"/>
        <v>483</v>
      </c>
      <c r="C484" t="s">
        <v>1434</v>
      </c>
      <c r="D484">
        <v>89</v>
      </c>
      <c r="E484" t="s">
        <v>16</v>
      </c>
      <c r="F484" t="str">
        <f t="shared" si="57"/>
        <v>Female</v>
      </c>
      <c r="G484" s="1">
        <v>45847</v>
      </c>
      <c r="H484" s="1">
        <v>45660</v>
      </c>
      <c r="I484" t="s">
        <v>1435</v>
      </c>
      <c r="J484" t="str">
        <f t="shared" si="58"/>
        <v>Randall Watts</v>
      </c>
      <c r="K484" t="s">
        <v>24</v>
      </c>
      <c r="L484" t="str">
        <f t="shared" si="59"/>
        <v>Neurology</v>
      </c>
      <c r="M484" t="s">
        <v>1436</v>
      </c>
      <c r="N484" t="str">
        <f t="shared" si="60"/>
        <v>EUR</v>
      </c>
      <c r="O484">
        <f t="shared" si="61"/>
        <v>167.8</v>
      </c>
      <c r="P484" cm="1">
        <f t="array" ref="P484">_xlfn.IFS(N484="USD",O484*1,N484="GBP",O484*1.27,N484="EUR",O484*1.09,N484="INR",O484*0.012,N484="N/A","N/A")</f>
        <v>182.90200000000002</v>
      </c>
      <c r="Q484" t="s">
        <v>36</v>
      </c>
      <c r="R484" t="str" cm="1">
        <f t="array" ref="R484">_xlfn.IFS(Q484="Y","Yes", Q484="Yes","Yes", Q484="N","No", Q484="No","No", Q484=1,"N/A", Q484=0,"N/A", TRUE,"")</f>
        <v>Yes</v>
      </c>
      <c r="S484">
        <f t="shared" si="62"/>
        <v>7</v>
      </c>
      <c r="T484">
        <f t="shared" si="63"/>
        <v>1</v>
      </c>
      <c r="U484" t="str" cm="1">
        <f t="array" ref="U484">_xlfn.IFS(D484&lt;40,"Young Adult",AND(D484&gt;=40,D484&lt;65),"Middle Aged", D484&gt;=65,"Elderly")</f>
        <v>Elderly</v>
      </c>
    </row>
    <row r="485" spans="1:21" x14ac:dyDescent="0.2">
      <c r="A485">
        <v>1084</v>
      </c>
      <c r="B485">
        <f t="shared" si="56"/>
        <v>484</v>
      </c>
      <c r="C485" t="s">
        <v>1437</v>
      </c>
      <c r="D485">
        <v>84</v>
      </c>
      <c r="E485" t="s">
        <v>2937</v>
      </c>
      <c r="F485" t="str">
        <f t="shared" si="57"/>
        <v>N/A</v>
      </c>
      <c r="G485" s="1">
        <v>45801</v>
      </c>
      <c r="H485" s="1">
        <v>45422</v>
      </c>
      <c r="I485" t="s">
        <v>1438</v>
      </c>
      <c r="J485" t="str">
        <f t="shared" si="58"/>
        <v>Martha Byrd</v>
      </c>
      <c r="K485" t="s">
        <v>28</v>
      </c>
      <c r="L485" t="str">
        <f t="shared" si="59"/>
        <v>General</v>
      </c>
      <c r="M485" t="s">
        <v>1439</v>
      </c>
      <c r="N485" t="str">
        <f t="shared" si="60"/>
        <v>INR</v>
      </c>
      <c r="O485">
        <f t="shared" si="61"/>
        <v>347.94</v>
      </c>
      <c r="P485" cm="1">
        <f t="array" ref="P485">_xlfn.IFS(N485="USD",O485*1,N485="GBP",O485*1.27,N485="EUR",O485*1.09,N485="INR",O485*0.012,N485="N/A","N/A")</f>
        <v>4.1752799999999999</v>
      </c>
      <c r="Q485">
        <v>1</v>
      </c>
      <c r="R485" t="str" cm="1">
        <f t="array" ref="R485">_xlfn.IFS(Q485="Y","Yes", Q485="Yes","Yes", Q485="N","No", Q485="No","No", Q485=1,"N/A", Q485=0,"N/A", TRUE,"")</f>
        <v>N/A</v>
      </c>
      <c r="S485">
        <f t="shared" si="62"/>
        <v>15</v>
      </c>
      <c r="T485">
        <f t="shared" si="63"/>
        <v>1</v>
      </c>
      <c r="U485" t="str" cm="1">
        <f t="array" ref="U485">_xlfn.IFS(D485&lt;40,"Young Adult",AND(D485&gt;=40,D485&lt;65),"Middle Aged", D485&gt;=65,"Elderly")</f>
        <v>Elderly</v>
      </c>
    </row>
    <row r="486" spans="1:21" x14ac:dyDescent="0.2">
      <c r="A486">
        <v>1005</v>
      </c>
      <c r="B486">
        <f t="shared" si="56"/>
        <v>485</v>
      </c>
      <c r="C486" t="s">
        <v>1440</v>
      </c>
      <c r="D486">
        <v>80</v>
      </c>
      <c r="E486" t="s">
        <v>2937</v>
      </c>
      <c r="F486" t="str">
        <f t="shared" si="57"/>
        <v>N/A</v>
      </c>
      <c r="G486" s="1">
        <v>45793</v>
      </c>
      <c r="H486" s="1">
        <v>45609</v>
      </c>
      <c r="I486" t="s">
        <v>1441</v>
      </c>
      <c r="J486" t="str">
        <f t="shared" si="58"/>
        <v>Thomas Baker</v>
      </c>
      <c r="K486" t="s">
        <v>24</v>
      </c>
      <c r="L486" t="str">
        <f t="shared" si="59"/>
        <v>Neurology</v>
      </c>
      <c r="M486" t="s">
        <v>1442</v>
      </c>
      <c r="N486" t="str">
        <f t="shared" si="60"/>
        <v>GBP</v>
      </c>
      <c r="O486">
        <f t="shared" si="61"/>
        <v>305.02</v>
      </c>
      <c r="P486" cm="1">
        <f t="array" ref="P486">_xlfn.IFS(N486="USD",O486*1,N486="GBP",O486*1.27,N486="EUR",O486*1.09,N486="INR",O486*0.012,N486="N/A","N/A")</f>
        <v>387.37539999999996</v>
      </c>
      <c r="Q486" t="s">
        <v>20</v>
      </c>
      <c r="R486" t="str" cm="1">
        <f t="array" ref="R486">_xlfn.IFS(Q486="Y","Yes", Q486="Yes","Yes", Q486="N","No", Q486="No","No", Q486=1,"N/A", Q486=0,"N/A", TRUE,"")</f>
        <v>Yes</v>
      </c>
      <c r="S486">
        <f t="shared" si="62"/>
        <v>13</v>
      </c>
      <c r="T486">
        <f t="shared" si="63"/>
        <v>1</v>
      </c>
      <c r="U486" t="str" cm="1">
        <f t="array" ref="U486">_xlfn.IFS(D486&lt;40,"Young Adult",AND(D486&gt;=40,D486&lt;65),"Middle Aged", D486&gt;=65,"Elderly")</f>
        <v>Elderly</v>
      </c>
    </row>
    <row r="487" spans="1:21" x14ac:dyDescent="0.2">
      <c r="A487">
        <v>1094</v>
      </c>
      <c r="B487">
        <f t="shared" si="56"/>
        <v>486</v>
      </c>
      <c r="C487" t="s">
        <v>1443</v>
      </c>
      <c r="D487">
        <v>59</v>
      </c>
      <c r="E487" t="s">
        <v>38</v>
      </c>
      <c r="F487" t="str">
        <f t="shared" si="57"/>
        <v>Female</v>
      </c>
      <c r="G487" s="1">
        <v>46079</v>
      </c>
      <c r="H487" s="1">
        <v>45529</v>
      </c>
      <c r="I487" t="s">
        <v>1444</v>
      </c>
      <c r="J487" t="str">
        <f t="shared" si="58"/>
        <v>Judith Preston</v>
      </c>
      <c r="K487" t="s">
        <v>24</v>
      </c>
      <c r="L487" t="str">
        <f t="shared" si="59"/>
        <v>Neurology</v>
      </c>
      <c r="M487" t="s">
        <v>1445</v>
      </c>
      <c r="N487" t="str">
        <f t="shared" si="60"/>
        <v>EUR</v>
      </c>
      <c r="O487">
        <f t="shared" si="61"/>
        <v>83.61</v>
      </c>
      <c r="P487" cm="1">
        <f t="array" ref="P487">_xlfn.IFS(N487="USD",O487*1,N487="GBP",O487*1.27,N487="EUR",O487*1.09,N487="INR",O487*0.012,N487="N/A","N/A")</f>
        <v>91.134900000000002</v>
      </c>
      <c r="Q487" t="s">
        <v>30</v>
      </c>
      <c r="R487" t="str" cm="1">
        <f t="array" ref="R487">_xlfn.IFS(Q487="Y","Yes", Q487="Yes","Yes", Q487="N","No", Q487="No","No", Q487=1,"N/A", Q487=0,"N/A", TRUE,"")</f>
        <v>No</v>
      </c>
      <c r="S487">
        <f t="shared" si="62"/>
        <v>8</v>
      </c>
      <c r="T487">
        <f t="shared" si="63"/>
        <v>1</v>
      </c>
      <c r="U487" t="str" cm="1">
        <f t="array" ref="U487">_xlfn.IFS(D487&lt;40,"Young Adult",AND(D487&gt;=40,D487&lt;65),"Middle Aged", D487&gt;=65,"Elderly")</f>
        <v>Middle Aged</v>
      </c>
    </row>
    <row r="488" spans="1:21" x14ac:dyDescent="0.2">
      <c r="A488">
        <v>1084</v>
      </c>
      <c r="B488">
        <f t="shared" si="56"/>
        <v>487</v>
      </c>
      <c r="C488" t="s">
        <v>1446</v>
      </c>
      <c r="D488">
        <v>55</v>
      </c>
      <c r="E488" t="s">
        <v>38</v>
      </c>
      <c r="F488" t="str">
        <f t="shared" si="57"/>
        <v>Female</v>
      </c>
      <c r="G488" s="1">
        <v>45776</v>
      </c>
      <c r="H488" s="1">
        <v>45632</v>
      </c>
      <c r="I488" t="s">
        <v>1447</v>
      </c>
      <c r="J488" t="str">
        <f t="shared" si="58"/>
        <v>Amber King</v>
      </c>
      <c r="K488" t="s">
        <v>24</v>
      </c>
      <c r="L488" t="str">
        <f t="shared" si="59"/>
        <v>Neurology</v>
      </c>
      <c r="M488" t="s">
        <v>1448</v>
      </c>
      <c r="N488" t="str">
        <f t="shared" si="60"/>
        <v>GBP</v>
      </c>
      <c r="O488">
        <f t="shared" si="61"/>
        <v>360.39</v>
      </c>
      <c r="P488" cm="1">
        <f t="array" ref="P488">_xlfn.IFS(N488="USD",O488*1,N488="GBP",O488*1.27,N488="EUR",O488*1.09,N488="INR",O488*0.012,N488="N/A","N/A")</f>
        <v>457.69529999999997</v>
      </c>
      <c r="Q488" t="s">
        <v>60</v>
      </c>
      <c r="R488" t="str" cm="1">
        <f t="array" ref="R488">_xlfn.IFS(Q488="Y","Yes", Q488="Yes","Yes", Q488="N","No", Q488="No","No", Q488=1,"N/A", Q488=0,"N/A", TRUE,"")</f>
        <v>No</v>
      </c>
      <c r="S488">
        <f t="shared" si="62"/>
        <v>15</v>
      </c>
      <c r="T488">
        <f t="shared" si="63"/>
        <v>1</v>
      </c>
      <c r="U488" t="str" cm="1">
        <f t="array" ref="U488">_xlfn.IFS(D488&lt;40,"Young Adult",AND(D488&gt;=40,D488&lt;65),"Middle Aged", D488&gt;=65,"Elderly")</f>
        <v>Middle Aged</v>
      </c>
    </row>
    <row r="489" spans="1:21" x14ac:dyDescent="0.2">
      <c r="A489">
        <v>1044</v>
      </c>
      <c r="B489">
        <f t="shared" si="56"/>
        <v>488</v>
      </c>
      <c r="C489" t="s">
        <v>1449</v>
      </c>
      <c r="D489">
        <v>68</v>
      </c>
      <c r="E489" t="s">
        <v>51</v>
      </c>
      <c r="F489" t="str">
        <f t="shared" si="57"/>
        <v>Male</v>
      </c>
      <c r="G489" s="1">
        <v>45888</v>
      </c>
      <c r="H489" s="1">
        <v>45688</v>
      </c>
      <c r="I489" t="s">
        <v>1450</v>
      </c>
      <c r="J489" t="str">
        <f t="shared" si="58"/>
        <v>Sandra Sloan</v>
      </c>
      <c r="K489" t="s">
        <v>18</v>
      </c>
      <c r="L489" t="str">
        <f t="shared" si="59"/>
        <v>Orthopedics</v>
      </c>
      <c r="M489" t="s">
        <v>1451</v>
      </c>
      <c r="N489" t="str">
        <f t="shared" si="60"/>
        <v>EUR</v>
      </c>
      <c r="O489">
        <f t="shared" si="61"/>
        <v>402.4</v>
      </c>
      <c r="P489" cm="1">
        <f t="array" ref="P489">_xlfn.IFS(N489="USD",O489*1,N489="GBP",O489*1.27,N489="EUR",O489*1.09,N489="INR",O489*0.012,N489="N/A","N/A")</f>
        <v>438.61599999999999</v>
      </c>
      <c r="Q489" t="s">
        <v>36</v>
      </c>
      <c r="R489" t="str" cm="1">
        <f t="array" ref="R489">_xlfn.IFS(Q489="Y","Yes", Q489="Yes","Yes", Q489="N","No", Q489="No","No", Q489=1,"N/A", Q489=0,"N/A", TRUE,"")</f>
        <v>Yes</v>
      </c>
      <c r="S489">
        <f t="shared" si="62"/>
        <v>12</v>
      </c>
      <c r="T489">
        <f t="shared" si="63"/>
        <v>1</v>
      </c>
      <c r="U489" t="str" cm="1">
        <f t="array" ref="U489">_xlfn.IFS(D489&lt;40,"Young Adult",AND(D489&gt;=40,D489&lt;65),"Middle Aged", D489&gt;=65,"Elderly")</f>
        <v>Elderly</v>
      </c>
    </row>
    <row r="490" spans="1:21" x14ac:dyDescent="0.2">
      <c r="A490">
        <v>1067</v>
      </c>
      <c r="B490">
        <f t="shared" si="56"/>
        <v>489</v>
      </c>
      <c r="C490" t="s">
        <v>1452</v>
      </c>
      <c r="D490">
        <v>60</v>
      </c>
      <c r="E490" t="s">
        <v>71</v>
      </c>
      <c r="F490" t="str">
        <f t="shared" si="57"/>
        <v>Male</v>
      </c>
      <c r="G490" s="1">
        <v>45969</v>
      </c>
      <c r="H490" s="1">
        <v>45746</v>
      </c>
      <c r="I490" t="s">
        <v>1453</v>
      </c>
      <c r="J490" t="str">
        <f t="shared" si="58"/>
        <v>Russell Myers</v>
      </c>
      <c r="K490" t="s">
        <v>13</v>
      </c>
      <c r="L490" t="str">
        <f t="shared" si="59"/>
        <v>Cardiology</v>
      </c>
      <c r="M490" t="s">
        <v>1454</v>
      </c>
      <c r="N490" t="str">
        <f t="shared" si="60"/>
        <v>GBP</v>
      </c>
      <c r="O490">
        <f t="shared" si="61"/>
        <v>234.26</v>
      </c>
      <c r="P490" cm="1">
        <f t="array" ref="P490">_xlfn.IFS(N490="USD",O490*1,N490="GBP",O490*1.27,N490="EUR",O490*1.09,N490="INR",O490*0.012,N490="N/A","N/A")</f>
        <v>297.5102</v>
      </c>
      <c r="Q490" t="s">
        <v>60</v>
      </c>
      <c r="R490" t="str" cm="1">
        <f t="array" ref="R490">_xlfn.IFS(Q490="Y","Yes", Q490="Yes","Yes", Q490="N","No", Q490="No","No", Q490=1,"N/A", Q490=0,"N/A", TRUE,"")</f>
        <v>No</v>
      </c>
      <c r="S490">
        <f t="shared" si="62"/>
        <v>9</v>
      </c>
      <c r="T490">
        <f t="shared" si="63"/>
        <v>1</v>
      </c>
      <c r="U490" t="str" cm="1">
        <f t="array" ref="U490">_xlfn.IFS(D490&lt;40,"Young Adult",AND(D490&gt;=40,D490&lt;65),"Middle Aged", D490&gt;=65,"Elderly")</f>
        <v>Middle Aged</v>
      </c>
    </row>
    <row r="491" spans="1:21" x14ac:dyDescent="0.2">
      <c r="A491">
        <v>1083</v>
      </c>
      <c r="B491">
        <f t="shared" si="56"/>
        <v>490</v>
      </c>
      <c r="C491" t="s">
        <v>1455</v>
      </c>
      <c r="D491">
        <v>59</v>
      </c>
      <c r="E491" t="s">
        <v>71</v>
      </c>
      <c r="F491" t="str">
        <f t="shared" si="57"/>
        <v>Male</v>
      </c>
      <c r="G491" s="1">
        <v>45918</v>
      </c>
      <c r="H491" s="1">
        <v>45458</v>
      </c>
      <c r="I491" t="s">
        <v>1456</v>
      </c>
      <c r="J491" t="str">
        <f t="shared" si="58"/>
        <v>Megan Garcia</v>
      </c>
      <c r="K491" t="s">
        <v>24</v>
      </c>
      <c r="L491" t="str">
        <f t="shared" si="59"/>
        <v>Neurology</v>
      </c>
      <c r="M491" t="s">
        <v>1457</v>
      </c>
      <c r="N491" t="str">
        <f t="shared" si="60"/>
        <v>INR</v>
      </c>
      <c r="O491">
        <f t="shared" si="61"/>
        <v>219.5</v>
      </c>
      <c r="P491" cm="1">
        <f t="array" ref="P491">_xlfn.IFS(N491="USD",O491*1,N491="GBP",O491*1.27,N491="EUR",O491*1.09,N491="INR",O491*0.012,N491="N/A","N/A")</f>
        <v>2.6339999999999999</v>
      </c>
      <c r="Q491" t="s">
        <v>20</v>
      </c>
      <c r="R491" t="str" cm="1">
        <f t="array" ref="R491">_xlfn.IFS(Q491="Y","Yes", Q491="Yes","Yes", Q491="N","No", Q491="No","No", Q491=1,"N/A", Q491=0,"N/A", TRUE,"")</f>
        <v>Yes</v>
      </c>
      <c r="S491">
        <f t="shared" si="62"/>
        <v>7</v>
      </c>
      <c r="T491">
        <f t="shared" si="63"/>
        <v>1</v>
      </c>
      <c r="U491" t="str" cm="1">
        <f t="array" ref="U491">_xlfn.IFS(D491&lt;40,"Young Adult",AND(D491&gt;=40,D491&lt;65),"Middle Aged", D491&gt;=65,"Elderly")</f>
        <v>Middle Aged</v>
      </c>
    </row>
    <row r="492" spans="1:21" x14ac:dyDescent="0.2">
      <c r="A492">
        <v>1017</v>
      </c>
      <c r="B492">
        <f t="shared" si="56"/>
        <v>491</v>
      </c>
      <c r="C492" t="s">
        <v>1458</v>
      </c>
      <c r="D492">
        <v>84</v>
      </c>
      <c r="E492" t="s">
        <v>16</v>
      </c>
      <c r="F492" t="str">
        <f t="shared" si="57"/>
        <v>Female</v>
      </c>
      <c r="G492" s="1">
        <v>46058</v>
      </c>
      <c r="H492" s="1">
        <v>45440</v>
      </c>
      <c r="I492" t="s">
        <v>1459</v>
      </c>
      <c r="J492" t="str">
        <f t="shared" si="58"/>
        <v>Gloria Perez</v>
      </c>
      <c r="K492" t="s">
        <v>18</v>
      </c>
      <c r="L492" t="str">
        <f t="shared" si="59"/>
        <v>Orthopedics</v>
      </c>
      <c r="M492" t="s">
        <v>1460</v>
      </c>
      <c r="N492" t="str">
        <f t="shared" si="60"/>
        <v>EUR</v>
      </c>
      <c r="O492">
        <f t="shared" si="61"/>
        <v>191.19</v>
      </c>
      <c r="P492" cm="1">
        <f t="array" ref="P492">_xlfn.IFS(N492="USD",O492*1,N492="GBP",O492*1.27,N492="EUR",O492*1.09,N492="INR",O492*0.012,N492="N/A","N/A")</f>
        <v>208.39710000000002</v>
      </c>
      <c r="Q492" t="s">
        <v>60</v>
      </c>
      <c r="R492" t="str" cm="1">
        <f t="array" ref="R492">_xlfn.IFS(Q492="Y","Yes", Q492="Yes","Yes", Q492="N","No", Q492="No","No", Q492=1,"N/A", Q492=0,"N/A", TRUE,"")</f>
        <v>No</v>
      </c>
      <c r="S492">
        <f t="shared" si="62"/>
        <v>8</v>
      </c>
      <c r="T492">
        <f t="shared" si="63"/>
        <v>1</v>
      </c>
      <c r="U492" t="str" cm="1">
        <f t="array" ref="U492">_xlfn.IFS(D492&lt;40,"Young Adult",AND(D492&gt;=40,D492&lt;65),"Middle Aged", D492&gt;=65,"Elderly")</f>
        <v>Elderly</v>
      </c>
    </row>
    <row r="493" spans="1:21" x14ac:dyDescent="0.2">
      <c r="A493">
        <v>1080</v>
      </c>
      <c r="B493">
        <f t="shared" si="56"/>
        <v>492</v>
      </c>
      <c r="C493" t="s">
        <v>1461</v>
      </c>
      <c r="D493">
        <v>38</v>
      </c>
      <c r="E493" t="s">
        <v>2937</v>
      </c>
      <c r="F493" t="str">
        <f t="shared" si="57"/>
        <v>N/A</v>
      </c>
      <c r="G493" s="1">
        <v>45808</v>
      </c>
      <c r="H493" s="1">
        <v>45438</v>
      </c>
      <c r="I493" t="s">
        <v>1462</v>
      </c>
      <c r="J493" t="str">
        <f t="shared" si="58"/>
        <v>Eugene Little</v>
      </c>
      <c r="K493" t="s">
        <v>18</v>
      </c>
      <c r="L493" t="str">
        <f t="shared" si="59"/>
        <v>Orthopedics</v>
      </c>
      <c r="M493" t="s">
        <v>1463</v>
      </c>
      <c r="N493" t="str">
        <f t="shared" si="60"/>
        <v>INR</v>
      </c>
      <c r="O493">
        <f t="shared" si="61"/>
        <v>318.14999999999998</v>
      </c>
      <c r="P493" cm="1">
        <f t="array" ref="P493">_xlfn.IFS(N493="USD",O493*1,N493="GBP",O493*1.27,N493="EUR",O493*1.09,N493="INR",O493*0.012,N493="N/A","N/A")</f>
        <v>3.8177999999999996</v>
      </c>
      <c r="Q493">
        <v>1</v>
      </c>
      <c r="R493" t="str" cm="1">
        <f t="array" ref="R493">_xlfn.IFS(Q493="Y","Yes", Q493="Yes","Yes", Q493="N","No", Q493="No","No", Q493=1,"N/A", Q493=0,"N/A", TRUE,"")</f>
        <v>N/A</v>
      </c>
      <c r="S493">
        <f t="shared" si="62"/>
        <v>11</v>
      </c>
      <c r="T493">
        <f t="shared" si="63"/>
        <v>1</v>
      </c>
      <c r="U493" t="str" cm="1">
        <f t="array" ref="U493">_xlfn.IFS(D493&lt;40,"Young Adult",AND(D493&gt;=40,D493&lt;65),"Middle Aged", D493&gt;=65,"Elderly")</f>
        <v>Young Adult</v>
      </c>
    </row>
    <row r="494" spans="1:21" x14ac:dyDescent="0.2">
      <c r="A494">
        <v>1089</v>
      </c>
      <c r="B494">
        <f t="shared" si="56"/>
        <v>493</v>
      </c>
      <c r="C494" t="s">
        <v>1464</v>
      </c>
      <c r="D494">
        <v>23</v>
      </c>
      <c r="E494" t="s">
        <v>16</v>
      </c>
      <c r="F494" t="str">
        <f t="shared" si="57"/>
        <v>Female</v>
      </c>
      <c r="G494" s="1">
        <v>45879</v>
      </c>
      <c r="H494" s="1">
        <v>45769</v>
      </c>
      <c r="I494" t="s">
        <v>1465</v>
      </c>
      <c r="J494" t="str">
        <f t="shared" si="58"/>
        <v>Audrey Hansen</v>
      </c>
      <c r="K494" t="s">
        <v>28</v>
      </c>
      <c r="L494" t="str">
        <f t="shared" si="59"/>
        <v>General</v>
      </c>
      <c r="M494" t="s">
        <v>1466</v>
      </c>
      <c r="N494" t="str">
        <f t="shared" si="60"/>
        <v>USD</v>
      </c>
      <c r="O494">
        <f t="shared" si="61"/>
        <v>350</v>
      </c>
      <c r="P494" cm="1">
        <f t="array" ref="P494">_xlfn.IFS(N494="USD",O494*1,N494="GBP",O494*1.27,N494="EUR",O494*1.09,N494="INR",O494*0.012,N494="N/A","N/A")</f>
        <v>350</v>
      </c>
      <c r="Q494">
        <v>0</v>
      </c>
      <c r="R494" t="str" cm="1">
        <f t="array" ref="R494">_xlfn.IFS(Q494="Y","Yes", Q494="Yes","Yes", Q494="N","No", Q494="No","No", Q494=1,"N/A", Q494=0,"N/A", TRUE,"")</f>
        <v>N/A</v>
      </c>
      <c r="S494">
        <f t="shared" si="62"/>
        <v>16</v>
      </c>
      <c r="T494">
        <f t="shared" si="63"/>
        <v>1</v>
      </c>
      <c r="U494" t="str" cm="1">
        <f t="array" ref="U494">_xlfn.IFS(D494&lt;40,"Young Adult",AND(D494&gt;=40,D494&lt;65),"Middle Aged", D494&gt;=65,"Elderly")</f>
        <v>Young Adult</v>
      </c>
    </row>
    <row r="495" spans="1:21" x14ac:dyDescent="0.2">
      <c r="A495">
        <v>1070</v>
      </c>
      <c r="B495">
        <f t="shared" si="56"/>
        <v>494</v>
      </c>
      <c r="C495" t="s">
        <v>1467</v>
      </c>
      <c r="D495">
        <v>62</v>
      </c>
      <c r="E495" t="s">
        <v>38</v>
      </c>
      <c r="F495" t="str">
        <f t="shared" si="57"/>
        <v>Female</v>
      </c>
      <c r="G495" s="1">
        <v>45909</v>
      </c>
      <c r="H495" s="1">
        <v>45621</v>
      </c>
      <c r="I495" t="s">
        <v>1468</v>
      </c>
      <c r="J495" t="str">
        <f t="shared" si="58"/>
        <v>Nathan Quinn</v>
      </c>
      <c r="K495" t="s">
        <v>13</v>
      </c>
      <c r="L495" t="str">
        <f t="shared" si="59"/>
        <v>Cardiology</v>
      </c>
      <c r="M495" t="s">
        <v>1469</v>
      </c>
      <c r="N495" t="str">
        <f t="shared" si="60"/>
        <v>INR</v>
      </c>
      <c r="O495">
        <f t="shared" si="61"/>
        <v>178.28</v>
      </c>
      <c r="P495" cm="1">
        <f t="array" ref="P495">_xlfn.IFS(N495="USD",O495*1,N495="GBP",O495*1.27,N495="EUR",O495*1.09,N495="INR",O495*0.012,N495="N/A","N/A")</f>
        <v>2.1393599999999999</v>
      </c>
      <c r="Q495" t="s">
        <v>36</v>
      </c>
      <c r="R495" t="str" cm="1">
        <f t="array" ref="R495">_xlfn.IFS(Q495="Y","Yes", Q495="Yes","Yes", Q495="N","No", Q495="No","No", Q495=1,"N/A", Q495=0,"N/A", TRUE,"")</f>
        <v>Yes</v>
      </c>
      <c r="S495">
        <f t="shared" si="62"/>
        <v>13</v>
      </c>
      <c r="T495">
        <f t="shared" si="63"/>
        <v>1</v>
      </c>
      <c r="U495" t="str" cm="1">
        <f t="array" ref="U495">_xlfn.IFS(D495&lt;40,"Young Adult",AND(D495&gt;=40,D495&lt;65),"Middle Aged", D495&gt;=65,"Elderly")</f>
        <v>Middle Aged</v>
      </c>
    </row>
    <row r="496" spans="1:21" x14ac:dyDescent="0.2">
      <c r="A496">
        <v>1093</v>
      </c>
      <c r="B496">
        <f t="shared" si="56"/>
        <v>495</v>
      </c>
      <c r="C496" t="s">
        <v>1470</v>
      </c>
      <c r="D496">
        <v>34</v>
      </c>
      <c r="E496" t="s">
        <v>2937</v>
      </c>
      <c r="F496" t="str">
        <f t="shared" si="57"/>
        <v>N/A</v>
      </c>
      <c r="G496" s="1">
        <v>46085</v>
      </c>
      <c r="H496" s="1">
        <v>45546</v>
      </c>
      <c r="I496" t="s">
        <v>1471</v>
      </c>
      <c r="J496" t="str">
        <f t="shared" si="58"/>
        <v>Brian Young</v>
      </c>
      <c r="K496" t="s">
        <v>18</v>
      </c>
      <c r="L496" t="str">
        <f t="shared" si="59"/>
        <v>Orthopedics</v>
      </c>
      <c r="M496" t="s">
        <v>1472</v>
      </c>
      <c r="N496" t="str">
        <f t="shared" si="60"/>
        <v>USD</v>
      </c>
      <c r="O496">
        <f t="shared" si="61"/>
        <v>248.31</v>
      </c>
      <c r="P496" cm="1">
        <f t="array" ref="P496">_xlfn.IFS(N496="USD",O496*1,N496="GBP",O496*1.27,N496="EUR",O496*1.09,N496="INR",O496*0.012,N496="N/A","N/A")</f>
        <v>248.31</v>
      </c>
      <c r="Q496" t="s">
        <v>20</v>
      </c>
      <c r="R496" t="str" cm="1">
        <f t="array" ref="R496">_xlfn.IFS(Q496="Y","Yes", Q496="Yes","Yes", Q496="N","No", Q496="No","No", Q496=1,"N/A", Q496=0,"N/A", TRUE,"")</f>
        <v>Yes</v>
      </c>
      <c r="S496">
        <f t="shared" si="62"/>
        <v>11</v>
      </c>
      <c r="T496">
        <f t="shared" si="63"/>
        <v>1</v>
      </c>
      <c r="U496" t="str" cm="1">
        <f t="array" ref="U496">_xlfn.IFS(D496&lt;40,"Young Adult",AND(D496&gt;=40,D496&lt;65),"Middle Aged", D496&gt;=65,"Elderly")</f>
        <v>Young Adult</v>
      </c>
    </row>
    <row r="497" spans="1:21" x14ac:dyDescent="0.2">
      <c r="A497">
        <v>1088</v>
      </c>
      <c r="B497">
        <f t="shared" si="56"/>
        <v>496</v>
      </c>
      <c r="C497" t="s">
        <v>1473</v>
      </c>
      <c r="D497">
        <v>35</v>
      </c>
      <c r="E497" t="s">
        <v>22</v>
      </c>
      <c r="F497" t="str">
        <f t="shared" si="57"/>
        <v>Male</v>
      </c>
      <c r="G497" s="1">
        <v>45957</v>
      </c>
      <c r="H497" s="1">
        <v>45849</v>
      </c>
      <c r="I497" t="s">
        <v>1474</v>
      </c>
      <c r="J497" t="str">
        <f t="shared" si="58"/>
        <v>Tanya Barker</v>
      </c>
      <c r="K497" t="s">
        <v>13</v>
      </c>
      <c r="L497" t="str">
        <f t="shared" si="59"/>
        <v>Cardiology</v>
      </c>
      <c r="M497" t="s">
        <v>1475</v>
      </c>
      <c r="N497" t="str">
        <f t="shared" si="60"/>
        <v>INR</v>
      </c>
      <c r="O497">
        <f t="shared" si="61"/>
        <v>352.72</v>
      </c>
      <c r="P497" cm="1">
        <f t="array" ref="P497">_xlfn.IFS(N497="USD",O497*1,N497="GBP",O497*1.27,N497="EUR",O497*1.09,N497="INR",O497*0.012,N497="N/A","N/A")</f>
        <v>4.2326400000000008</v>
      </c>
      <c r="Q497">
        <v>1</v>
      </c>
      <c r="R497" t="str" cm="1">
        <f t="array" ref="R497">_xlfn.IFS(Q497="Y","Yes", Q497="Yes","Yes", Q497="N","No", Q497="No","No", Q497=1,"N/A", Q497=0,"N/A", TRUE,"")</f>
        <v>N/A</v>
      </c>
      <c r="S497">
        <f t="shared" si="62"/>
        <v>16</v>
      </c>
      <c r="T497">
        <f t="shared" si="63"/>
        <v>1</v>
      </c>
      <c r="U497" t="str" cm="1">
        <f t="array" ref="U497">_xlfn.IFS(D497&lt;40,"Young Adult",AND(D497&gt;=40,D497&lt;65),"Middle Aged", D497&gt;=65,"Elderly")</f>
        <v>Young Adult</v>
      </c>
    </row>
    <row r="498" spans="1:21" x14ac:dyDescent="0.2">
      <c r="A498">
        <v>1086</v>
      </c>
      <c r="B498">
        <f t="shared" si="56"/>
        <v>497</v>
      </c>
      <c r="C498" t="s">
        <v>1476</v>
      </c>
      <c r="D498">
        <v>36</v>
      </c>
      <c r="E498" t="s">
        <v>71</v>
      </c>
      <c r="F498" t="str">
        <f t="shared" si="57"/>
        <v>Male</v>
      </c>
      <c r="G498" s="1">
        <v>46098</v>
      </c>
      <c r="H498" s="1">
        <v>45529</v>
      </c>
      <c r="I498" t="s">
        <v>1477</v>
      </c>
      <c r="J498" t="str">
        <f t="shared" si="58"/>
        <v>Scott King</v>
      </c>
      <c r="K498" t="s">
        <v>18</v>
      </c>
      <c r="L498" t="str">
        <f t="shared" si="59"/>
        <v>Orthopedics</v>
      </c>
      <c r="M498" t="s">
        <v>1478</v>
      </c>
      <c r="N498" t="str">
        <f t="shared" si="60"/>
        <v>EUR</v>
      </c>
      <c r="O498">
        <f t="shared" si="61"/>
        <v>208.03</v>
      </c>
      <c r="P498" cm="1">
        <f t="array" ref="P498">_xlfn.IFS(N498="USD",O498*1,N498="GBP",O498*1.27,N498="EUR",O498*1.09,N498="INR",O498*0.012,N498="N/A","N/A")</f>
        <v>226.7527</v>
      </c>
      <c r="Q498">
        <v>0</v>
      </c>
      <c r="R498" t="str" cm="1">
        <f t="array" ref="R498">_xlfn.IFS(Q498="Y","Yes", Q498="Yes","Yes", Q498="N","No", Q498="No","No", Q498=1,"N/A", Q498=0,"N/A", TRUE,"")</f>
        <v>N/A</v>
      </c>
      <c r="S498">
        <f t="shared" si="62"/>
        <v>9</v>
      </c>
      <c r="T498">
        <f t="shared" si="63"/>
        <v>1</v>
      </c>
      <c r="U498" t="str" cm="1">
        <f t="array" ref="U498">_xlfn.IFS(D498&lt;40,"Young Adult",AND(D498&gt;=40,D498&lt;65),"Middle Aged", D498&gt;=65,"Elderly")</f>
        <v>Young Adult</v>
      </c>
    </row>
    <row r="499" spans="1:21" x14ac:dyDescent="0.2">
      <c r="A499">
        <v>1033</v>
      </c>
      <c r="B499">
        <f t="shared" si="56"/>
        <v>498</v>
      </c>
      <c r="C499" t="s">
        <v>1479</v>
      </c>
      <c r="D499">
        <v>47</v>
      </c>
      <c r="E499" t="s">
        <v>2937</v>
      </c>
      <c r="F499" t="str">
        <f t="shared" si="57"/>
        <v>N/A</v>
      </c>
      <c r="G499" s="1">
        <v>45994</v>
      </c>
      <c r="H499" s="1">
        <v>45893</v>
      </c>
      <c r="I499" t="s">
        <v>1480</v>
      </c>
      <c r="J499" t="str">
        <f t="shared" si="58"/>
        <v>Derek Velazquez</v>
      </c>
      <c r="K499" t="s">
        <v>13</v>
      </c>
      <c r="L499" t="str">
        <f t="shared" si="59"/>
        <v>Cardiology</v>
      </c>
      <c r="M499" t="s">
        <v>1481</v>
      </c>
      <c r="N499" t="str">
        <f t="shared" si="60"/>
        <v>GBP</v>
      </c>
      <c r="O499">
        <f t="shared" si="61"/>
        <v>116.75</v>
      </c>
      <c r="P499" cm="1">
        <f t="array" ref="P499">_xlfn.IFS(N499="USD",O499*1,N499="GBP",O499*1.27,N499="EUR",O499*1.09,N499="INR",O499*0.012,N499="N/A","N/A")</f>
        <v>148.27250000000001</v>
      </c>
      <c r="Q499" t="s">
        <v>60</v>
      </c>
      <c r="R499" t="str" cm="1">
        <f t="array" ref="R499">_xlfn.IFS(Q499="Y","Yes", Q499="Yes","Yes", Q499="N","No", Q499="No","No", Q499=1,"N/A", Q499=0,"N/A", TRUE,"")</f>
        <v>No</v>
      </c>
      <c r="S499">
        <f t="shared" si="62"/>
        <v>11</v>
      </c>
      <c r="T499">
        <f t="shared" si="63"/>
        <v>1</v>
      </c>
      <c r="U499" t="str" cm="1">
        <f t="array" ref="U499">_xlfn.IFS(D499&lt;40,"Young Adult",AND(D499&gt;=40,D499&lt;65),"Middle Aged", D499&gt;=65,"Elderly")</f>
        <v>Middle Aged</v>
      </c>
    </row>
    <row r="500" spans="1:21" x14ac:dyDescent="0.2">
      <c r="A500">
        <v>1023</v>
      </c>
      <c r="B500">
        <f t="shared" si="56"/>
        <v>499</v>
      </c>
      <c r="C500" t="s">
        <v>1482</v>
      </c>
      <c r="D500">
        <v>36</v>
      </c>
      <c r="E500" t="s">
        <v>2937</v>
      </c>
      <c r="F500" t="str">
        <f t="shared" si="57"/>
        <v>N/A</v>
      </c>
      <c r="G500" s="1">
        <v>45943</v>
      </c>
      <c r="H500" s="1">
        <v>45665</v>
      </c>
      <c r="I500" t="s">
        <v>1483</v>
      </c>
      <c r="J500" t="str">
        <f t="shared" si="58"/>
        <v>Ernest Rodriguez</v>
      </c>
      <c r="K500" t="s">
        <v>13</v>
      </c>
      <c r="L500" t="str">
        <f t="shared" si="59"/>
        <v>Cardiology</v>
      </c>
      <c r="M500" t="s">
        <v>1484</v>
      </c>
      <c r="N500" t="str">
        <f t="shared" si="60"/>
        <v>EUR</v>
      </c>
      <c r="O500">
        <f t="shared" si="61"/>
        <v>91.29</v>
      </c>
      <c r="P500" cm="1">
        <f t="array" ref="P500">_xlfn.IFS(N500="USD",O500*1,N500="GBP",O500*1.27,N500="EUR",O500*1.09,N500="INR",O500*0.012,N500="N/A","N/A")</f>
        <v>99.506100000000018</v>
      </c>
      <c r="Q500" t="s">
        <v>60</v>
      </c>
      <c r="R500" t="str" cm="1">
        <f t="array" ref="R500">_xlfn.IFS(Q500="Y","Yes", Q500="Yes","Yes", Q500="N","No", Q500="No","No", Q500=1,"N/A", Q500=0,"N/A", TRUE,"")</f>
        <v>No</v>
      </c>
      <c r="S500">
        <f t="shared" si="62"/>
        <v>4</v>
      </c>
      <c r="T500">
        <f t="shared" si="63"/>
        <v>1</v>
      </c>
      <c r="U500" t="str" cm="1">
        <f t="array" ref="U500">_xlfn.IFS(D500&lt;40,"Young Adult",AND(D500&gt;=40,D500&lt;65),"Middle Aged", D500&gt;=65,"Elderly")</f>
        <v>Young Adult</v>
      </c>
    </row>
    <row r="501" spans="1:21" x14ac:dyDescent="0.2">
      <c r="A501">
        <v>1053</v>
      </c>
      <c r="B501">
        <f t="shared" si="56"/>
        <v>500</v>
      </c>
      <c r="C501" t="s">
        <v>1485</v>
      </c>
      <c r="D501">
        <v>57</v>
      </c>
      <c r="E501" t="s">
        <v>2937</v>
      </c>
      <c r="F501" t="str">
        <f t="shared" si="57"/>
        <v>N/A</v>
      </c>
      <c r="G501" s="1">
        <v>45836</v>
      </c>
      <c r="H501" s="1">
        <v>45598</v>
      </c>
      <c r="I501" t="s">
        <v>1486</v>
      </c>
      <c r="J501" t="str">
        <f t="shared" si="58"/>
        <v>Kara Austin</v>
      </c>
      <c r="K501" t="s">
        <v>13</v>
      </c>
      <c r="L501" t="str">
        <f t="shared" si="59"/>
        <v>Cardiology</v>
      </c>
      <c r="M501" t="s">
        <v>1487</v>
      </c>
      <c r="N501" t="str">
        <f t="shared" si="60"/>
        <v>EUR</v>
      </c>
      <c r="O501">
        <f t="shared" si="61"/>
        <v>198.61</v>
      </c>
      <c r="P501" cm="1">
        <f t="array" ref="P501">_xlfn.IFS(N501="USD",O501*1,N501="GBP",O501*1.27,N501="EUR",O501*1.09,N501="INR",O501*0.012,N501="N/A","N/A")</f>
        <v>216.48490000000004</v>
      </c>
      <c r="Q501" t="s">
        <v>36</v>
      </c>
      <c r="R501" t="str" cm="1">
        <f t="array" ref="R501">_xlfn.IFS(Q501="Y","Yes", Q501="Yes","Yes", Q501="N","No", Q501="No","No", Q501=1,"N/A", Q501=0,"N/A", TRUE,"")</f>
        <v>Yes</v>
      </c>
      <c r="S501">
        <f t="shared" si="62"/>
        <v>14</v>
      </c>
      <c r="T501">
        <f t="shared" si="63"/>
        <v>1</v>
      </c>
      <c r="U501" t="str" cm="1">
        <f t="array" ref="U501">_xlfn.IFS(D501&lt;40,"Young Adult",AND(D501&gt;=40,D501&lt;65),"Middle Aged", D501&gt;=65,"Elderly")</f>
        <v>Middle Aged</v>
      </c>
    </row>
    <row r="502" spans="1:21" x14ac:dyDescent="0.2">
      <c r="A502">
        <v>1040</v>
      </c>
      <c r="B502">
        <f t="shared" si="56"/>
        <v>501</v>
      </c>
      <c r="C502" t="s">
        <v>1488</v>
      </c>
      <c r="D502">
        <v>20</v>
      </c>
      <c r="E502" t="s">
        <v>38</v>
      </c>
      <c r="F502" t="str">
        <f t="shared" si="57"/>
        <v>Female</v>
      </c>
      <c r="G502" s="1">
        <v>45983</v>
      </c>
      <c r="H502" s="1">
        <v>45753</v>
      </c>
      <c r="I502" t="s">
        <v>1489</v>
      </c>
      <c r="J502" t="str">
        <f t="shared" si="58"/>
        <v>Richard Johnson</v>
      </c>
      <c r="K502" t="s">
        <v>13</v>
      </c>
      <c r="L502" t="str">
        <f t="shared" si="59"/>
        <v>Cardiology</v>
      </c>
      <c r="M502" t="s">
        <v>1490</v>
      </c>
      <c r="N502" t="str">
        <f t="shared" si="60"/>
        <v>EUR</v>
      </c>
      <c r="O502">
        <f t="shared" si="61"/>
        <v>257.17</v>
      </c>
      <c r="P502" cm="1">
        <f t="array" ref="P502">_xlfn.IFS(N502="USD",O502*1,N502="GBP",O502*1.27,N502="EUR",O502*1.09,N502="INR",O502*0.012,N502="N/A","N/A")</f>
        <v>280.31530000000004</v>
      </c>
      <c r="Q502" t="s">
        <v>30</v>
      </c>
      <c r="R502" t="str" cm="1">
        <f t="array" ref="R502">_xlfn.IFS(Q502="Y","Yes", Q502="Yes","Yes", Q502="N","No", Q502="No","No", Q502=1,"N/A", Q502=0,"N/A", TRUE,"")</f>
        <v>No</v>
      </c>
      <c r="S502">
        <f t="shared" si="62"/>
        <v>13</v>
      </c>
      <c r="T502">
        <f t="shared" si="63"/>
        <v>1</v>
      </c>
      <c r="U502" t="str" cm="1">
        <f t="array" ref="U502">_xlfn.IFS(D502&lt;40,"Young Adult",AND(D502&gt;=40,D502&lt;65),"Middle Aged", D502&gt;=65,"Elderly")</f>
        <v>Young Adult</v>
      </c>
    </row>
    <row r="503" spans="1:21" x14ac:dyDescent="0.2">
      <c r="A503">
        <v>1073</v>
      </c>
      <c r="B503">
        <f t="shared" si="56"/>
        <v>502</v>
      </c>
      <c r="C503" t="s">
        <v>1491</v>
      </c>
      <c r="D503">
        <v>50</v>
      </c>
      <c r="E503" t="s">
        <v>2937</v>
      </c>
      <c r="F503" t="str">
        <f t="shared" si="57"/>
        <v>N/A</v>
      </c>
      <c r="G503" s="1">
        <v>45911</v>
      </c>
      <c r="H503" s="1">
        <v>45730</v>
      </c>
      <c r="I503" t="s">
        <v>1492</v>
      </c>
      <c r="J503" t="str">
        <f t="shared" si="58"/>
        <v>Jacob Mays</v>
      </c>
      <c r="K503" t="s">
        <v>24</v>
      </c>
      <c r="L503" t="str">
        <f t="shared" si="59"/>
        <v>Neurology</v>
      </c>
      <c r="M503" t="s">
        <v>1493</v>
      </c>
      <c r="N503" t="str">
        <f t="shared" si="60"/>
        <v>USD</v>
      </c>
      <c r="O503">
        <f t="shared" si="61"/>
        <v>343.79</v>
      </c>
      <c r="P503" cm="1">
        <f t="array" ref="P503">_xlfn.IFS(N503="USD",O503*1,N503="GBP",O503*1.27,N503="EUR",O503*1.09,N503="INR",O503*0.012,N503="N/A","N/A")</f>
        <v>343.79</v>
      </c>
      <c r="Q503" t="s">
        <v>36</v>
      </c>
      <c r="R503" t="str" cm="1">
        <f t="array" ref="R503">_xlfn.IFS(Q503="Y","Yes", Q503="Yes","Yes", Q503="N","No", Q503="No","No", Q503=1,"N/A", Q503=0,"N/A", TRUE,"")</f>
        <v>Yes</v>
      </c>
      <c r="S503">
        <f t="shared" si="62"/>
        <v>11</v>
      </c>
      <c r="T503">
        <f t="shared" si="63"/>
        <v>1</v>
      </c>
      <c r="U503" t="str" cm="1">
        <f t="array" ref="U503">_xlfn.IFS(D503&lt;40,"Young Adult",AND(D503&gt;=40,D503&lt;65),"Middle Aged", D503&gt;=65,"Elderly")</f>
        <v>Middle Aged</v>
      </c>
    </row>
    <row r="504" spans="1:21" x14ac:dyDescent="0.2">
      <c r="A504">
        <v>1031</v>
      </c>
      <c r="B504">
        <f t="shared" si="56"/>
        <v>503</v>
      </c>
      <c r="C504" t="s">
        <v>1494</v>
      </c>
      <c r="D504">
        <v>50</v>
      </c>
      <c r="E504" t="s">
        <v>16</v>
      </c>
      <c r="F504" t="str">
        <f t="shared" si="57"/>
        <v>Female</v>
      </c>
      <c r="G504" s="1">
        <v>45980</v>
      </c>
      <c r="H504" s="1">
        <v>45672</v>
      </c>
      <c r="I504" t="s">
        <v>1495</v>
      </c>
      <c r="J504" t="str">
        <f t="shared" si="58"/>
        <v>Morgan Edwards</v>
      </c>
      <c r="K504" t="s">
        <v>18</v>
      </c>
      <c r="L504" t="str">
        <f t="shared" si="59"/>
        <v>Orthopedics</v>
      </c>
      <c r="M504" t="s">
        <v>1496</v>
      </c>
      <c r="N504" t="str">
        <f t="shared" si="60"/>
        <v>USD</v>
      </c>
      <c r="O504">
        <f t="shared" si="61"/>
        <v>431.21</v>
      </c>
      <c r="P504" cm="1">
        <f t="array" ref="P504">_xlfn.IFS(N504="USD",O504*1,N504="GBP",O504*1.27,N504="EUR",O504*1.09,N504="INR",O504*0.012,N504="N/A","N/A")</f>
        <v>431.21</v>
      </c>
      <c r="Q504">
        <v>1</v>
      </c>
      <c r="R504" t="str" cm="1">
        <f t="array" ref="R504">_xlfn.IFS(Q504="Y","Yes", Q504="Yes","Yes", Q504="N","No", Q504="No","No", Q504=1,"N/A", Q504=0,"N/A", TRUE,"")</f>
        <v>N/A</v>
      </c>
      <c r="S504">
        <f t="shared" si="62"/>
        <v>13</v>
      </c>
      <c r="T504">
        <f t="shared" si="63"/>
        <v>1</v>
      </c>
      <c r="U504" t="str" cm="1">
        <f t="array" ref="U504">_xlfn.IFS(D504&lt;40,"Young Adult",AND(D504&gt;=40,D504&lt;65),"Middle Aged", D504&gt;=65,"Elderly")</f>
        <v>Middle Aged</v>
      </c>
    </row>
    <row r="505" spans="1:21" x14ac:dyDescent="0.2">
      <c r="A505">
        <v>1093</v>
      </c>
      <c r="B505">
        <f t="shared" si="56"/>
        <v>504</v>
      </c>
      <c r="C505" t="s">
        <v>1497</v>
      </c>
      <c r="D505">
        <v>66</v>
      </c>
      <c r="E505" t="s">
        <v>16</v>
      </c>
      <c r="F505" t="str">
        <f t="shared" si="57"/>
        <v>Female</v>
      </c>
      <c r="G505" s="1">
        <v>46055</v>
      </c>
      <c r="H505" s="1">
        <v>45702</v>
      </c>
      <c r="I505" t="s">
        <v>1498</v>
      </c>
      <c r="J505" t="str">
        <f t="shared" si="58"/>
        <v>Helen Davis</v>
      </c>
      <c r="K505" t="s">
        <v>24</v>
      </c>
      <c r="L505" t="str">
        <f t="shared" si="59"/>
        <v>Neurology</v>
      </c>
      <c r="M505" t="s">
        <v>1499</v>
      </c>
      <c r="N505" t="str">
        <f t="shared" si="60"/>
        <v>GBP</v>
      </c>
      <c r="O505">
        <f t="shared" si="61"/>
        <v>241.91</v>
      </c>
      <c r="P505" cm="1">
        <f t="array" ref="P505">_xlfn.IFS(N505="USD",O505*1,N505="GBP",O505*1.27,N505="EUR",O505*1.09,N505="INR",O505*0.012,N505="N/A","N/A")</f>
        <v>307.22570000000002</v>
      </c>
      <c r="Q505">
        <v>1</v>
      </c>
      <c r="R505" t="str" cm="1">
        <f t="array" ref="R505">_xlfn.IFS(Q505="Y","Yes", Q505="Yes","Yes", Q505="N","No", Q505="No","No", Q505=1,"N/A", Q505=0,"N/A", TRUE,"")</f>
        <v>N/A</v>
      </c>
      <c r="S505">
        <f t="shared" si="62"/>
        <v>11</v>
      </c>
      <c r="T505">
        <f t="shared" si="63"/>
        <v>1</v>
      </c>
      <c r="U505" t="str" cm="1">
        <f t="array" ref="U505">_xlfn.IFS(D505&lt;40,"Young Adult",AND(D505&gt;=40,D505&lt;65),"Middle Aged", D505&gt;=65,"Elderly")</f>
        <v>Elderly</v>
      </c>
    </row>
    <row r="506" spans="1:21" x14ac:dyDescent="0.2">
      <c r="A506">
        <v>1029</v>
      </c>
      <c r="B506">
        <f t="shared" si="56"/>
        <v>505</v>
      </c>
      <c r="C506" t="s">
        <v>1500</v>
      </c>
      <c r="D506">
        <v>24</v>
      </c>
      <c r="E506" t="s">
        <v>71</v>
      </c>
      <c r="F506" t="str">
        <f t="shared" si="57"/>
        <v>Male</v>
      </c>
      <c r="G506" s="1">
        <v>45865</v>
      </c>
      <c r="H506" s="1">
        <v>45857</v>
      </c>
      <c r="I506" t="s">
        <v>1501</v>
      </c>
      <c r="J506" t="str">
        <f t="shared" si="58"/>
        <v>Rebecca Gross</v>
      </c>
      <c r="K506" t="s">
        <v>18</v>
      </c>
      <c r="L506" t="str">
        <f t="shared" si="59"/>
        <v>Orthopedics</v>
      </c>
      <c r="M506" t="s">
        <v>1502</v>
      </c>
      <c r="N506" t="str">
        <f t="shared" si="60"/>
        <v>EUR</v>
      </c>
      <c r="O506">
        <f t="shared" si="61"/>
        <v>95.25</v>
      </c>
      <c r="P506" cm="1">
        <f t="array" ref="P506">_xlfn.IFS(N506="USD",O506*1,N506="GBP",O506*1.27,N506="EUR",O506*1.09,N506="INR",O506*0.012,N506="N/A","N/A")</f>
        <v>103.82250000000001</v>
      </c>
      <c r="Q506" t="s">
        <v>36</v>
      </c>
      <c r="R506" t="str" cm="1">
        <f t="array" ref="R506">_xlfn.IFS(Q506="Y","Yes", Q506="Yes","Yes", Q506="N","No", Q506="No","No", Q506=1,"N/A", Q506=0,"N/A", TRUE,"")</f>
        <v>Yes</v>
      </c>
      <c r="S506">
        <f t="shared" si="62"/>
        <v>8</v>
      </c>
      <c r="T506">
        <f t="shared" si="63"/>
        <v>1</v>
      </c>
      <c r="U506" t="str" cm="1">
        <f t="array" ref="U506">_xlfn.IFS(D506&lt;40,"Young Adult",AND(D506&gt;=40,D506&lt;65),"Middle Aged", D506&gt;=65,"Elderly")</f>
        <v>Young Adult</v>
      </c>
    </row>
    <row r="507" spans="1:21" x14ac:dyDescent="0.2">
      <c r="A507">
        <v>1082</v>
      </c>
      <c r="B507">
        <f t="shared" si="56"/>
        <v>506</v>
      </c>
      <c r="C507" t="s">
        <v>1503</v>
      </c>
      <c r="D507">
        <v>72</v>
      </c>
      <c r="E507" t="s">
        <v>51</v>
      </c>
      <c r="F507" t="str">
        <f t="shared" si="57"/>
        <v>Male</v>
      </c>
      <c r="G507" s="1">
        <v>46002</v>
      </c>
      <c r="H507" s="1">
        <v>45681</v>
      </c>
      <c r="I507" t="s">
        <v>1504</v>
      </c>
      <c r="J507" t="str">
        <f t="shared" si="58"/>
        <v>Andrea Walsh</v>
      </c>
      <c r="K507" t="s">
        <v>13</v>
      </c>
      <c r="L507" t="str">
        <f t="shared" si="59"/>
        <v>Cardiology</v>
      </c>
      <c r="M507" t="s">
        <v>1505</v>
      </c>
      <c r="N507" t="str">
        <f t="shared" si="60"/>
        <v>GBP</v>
      </c>
      <c r="O507">
        <f t="shared" si="61"/>
        <v>167.07</v>
      </c>
      <c r="P507" cm="1">
        <f t="array" ref="P507">_xlfn.IFS(N507="USD",O507*1,N507="GBP",O507*1.27,N507="EUR",O507*1.09,N507="INR",O507*0.012,N507="N/A","N/A")</f>
        <v>212.1789</v>
      </c>
      <c r="Q507" t="s">
        <v>30</v>
      </c>
      <c r="R507" t="str" cm="1">
        <f t="array" ref="R507">_xlfn.IFS(Q507="Y","Yes", Q507="Yes","Yes", Q507="N","No", Q507="No","No", Q507=1,"N/A", Q507=0,"N/A", TRUE,"")</f>
        <v>No</v>
      </c>
      <c r="S507">
        <f t="shared" si="62"/>
        <v>14</v>
      </c>
      <c r="T507">
        <f t="shared" si="63"/>
        <v>1</v>
      </c>
      <c r="U507" t="str" cm="1">
        <f t="array" ref="U507">_xlfn.IFS(D507&lt;40,"Young Adult",AND(D507&gt;=40,D507&lt;65),"Middle Aged", D507&gt;=65,"Elderly")</f>
        <v>Elderly</v>
      </c>
    </row>
    <row r="508" spans="1:21" x14ac:dyDescent="0.2">
      <c r="A508">
        <v>1099</v>
      </c>
      <c r="B508">
        <f t="shared" si="56"/>
        <v>507</v>
      </c>
      <c r="C508" t="s">
        <v>1506</v>
      </c>
      <c r="D508">
        <v>85</v>
      </c>
      <c r="E508" t="s">
        <v>22</v>
      </c>
      <c r="F508" t="str">
        <f t="shared" si="57"/>
        <v>Male</v>
      </c>
      <c r="G508" s="1">
        <v>45950</v>
      </c>
      <c r="H508" s="1">
        <v>45879</v>
      </c>
      <c r="I508" t="s">
        <v>667</v>
      </c>
      <c r="J508" t="str">
        <f t="shared" si="58"/>
        <v>Richard Wagner</v>
      </c>
      <c r="K508" t="s">
        <v>24</v>
      </c>
      <c r="L508" t="str">
        <f t="shared" si="59"/>
        <v>Neurology</v>
      </c>
      <c r="M508" t="s">
        <v>1507</v>
      </c>
      <c r="N508" t="str">
        <f t="shared" si="60"/>
        <v>EUR</v>
      </c>
      <c r="O508">
        <f t="shared" si="61"/>
        <v>426.64</v>
      </c>
      <c r="P508" cm="1">
        <f t="array" ref="P508">_xlfn.IFS(N508="USD",O508*1,N508="GBP",O508*1.27,N508="EUR",O508*1.09,N508="INR",O508*0.012,N508="N/A","N/A")</f>
        <v>465.0376</v>
      </c>
      <c r="Q508" t="s">
        <v>36</v>
      </c>
      <c r="R508" t="str" cm="1">
        <f t="array" ref="R508">_xlfn.IFS(Q508="Y","Yes", Q508="Yes","Yes", Q508="N","No", Q508="No","No", Q508=1,"N/A", Q508=0,"N/A", TRUE,"")</f>
        <v>Yes</v>
      </c>
      <c r="S508">
        <f t="shared" si="62"/>
        <v>7</v>
      </c>
      <c r="T508">
        <f t="shared" si="63"/>
        <v>1</v>
      </c>
      <c r="U508" t="str" cm="1">
        <f t="array" ref="U508">_xlfn.IFS(D508&lt;40,"Young Adult",AND(D508&gt;=40,D508&lt;65),"Middle Aged", D508&gt;=65,"Elderly")</f>
        <v>Elderly</v>
      </c>
    </row>
    <row r="509" spans="1:21" x14ac:dyDescent="0.2">
      <c r="A509">
        <v>1065</v>
      </c>
      <c r="B509">
        <f t="shared" si="56"/>
        <v>508</v>
      </c>
      <c r="C509" t="s">
        <v>1508</v>
      </c>
      <c r="D509">
        <v>38</v>
      </c>
      <c r="E509" t="s">
        <v>22</v>
      </c>
      <c r="F509" t="str">
        <f t="shared" si="57"/>
        <v>Male</v>
      </c>
      <c r="G509" s="1">
        <v>45806</v>
      </c>
      <c r="H509" s="1">
        <v>45790</v>
      </c>
      <c r="I509" t="s">
        <v>1509</v>
      </c>
      <c r="J509" t="str">
        <f t="shared" si="58"/>
        <v>Spencer Booth</v>
      </c>
      <c r="K509" t="s">
        <v>13</v>
      </c>
      <c r="L509" t="str">
        <f t="shared" si="59"/>
        <v>Cardiology</v>
      </c>
      <c r="M509" t="s">
        <v>1510</v>
      </c>
      <c r="N509" t="str">
        <f t="shared" si="60"/>
        <v>EUR</v>
      </c>
      <c r="O509">
        <f t="shared" si="61"/>
        <v>106.8</v>
      </c>
      <c r="P509" cm="1">
        <f t="array" ref="P509">_xlfn.IFS(N509="USD",O509*1,N509="GBP",O509*1.27,N509="EUR",O509*1.09,N509="INR",O509*0.012,N509="N/A","N/A")</f>
        <v>116.41200000000001</v>
      </c>
      <c r="Q509">
        <v>0</v>
      </c>
      <c r="R509" t="str" cm="1">
        <f t="array" ref="R509">_xlfn.IFS(Q509="Y","Yes", Q509="Yes","Yes", Q509="N","No", Q509="No","No", Q509=1,"N/A", Q509=0,"N/A", TRUE,"")</f>
        <v>N/A</v>
      </c>
      <c r="S509">
        <f t="shared" si="62"/>
        <v>9</v>
      </c>
      <c r="T509">
        <f t="shared" si="63"/>
        <v>1</v>
      </c>
      <c r="U509" t="str" cm="1">
        <f t="array" ref="U509">_xlfn.IFS(D509&lt;40,"Young Adult",AND(D509&gt;=40,D509&lt;65),"Middle Aged", D509&gt;=65,"Elderly")</f>
        <v>Young Adult</v>
      </c>
    </row>
    <row r="510" spans="1:21" x14ac:dyDescent="0.2">
      <c r="A510">
        <v>1041</v>
      </c>
      <c r="B510">
        <f t="shared" si="56"/>
        <v>509</v>
      </c>
      <c r="C510" t="s">
        <v>1511</v>
      </c>
      <c r="D510">
        <v>67</v>
      </c>
      <c r="E510" t="s">
        <v>38</v>
      </c>
      <c r="F510" t="str">
        <f t="shared" si="57"/>
        <v>Female</v>
      </c>
      <c r="G510" s="1">
        <v>45764</v>
      </c>
      <c r="H510" s="1">
        <v>45550</v>
      </c>
      <c r="I510" t="s">
        <v>1512</v>
      </c>
      <c r="J510" t="str">
        <f t="shared" si="58"/>
        <v>Benjamin Robinson</v>
      </c>
      <c r="K510" t="s">
        <v>18</v>
      </c>
      <c r="L510" t="str">
        <f t="shared" si="59"/>
        <v>Orthopedics</v>
      </c>
      <c r="M510" t="s">
        <v>1513</v>
      </c>
      <c r="N510" t="str">
        <f t="shared" si="60"/>
        <v>USD</v>
      </c>
      <c r="O510">
        <f t="shared" si="61"/>
        <v>478.18</v>
      </c>
      <c r="P510" cm="1">
        <f t="array" ref="P510">_xlfn.IFS(N510="USD",O510*1,N510="GBP",O510*1.27,N510="EUR",O510*1.09,N510="INR",O510*0.012,N510="N/A","N/A")</f>
        <v>478.18</v>
      </c>
      <c r="Q510">
        <v>0</v>
      </c>
      <c r="R510" t="str" cm="1">
        <f t="array" ref="R510">_xlfn.IFS(Q510="Y","Yes", Q510="Yes","Yes", Q510="N","No", Q510="No","No", Q510=1,"N/A", Q510=0,"N/A", TRUE,"")</f>
        <v>N/A</v>
      </c>
      <c r="S510">
        <f t="shared" si="62"/>
        <v>8</v>
      </c>
      <c r="T510">
        <f t="shared" si="63"/>
        <v>1</v>
      </c>
      <c r="U510" t="str" cm="1">
        <f t="array" ref="U510">_xlfn.IFS(D510&lt;40,"Young Adult",AND(D510&gt;=40,D510&lt;65),"Middle Aged", D510&gt;=65,"Elderly")</f>
        <v>Elderly</v>
      </c>
    </row>
    <row r="511" spans="1:21" x14ac:dyDescent="0.2">
      <c r="A511">
        <v>1003</v>
      </c>
      <c r="B511">
        <f t="shared" si="56"/>
        <v>510</v>
      </c>
      <c r="C511" t="s">
        <v>1514</v>
      </c>
      <c r="D511">
        <v>27</v>
      </c>
      <c r="E511" t="s">
        <v>2937</v>
      </c>
      <c r="F511" t="str">
        <f t="shared" si="57"/>
        <v>N/A</v>
      </c>
      <c r="G511" s="1">
        <v>45813</v>
      </c>
      <c r="H511" s="1">
        <v>45729</v>
      </c>
      <c r="I511" t="s">
        <v>1515</v>
      </c>
      <c r="J511" t="str">
        <f t="shared" si="58"/>
        <v>Heidi Baker</v>
      </c>
      <c r="K511" t="s">
        <v>18</v>
      </c>
      <c r="L511" t="str">
        <f t="shared" si="59"/>
        <v>Orthopedics</v>
      </c>
      <c r="M511" t="s">
        <v>1516</v>
      </c>
      <c r="N511" t="str">
        <f t="shared" si="60"/>
        <v>INR</v>
      </c>
      <c r="O511">
        <f t="shared" si="61"/>
        <v>435.1</v>
      </c>
      <c r="P511" cm="1">
        <f t="array" ref="P511">_xlfn.IFS(N511="USD",O511*1,N511="GBP",O511*1.27,N511="EUR",O511*1.09,N511="INR",O511*0.012,N511="N/A","N/A")</f>
        <v>5.2212000000000005</v>
      </c>
      <c r="Q511" t="s">
        <v>36</v>
      </c>
      <c r="R511" t="str" cm="1">
        <f t="array" ref="R511">_xlfn.IFS(Q511="Y","Yes", Q511="Yes","Yes", Q511="N","No", Q511="No","No", Q511=1,"N/A", Q511=0,"N/A", TRUE,"")</f>
        <v>Yes</v>
      </c>
      <c r="S511">
        <f t="shared" si="62"/>
        <v>12</v>
      </c>
      <c r="T511">
        <f t="shared" si="63"/>
        <v>1</v>
      </c>
      <c r="U511" t="str" cm="1">
        <f t="array" ref="U511">_xlfn.IFS(D511&lt;40,"Young Adult",AND(D511&gt;=40,D511&lt;65),"Middle Aged", D511&gt;=65,"Elderly")</f>
        <v>Young Adult</v>
      </c>
    </row>
    <row r="512" spans="1:21" x14ac:dyDescent="0.2">
      <c r="A512">
        <v>1038</v>
      </c>
      <c r="B512">
        <f t="shared" si="56"/>
        <v>511</v>
      </c>
      <c r="C512" t="s">
        <v>1517</v>
      </c>
      <c r="D512">
        <v>45</v>
      </c>
      <c r="E512" t="s">
        <v>38</v>
      </c>
      <c r="F512" t="str">
        <f t="shared" si="57"/>
        <v>Female</v>
      </c>
      <c r="G512" s="1">
        <v>46079</v>
      </c>
      <c r="H512" s="1">
        <v>45811</v>
      </c>
      <c r="I512" t="s">
        <v>1518</v>
      </c>
      <c r="J512" t="str">
        <f t="shared" si="58"/>
        <v>Kristen Lopez</v>
      </c>
      <c r="K512" t="s">
        <v>28</v>
      </c>
      <c r="L512" t="str">
        <f t="shared" si="59"/>
        <v>General</v>
      </c>
      <c r="M512" t="s">
        <v>1519</v>
      </c>
      <c r="N512" t="str">
        <f t="shared" si="60"/>
        <v>EUR</v>
      </c>
      <c r="O512">
        <f t="shared" si="61"/>
        <v>403.22</v>
      </c>
      <c r="P512" cm="1">
        <f t="array" ref="P512">_xlfn.IFS(N512="USD",O512*1,N512="GBP",O512*1.27,N512="EUR",O512*1.09,N512="INR",O512*0.012,N512="N/A","N/A")</f>
        <v>439.50980000000004</v>
      </c>
      <c r="Q512" t="s">
        <v>36</v>
      </c>
      <c r="R512" t="str" cm="1">
        <f t="array" ref="R512">_xlfn.IFS(Q512="Y","Yes", Q512="Yes","Yes", Q512="N","No", Q512="No","No", Q512=1,"N/A", Q512=0,"N/A", TRUE,"")</f>
        <v>Yes</v>
      </c>
      <c r="S512">
        <f t="shared" si="62"/>
        <v>10</v>
      </c>
      <c r="T512">
        <f t="shared" si="63"/>
        <v>1</v>
      </c>
      <c r="U512" t="str" cm="1">
        <f t="array" ref="U512">_xlfn.IFS(D512&lt;40,"Young Adult",AND(D512&gt;=40,D512&lt;65),"Middle Aged", D512&gt;=65,"Elderly")</f>
        <v>Middle Aged</v>
      </c>
    </row>
    <row r="513" spans="1:21" x14ac:dyDescent="0.2">
      <c r="A513">
        <v>1061</v>
      </c>
      <c r="B513">
        <f t="shared" si="56"/>
        <v>512</v>
      </c>
      <c r="C513" t="s">
        <v>1520</v>
      </c>
      <c r="D513">
        <v>37</v>
      </c>
      <c r="E513" t="s">
        <v>2937</v>
      </c>
      <c r="F513" t="str">
        <f t="shared" si="57"/>
        <v>N/A</v>
      </c>
      <c r="G513" s="1">
        <v>45947</v>
      </c>
      <c r="H513" s="1">
        <v>45754</v>
      </c>
      <c r="I513" t="s">
        <v>1521</v>
      </c>
      <c r="J513" t="str">
        <f t="shared" si="58"/>
        <v>Reginald Barrett</v>
      </c>
      <c r="K513" t="s">
        <v>18</v>
      </c>
      <c r="L513" t="str">
        <f t="shared" si="59"/>
        <v>Orthopedics</v>
      </c>
      <c r="M513" t="s">
        <v>1522</v>
      </c>
      <c r="N513" t="str">
        <f t="shared" si="60"/>
        <v>EUR</v>
      </c>
      <c r="O513">
        <f t="shared" si="61"/>
        <v>390.81</v>
      </c>
      <c r="P513" cm="1">
        <f t="array" ref="P513">_xlfn.IFS(N513="USD",O513*1,N513="GBP",O513*1.27,N513="EUR",O513*1.09,N513="INR",O513*0.012,N513="N/A","N/A")</f>
        <v>425.98290000000003</v>
      </c>
      <c r="Q513" t="s">
        <v>30</v>
      </c>
      <c r="R513" t="str" cm="1">
        <f t="array" ref="R513">_xlfn.IFS(Q513="Y","Yes", Q513="Yes","Yes", Q513="N","No", Q513="No","No", Q513=1,"N/A", Q513=0,"N/A", TRUE,"")</f>
        <v>No</v>
      </c>
      <c r="S513">
        <f t="shared" si="62"/>
        <v>8</v>
      </c>
      <c r="T513">
        <f t="shared" si="63"/>
        <v>1</v>
      </c>
      <c r="U513" t="str" cm="1">
        <f t="array" ref="U513">_xlfn.IFS(D513&lt;40,"Young Adult",AND(D513&gt;=40,D513&lt;65),"Middle Aged", D513&gt;=65,"Elderly")</f>
        <v>Young Adult</v>
      </c>
    </row>
    <row r="514" spans="1:21" x14ac:dyDescent="0.2">
      <c r="A514">
        <v>1024</v>
      </c>
      <c r="B514">
        <f t="shared" si="56"/>
        <v>513</v>
      </c>
      <c r="C514" t="s">
        <v>1523</v>
      </c>
      <c r="D514">
        <v>26</v>
      </c>
      <c r="E514" t="s">
        <v>22</v>
      </c>
      <c r="F514" t="str">
        <f t="shared" si="57"/>
        <v>Male</v>
      </c>
      <c r="G514" s="1">
        <v>45950</v>
      </c>
      <c r="H514" s="1">
        <v>45544</v>
      </c>
      <c r="I514" t="s">
        <v>1524</v>
      </c>
      <c r="J514" t="str">
        <f t="shared" si="58"/>
        <v>David Espinoza</v>
      </c>
      <c r="K514" t="s">
        <v>18</v>
      </c>
      <c r="L514" t="str">
        <f t="shared" si="59"/>
        <v>Orthopedics</v>
      </c>
      <c r="M514" t="s">
        <v>1525</v>
      </c>
      <c r="N514" t="str">
        <f t="shared" si="60"/>
        <v>GBP</v>
      </c>
      <c r="O514">
        <f t="shared" si="61"/>
        <v>310.42</v>
      </c>
      <c r="P514" cm="1">
        <f t="array" ref="P514">_xlfn.IFS(N514="USD",O514*1,N514="GBP",O514*1.27,N514="EUR",O514*1.09,N514="INR",O514*0.012,N514="N/A","N/A")</f>
        <v>394.23340000000002</v>
      </c>
      <c r="Q514" t="s">
        <v>60</v>
      </c>
      <c r="R514" t="str" cm="1">
        <f t="array" ref="R514">_xlfn.IFS(Q514="Y","Yes", Q514="Yes","Yes", Q514="N","No", Q514="No","No", Q514=1,"N/A", Q514=0,"N/A", TRUE,"")</f>
        <v>No</v>
      </c>
      <c r="S514">
        <f t="shared" si="62"/>
        <v>12</v>
      </c>
      <c r="T514">
        <f t="shared" si="63"/>
        <v>1</v>
      </c>
      <c r="U514" t="str" cm="1">
        <f t="array" ref="U514">_xlfn.IFS(D514&lt;40,"Young Adult",AND(D514&gt;=40,D514&lt;65),"Middle Aged", D514&gt;=65,"Elderly")</f>
        <v>Young Adult</v>
      </c>
    </row>
    <row r="515" spans="1:21" x14ac:dyDescent="0.2">
      <c r="A515">
        <v>1017</v>
      </c>
      <c r="B515">
        <f t="shared" ref="B515:B578" si="64">ROW()-1</f>
        <v>514</v>
      </c>
      <c r="C515" t="s">
        <v>1526</v>
      </c>
      <c r="D515">
        <v>86</v>
      </c>
      <c r="E515" t="s">
        <v>2937</v>
      </c>
      <c r="F515" t="str">
        <f t="shared" ref="F515:F578" si="65">IF(E515="male","Male",IF(E515="female","Female",IF(E515="F","Female",IF(E515="M","Male",IF(E515="N/A","N/A")))))</f>
        <v>N/A</v>
      </c>
      <c r="G515" s="1">
        <v>46062</v>
      </c>
      <c r="H515" s="1">
        <v>46043</v>
      </c>
      <c r="I515" t="s">
        <v>1527</v>
      </c>
      <c r="J515" t="str">
        <f t="shared" ref="J515:J578" si="66">PROPER(I515)</f>
        <v>Michael Ross</v>
      </c>
      <c r="K515" t="s">
        <v>24</v>
      </c>
      <c r="L515" t="str">
        <f t="shared" ref="L515:L578" si="67">PROPER(K515)</f>
        <v>Neurology</v>
      </c>
      <c r="M515" t="s">
        <v>1528</v>
      </c>
      <c r="N515" t="str">
        <f t="shared" ref="N515:N578" si="68">IF(LEFT(M515,1)="$","USD",IF(LEFT(M515,2)="Rs","INR",IF(LEFT(M515,2)="¬£","GBP",IF(LEFT(M515,3)="‚Ç¨","EUR","N/A"))))</f>
        <v>USD</v>
      </c>
      <c r="O515">
        <f t="shared" ref="O515:O578" si="69">IFERROR(VALUE(SUBSTITUTE(SUBSTITUTE(SUBSTITUTE(SUBSTITUTE(M515,"$",""), "Rs",""),"¬£",""),"‚Ç¨","")), "")</f>
        <v>469.3</v>
      </c>
      <c r="P515" cm="1">
        <f t="array" ref="P515">_xlfn.IFS(N515="USD",O515*1,N515="GBP",O515*1.27,N515="EUR",O515*1.09,N515="INR",O515*0.012,N515="N/A","N/A")</f>
        <v>469.3</v>
      </c>
      <c r="Q515">
        <v>0</v>
      </c>
      <c r="R515" t="str" cm="1">
        <f t="array" ref="R515">_xlfn.IFS(Q515="Y","Yes", Q515="Yes","Yes", Q515="N","No", Q515="No","No", Q515=1,"N/A", Q515=0,"N/A", TRUE,"")</f>
        <v>N/A</v>
      </c>
      <c r="S515">
        <f t="shared" ref="S515:S578" si="70">COUNTIF($A$2:$A$1001, A515)</f>
        <v>8</v>
      </c>
      <c r="T515">
        <f t="shared" ref="T515:T578" si="71">COUNTIFS($A$2:$A$1001, A515, $C$2:$C$1001, C515)</f>
        <v>1</v>
      </c>
      <c r="U515" t="str" cm="1">
        <f t="array" ref="U515">_xlfn.IFS(D515&lt;40,"Young Adult",AND(D515&gt;=40,D515&lt;65),"Middle Aged", D515&gt;=65,"Elderly")</f>
        <v>Elderly</v>
      </c>
    </row>
    <row r="516" spans="1:21" x14ac:dyDescent="0.2">
      <c r="A516">
        <v>1010</v>
      </c>
      <c r="B516">
        <f t="shared" si="64"/>
        <v>515</v>
      </c>
      <c r="C516" t="s">
        <v>1529</v>
      </c>
      <c r="D516">
        <v>82</v>
      </c>
      <c r="E516" t="s">
        <v>51</v>
      </c>
      <c r="F516" t="str">
        <f t="shared" si="65"/>
        <v>Male</v>
      </c>
      <c r="G516" s="1">
        <v>45853</v>
      </c>
      <c r="H516" s="1">
        <v>45796</v>
      </c>
      <c r="I516" t="s">
        <v>1530</v>
      </c>
      <c r="J516" t="str">
        <f t="shared" si="66"/>
        <v>William Moore</v>
      </c>
      <c r="K516" t="s">
        <v>18</v>
      </c>
      <c r="L516" t="str">
        <f t="shared" si="67"/>
        <v>Orthopedics</v>
      </c>
      <c r="M516" t="s">
        <v>1531</v>
      </c>
      <c r="N516" t="str">
        <f t="shared" si="68"/>
        <v>EUR</v>
      </c>
      <c r="O516">
        <f t="shared" si="69"/>
        <v>495.94</v>
      </c>
      <c r="P516" cm="1">
        <f t="array" ref="P516">_xlfn.IFS(N516="USD",O516*1,N516="GBP",O516*1.27,N516="EUR",O516*1.09,N516="INR",O516*0.012,N516="N/A","N/A")</f>
        <v>540.57460000000003</v>
      </c>
      <c r="Q516" t="s">
        <v>20</v>
      </c>
      <c r="R516" t="str" cm="1">
        <f t="array" ref="R516">_xlfn.IFS(Q516="Y","Yes", Q516="Yes","Yes", Q516="N","No", Q516="No","No", Q516=1,"N/A", Q516=0,"N/A", TRUE,"")</f>
        <v>Yes</v>
      </c>
      <c r="S516">
        <f t="shared" si="70"/>
        <v>10</v>
      </c>
      <c r="T516">
        <f t="shared" si="71"/>
        <v>1</v>
      </c>
      <c r="U516" t="str" cm="1">
        <f t="array" ref="U516">_xlfn.IFS(D516&lt;40,"Young Adult",AND(D516&gt;=40,D516&lt;65),"Middle Aged", D516&gt;=65,"Elderly")</f>
        <v>Elderly</v>
      </c>
    </row>
    <row r="517" spans="1:21" x14ac:dyDescent="0.2">
      <c r="A517">
        <v>1096</v>
      </c>
      <c r="B517">
        <f t="shared" si="64"/>
        <v>516</v>
      </c>
      <c r="C517" t="s">
        <v>1532</v>
      </c>
      <c r="D517">
        <v>82</v>
      </c>
      <c r="E517" t="s">
        <v>71</v>
      </c>
      <c r="F517" t="str">
        <f t="shared" si="65"/>
        <v>Male</v>
      </c>
      <c r="G517" s="1">
        <v>45792</v>
      </c>
      <c r="H517" s="1">
        <v>45790</v>
      </c>
      <c r="I517" t="s">
        <v>1533</v>
      </c>
      <c r="J517" t="str">
        <f t="shared" si="66"/>
        <v>Jeff Lane</v>
      </c>
      <c r="K517" t="s">
        <v>28</v>
      </c>
      <c r="L517" t="str">
        <f t="shared" si="67"/>
        <v>General</v>
      </c>
      <c r="M517" t="s">
        <v>1534</v>
      </c>
      <c r="N517" t="str">
        <f t="shared" si="68"/>
        <v>EUR</v>
      </c>
      <c r="O517">
        <f t="shared" si="69"/>
        <v>403.87</v>
      </c>
      <c r="P517" cm="1">
        <f t="array" ref="P517">_xlfn.IFS(N517="USD",O517*1,N517="GBP",O517*1.27,N517="EUR",O517*1.09,N517="INR",O517*0.012,N517="N/A","N/A")</f>
        <v>440.21830000000006</v>
      </c>
      <c r="Q517" t="s">
        <v>30</v>
      </c>
      <c r="R517" t="str" cm="1">
        <f t="array" ref="R517">_xlfn.IFS(Q517="Y","Yes", Q517="Yes","Yes", Q517="N","No", Q517="No","No", Q517=1,"N/A", Q517=0,"N/A", TRUE,"")</f>
        <v>No</v>
      </c>
      <c r="S517">
        <f t="shared" si="70"/>
        <v>4</v>
      </c>
      <c r="T517">
        <f t="shared" si="71"/>
        <v>1</v>
      </c>
      <c r="U517" t="str" cm="1">
        <f t="array" ref="U517">_xlfn.IFS(D517&lt;40,"Young Adult",AND(D517&gt;=40,D517&lt;65),"Middle Aged", D517&gt;=65,"Elderly")</f>
        <v>Elderly</v>
      </c>
    </row>
    <row r="518" spans="1:21" x14ac:dyDescent="0.2">
      <c r="A518">
        <v>1024</v>
      </c>
      <c r="B518">
        <f t="shared" si="64"/>
        <v>517</v>
      </c>
      <c r="C518" t="s">
        <v>1535</v>
      </c>
      <c r="D518">
        <v>18</v>
      </c>
      <c r="E518" t="s">
        <v>22</v>
      </c>
      <c r="F518" t="str">
        <f t="shared" si="65"/>
        <v>Male</v>
      </c>
      <c r="G518" s="1">
        <v>45936</v>
      </c>
      <c r="H518" s="1">
        <v>45624</v>
      </c>
      <c r="I518" t="s">
        <v>1536</v>
      </c>
      <c r="J518" t="str">
        <f t="shared" si="66"/>
        <v>Christopher Jones</v>
      </c>
      <c r="K518" t="s">
        <v>18</v>
      </c>
      <c r="L518" t="str">
        <f t="shared" si="67"/>
        <v>Orthopedics</v>
      </c>
      <c r="M518" t="s">
        <v>1537</v>
      </c>
      <c r="N518" t="str">
        <f t="shared" si="68"/>
        <v>INR</v>
      </c>
      <c r="O518">
        <f t="shared" si="69"/>
        <v>466.56</v>
      </c>
      <c r="P518" cm="1">
        <f t="array" ref="P518">_xlfn.IFS(N518="USD",O518*1,N518="GBP",O518*1.27,N518="EUR",O518*1.09,N518="INR",O518*0.012,N518="N/A","N/A")</f>
        <v>5.5987200000000001</v>
      </c>
      <c r="Q518">
        <v>0</v>
      </c>
      <c r="R518" t="str" cm="1">
        <f t="array" ref="R518">_xlfn.IFS(Q518="Y","Yes", Q518="Yes","Yes", Q518="N","No", Q518="No","No", Q518=1,"N/A", Q518=0,"N/A", TRUE,"")</f>
        <v>N/A</v>
      </c>
      <c r="S518">
        <f t="shared" si="70"/>
        <v>12</v>
      </c>
      <c r="T518">
        <f t="shared" si="71"/>
        <v>1</v>
      </c>
      <c r="U518" t="str" cm="1">
        <f t="array" ref="U518">_xlfn.IFS(D518&lt;40,"Young Adult",AND(D518&gt;=40,D518&lt;65),"Middle Aged", D518&gt;=65,"Elderly")</f>
        <v>Young Adult</v>
      </c>
    </row>
    <row r="519" spans="1:21" x14ac:dyDescent="0.2">
      <c r="A519">
        <v>1058</v>
      </c>
      <c r="B519">
        <f t="shared" si="64"/>
        <v>518</v>
      </c>
      <c r="C519" t="s">
        <v>1538</v>
      </c>
      <c r="D519">
        <v>59</v>
      </c>
      <c r="E519" t="s">
        <v>38</v>
      </c>
      <c r="F519" t="str">
        <f t="shared" si="65"/>
        <v>Female</v>
      </c>
      <c r="G519" s="1">
        <v>46096</v>
      </c>
      <c r="H519" s="1">
        <v>45663</v>
      </c>
      <c r="I519" t="s">
        <v>1539</v>
      </c>
      <c r="J519" t="str">
        <f t="shared" si="66"/>
        <v>Jordan Shelton</v>
      </c>
      <c r="K519" t="s">
        <v>18</v>
      </c>
      <c r="L519" t="str">
        <f t="shared" si="67"/>
        <v>Orthopedics</v>
      </c>
      <c r="M519" t="s">
        <v>1540</v>
      </c>
      <c r="N519" t="str">
        <f t="shared" si="68"/>
        <v>USD</v>
      </c>
      <c r="O519">
        <f t="shared" si="69"/>
        <v>163.52000000000001</v>
      </c>
      <c r="P519" cm="1">
        <f t="array" ref="P519">_xlfn.IFS(N519="USD",O519*1,N519="GBP",O519*1.27,N519="EUR",O519*1.09,N519="INR",O519*0.012,N519="N/A","N/A")</f>
        <v>163.52000000000001</v>
      </c>
      <c r="Q519" t="s">
        <v>60</v>
      </c>
      <c r="R519" t="str" cm="1">
        <f t="array" ref="R519">_xlfn.IFS(Q519="Y","Yes", Q519="Yes","Yes", Q519="N","No", Q519="No","No", Q519=1,"N/A", Q519=0,"N/A", TRUE,"")</f>
        <v>No</v>
      </c>
      <c r="S519">
        <f t="shared" si="70"/>
        <v>17</v>
      </c>
      <c r="T519">
        <f t="shared" si="71"/>
        <v>1</v>
      </c>
      <c r="U519" t="str" cm="1">
        <f t="array" ref="U519">_xlfn.IFS(D519&lt;40,"Young Adult",AND(D519&gt;=40,D519&lt;65),"Middle Aged", D519&gt;=65,"Elderly")</f>
        <v>Middle Aged</v>
      </c>
    </row>
    <row r="520" spans="1:21" x14ac:dyDescent="0.2">
      <c r="A520">
        <v>1068</v>
      </c>
      <c r="B520">
        <f t="shared" si="64"/>
        <v>519</v>
      </c>
      <c r="C520" t="s">
        <v>1541</v>
      </c>
      <c r="D520">
        <v>37</v>
      </c>
      <c r="E520" t="s">
        <v>51</v>
      </c>
      <c r="F520" t="str">
        <f t="shared" si="65"/>
        <v>Male</v>
      </c>
      <c r="G520" s="1">
        <v>45979</v>
      </c>
      <c r="H520" s="1">
        <v>45614</v>
      </c>
      <c r="I520" t="s">
        <v>1542</v>
      </c>
      <c r="J520" t="str">
        <f t="shared" si="66"/>
        <v>April Castillo</v>
      </c>
      <c r="K520" t="s">
        <v>13</v>
      </c>
      <c r="L520" t="str">
        <f t="shared" si="67"/>
        <v>Cardiology</v>
      </c>
      <c r="M520" t="s">
        <v>1543</v>
      </c>
      <c r="N520" t="str">
        <f t="shared" si="68"/>
        <v>INR</v>
      </c>
      <c r="O520">
        <f t="shared" si="69"/>
        <v>356.13</v>
      </c>
      <c r="P520" cm="1">
        <f t="array" ref="P520">_xlfn.IFS(N520="USD",O520*1,N520="GBP",O520*1.27,N520="EUR",O520*1.09,N520="INR",O520*0.012,N520="N/A","N/A")</f>
        <v>4.2735599999999998</v>
      </c>
      <c r="Q520" t="s">
        <v>36</v>
      </c>
      <c r="R520" t="str" cm="1">
        <f t="array" ref="R520">_xlfn.IFS(Q520="Y","Yes", Q520="Yes","Yes", Q520="N","No", Q520="No","No", Q520=1,"N/A", Q520=0,"N/A", TRUE,"")</f>
        <v>Yes</v>
      </c>
      <c r="S520">
        <f t="shared" si="70"/>
        <v>14</v>
      </c>
      <c r="T520">
        <f t="shared" si="71"/>
        <v>1</v>
      </c>
      <c r="U520" t="str" cm="1">
        <f t="array" ref="U520">_xlfn.IFS(D520&lt;40,"Young Adult",AND(D520&gt;=40,D520&lt;65),"Middle Aged", D520&gt;=65,"Elderly")</f>
        <v>Young Adult</v>
      </c>
    </row>
    <row r="521" spans="1:21" x14ac:dyDescent="0.2">
      <c r="A521">
        <v>1013</v>
      </c>
      <c r="B521">
        <f t="shared" si="64"/>
        <v>520</v>
      </c>
      <c r="C521" t="s">
        <v>1544</v>
      </c>
      <c r="D521">
        <v>71</v>
      </c>
      <c r="E521" t="s">
        <v>2937</v>
      </c>
      <c r="F521" t="str">
        <f t="shared" si="65"/>
        <v>N/A</v>
      </c>
      <c r="G521" s="1">
        <v>45874</v>
      </c>
      <c r="H521" s="1">
        <v>45845</v>
      </c>
      <c r="I521" t="s">
        <v>1545</v>
      </c>
      <c r="J521" t="str">
        <f t="shared" si="66"/>
        <v>Natalie Smith</v>
      </c>
      <c r="K521" t="s">
        <v>18</v>
      </c>
      <c r="L521" t="str">
        <f t="shared" si="67"/>
        <v>Orthopedics</v>
      </c>
      <c r="M521" t="s">
        <v>1546</v>
      </c>
      <c r="N521" t="str">
        <f t="shared" si="68"/>
        <v>USD</v>
      </c>
      <c r="O521">
        <f t="shared" si="69"/>
        <v>400.62</v>
      </c>
      <c r="P521" cm="1">
        <f t="array" ref="P521">_xlfn.IFS(N521="USD",O521*1,N521="GBP",O521*1.27,N521="EUR",O521*1.09,N521="INR",O521*0.012,N521="N/A","N/A")</f>
        <v>400.62</v>
      </c>
      <c r="Q521">
        <v>0</v>
      </c>
      <c r="R521" t="str" cm="1">
        <f t="array" ref="R521">_xlfn.IFS(Q521="Y","Yes", Q521="Yes","Yes", Q521="N","No", Q521="No","No", Q521=1,"N/A", Q521=0,"N/A", TRUE,"")</f>
        <v>N/A</v>
      </c>
      <c r="S521">
        <f t="shared" si="70"/>
        <v>10</v>
      </c>
      <c r="T521">
        <f t="shared" si="71"/>
        <v>1</v>
      </c>
      <c r="U521" t="str" cm="1">
        <f t="array" ref="U521">_xlfn.IFS(D521&lt;40,"Young Adult",AND(D521&gt;=40,D521&lt;65),"Middle Aged", D521&gt;=65,"Elderly")</f>
        <v>Elderly</v>
      </c>
    </row>
    <row r="522" spans="1:21" x14ac:dyDescent="0.2">
      <c r="A522">
        <v>1009</v>
      </c>
      <c r="B522">
        <f t="shared" si="64"/>
        <v>521</v>
      </c>
      <c r="C522" t="s">
        <v>1547</v>
      </c>
      <c r="D522">
        <v>49</v>
      </c>
      <c r="E522" t="s">
        <v>2937</v>
      </c>
      <c r="F522" t="str">
        <f t="shared" si="65"/>
        <v>N/A</v>
      </c>
      <c r="G522" s="1">
        <v>46070</v>
      </c>
      <c r="H522" s="1">
        <v>46038</v>
      </c>
      <c r="I522" t="s">
        <v>1548</v>
      </c>
      <c r="J522" t="str">
        <f t="shared" si="66"/>
        <v>Reginald Miller</v>
      </c>
      <c r="K522" t="s">
        <v>13</v>
      </c>
      <c r="L522" t="str">
        <f t="shared" si="67"/>
        <v>Cardiology</v>
      </c>
      <c r="M522" t="s">
        <v>1549</v>
      </c>
      <c r="N522" t="str">
        <f t="shared" si="68"/>
        <v>USD</v>
      </c>
      <c r="O522">
        <f t="shared" si="69"/>
        <v>177.93</v>
      </c>
      <c r="P522" cm="1">
        <f t="array" ref="P522">_xlfn.IFS(N522="USD",O522*1,N522="GBP",O522*1.27,N522="EUR",O522*1.09,N522="INR",O522*0.012,N522="N/A","N/A")</f>
        <v>177.93</v>
      </c>
      <c r="Q522" t="s">
        <v>60</v>
      </c>
      <c r="R522" t="str" cm="1">
        <f t="array" ref="R522">_xlfn.IFS(Q522="Y","Yes", Q522="Yes","Yes", Q522="N","No", Q522="No","No", Q522=1,"N/A", Q522=0,"N/A", TRUE,"")</f>
        <v>No</v>
      </c>
      <c r="S522">
        <f t="shared" si="70"/>
        <v>9</v>
      </c>
      <c r="T522">
        <f t="shared" si="71"/>
        <v>1</v>
      </c>
      <c r="U522" t="str" cm="1">
        <f t="array" ref="U522">_xlfn.IFS(D522&lt;40,"Young Adult",AND(D522&gt;=40,D522&lt;65),"Middle Aged", D522&gt;=65,"Elderly")</f>
        <v>Middle Aged</v>
      </c>
    </row>
    <row r="523" spans="1:21" x14ac:dyDescent="0.2">
      <c r="A523">
        <v>1031</v>
      </c>
      <c r="B523">
        <f t="shared" si="64"/>
        <v>522</v>
      </c>
      <c r="C523" t="s">
        <v>1550</v>
      </c>
      <c r="D523">
        <v>35</v>
      </c>
      <c r="E523" t="s">
        <v>22</v>
      </c>
      <c r="F523" t="str">
        <f t="shared" si="65"/>
        <v>Male</v>
      </c>
      <c r="G523" s="1">
        <v>45844</v>
      </c>
      <c r="H523" s="1">
        <v>45721</v>
      </c>
      <c r="I523" t="s">
        <v>1551</v>
      </c>
      <c r="J523" t="str">
        <f t="shared" si="66"/>
        <v>Brian Deleon</v>
      </c>
      <c r="K523" t="s">
        <v>28</v>
      </c>
      <c r="L523" t="str">
        <f t="shared" si="67"/>
        <v>General</v>
      </c>
      <c r="M523" t="s">
        <v>1552</v>
      </c>
      <c r="N523" t="str">
        <f t="shared" si="68"/>
        <v>GBP</v>
      </c>
      <c r="O523">
        <f t="shared" si="69"/>
        <v>313.04000000000002</v>
      </c>
      <c r="P523" cm="1">
        <f t="array" ref="P523">_xlfn.IFS(N523="USD",O523*1,N523="GBP",O523*1.27,N523="EUR",O523*1.09,N523="INR",O523*0.012,N523="N/A","N/A")</f>
        <v>397.56080000000003</v>
      </c>
      <c r="Q523" t="s">
        <v>20</v>
      </c>
      <c r="R523" t="str" cm="1">
        <f t="array" ref="R523">_xlfn.IFS(Q523="Y","Yes", Q523="Yes","Yes", Q523="N","No", Q523="No","No", Q523=1,"N/A", Q523=0,"N/A", TRUE,"")</f>
        <v>Yes</v>
      </c>
      <c r="S523">
        <f t="shared" si="70"/>
        <v>13</v>
      </c>
      <c r="T523">
        <f t="shared" si="71"/>
        <v>1</v>
      </c>
      <c r="U523" t="str" cm="1">
        <f t="array" ref="U523">_xlfn.IFS(D523&lt;40,"Young Adult",AND(D523&gt;=40,D523&lt;65),"Middle Aged", D523&gt;=65,"Elderly")</f>
        <v>Young Adult</v>
      </c>
    </row>
    <row r="524" spans="1:21" x14ac:dyDescent="0.2">
      <c r="A524">
        <v>1043</v>
      </c>
      <c r="B524">
        <f t="shared" si="64"/>
        <v>523</v>
      </c>
      <c r="C524" t="s">
        <v>1553</v>
      </c>
      <c r="D524">
        <v>38</v>
      </c>
      <c r="E524" t="s">
        <v>22</v>
      </c>
      <c r="F524" t="str">
        <f t="shared" si="65"/>
        <v>Male</v>
      </c>
      <c r="G524" s="1">
        <v>46050</v>
      </c>
      <c r="H524" s="1">
        <v>45809</v>
      </c>
      <c r="I524" t="s">
        <v>1554</v>
      </c>
      <c r="J524" t="str">
        <f t="shared" si="66"/>
        <v>Francisco Steele</v>
      </c>
      <c r="K524" t="s">
        <v>24</v>
      </c>
      <c r="L524" t="str">
        <f t="shared" si="67"/>
        <v>Neurology</v>
      </c>
      <c r="M524" t="s">
        <v>1555</v>
      </c>
      <c r="N524" t="str">
        <f t="shared" si="68"/>
        <v>GBP</v>
      </c>
      <c r="O524">
        <f t="shared" si="69"/>
        <v>424.5</v>
      </c>
      <c r="P524" cm="1">
        <f t="array" ref="P524">_xlfn.IFS(N524="USD",O524*1,N524="GBP",O524*1.27,N524="EUR",O524*1.09,N524="INR",O524*0.012,N524="N/A","N/A")</f>
        <v>539.11500000000001</v>
      </c>
      <c r="Q524">
        <v>0</v>
      </c>
      <c r="R524" t="str" cm="1">
        <f t="array" ref="R524">_xlfn.IFS(Q524="Y","Yes", Q524="Yes","Yes", Q524="N","No", Q524="No","No", Q524=1,"N/A", Q524=0,"N/A", TRUE,"")</f>
        <v>N/A</v>
      </c>
      <c r="S524">
        <f t="shared" si="70"/>
        <v>12</v>
      </c>
      <c r="T524">
        <f t="shared" si="71"/>
        <v>1</v>
      </c>
      <c r="U524" t="str" cm="1">
        <f t="array" ref="U524">_xlfn.IFS(D524&lt;40,"Young Adult",AND(D524&gt;=40,D524&lt;65),"Middle Aged", D524&gt;=65,"Elderly")</f>
        <v>Young Adult</v>
      </c>
    </row>
    <row r="525" spans="1:21" x14ac:dyDescent="0.2">
      <c r="A525">
        <v>1072</v>
      </c>
      <c r="B525">
        <f t="shared" si="64"/>
        <v>524</v>
      </c>
      <c r="C525" t="s">
        <v>1556</v>
      </c>
      <c r="D525">
        <v>30</v>
      </c>
      <c r="E525" t="s">
        <v>38</v>
      </c>
      <c r="F525" t="str">
        <f t="shared" si="65"/>
        <v>Female</v>
      </c>
      <c r="G525" s="1">
        <v>46047</v>
      </c>
      <c r="H525" s="1">
        <v>45931</v>
      </c>
      <c r="I525" t="s">
        <v>1557</v>
      </c>
      <c r="J525" t="str">
        <f t="shared" si="66"/>
        <v>Crystal Mueller</v>
      </c>
      <c r="K525" t="s">
        <v>28</v>
      </c>
      <c r="L525" t="str">
        <f t="shared" si="67"/>
        <v>General</v>
      </c>
      <c r="M525" t="s">
        <v>1558</v>
      </c>
      <c r="N525" t="str">
        <f t="shared" si="68"/>
        <v>INR</v>
      </c>
      <c r="O525">
        <f t="shared" si="69"/>
        <v>222.37</v>
      </c>
      <c r="P525" cm="1">
        <f t="array" ref="P525">_xlfn.IFS(N525="USD",O525*1,N525="GBP",O525*1.27,N525="EUR",O525*1.09,N525="INR",O525*0.012,N525="N/A","N/A")</f>
        <v>2.6684399999999999</v>
      </c>
      <c r="Q525">
        <v>1</v>
      </c>
      <c r="R525" t="str" cm="1">
        <f t="array" ref="R525">_xlfn.IFS(Q525="Y","Yes", Q525="Yes","Yes", Q525="N","No", Q525="No","No", Q525=1,"N/A", Q525=0,"N/A", TRUE,"")</f>
        <v>N/A</v>
      </c>
      <c r="S525">
        <f t="shared" si="70"/>
        <v>9</v>
      </c>
      <c r="T525">
        <f t="shared" si="71"/>
        <v>1</v>
      </c>
      <c r="U525" t="str" cm="1">
        <f t="array" ref="U525">_xlfn.IFS(D525&lt;40,"Young Adult",AND(D525&gt;=40,D525&lt;65),"Middle Aged", D525&gt;=65,"Elderly")</f>
        <v>Young Adult</v>
      </c>
    </row>
    <row r="526" spans="1:21" x14ac:dyDescent="0.2">
      <c r="A526">
        <v>1055</v>
      </c>
      <c r="B526">
        <f t="shared" si="64"/>
        <v>525</v>
      </c>
      <c r="C526" t="s">
        <v>1559</v>
      </c>
      <c r="D526">
        <v>80</v>
      </c>
      <c r="E526" t="s">
        <v>38</v>
      </c>
      <c r="F526" t="str">
        <f t="shared" si="65"/>
        <v>Female</v>
      </c>
      <c r="G526" s="1">
        <v>45775</v>
      </c>
      <c r="H526" s="1">
        <v>45381</v>
      </c>
      <c r="I526" t="s">
        <v>1560</v>
      </c>
      <c r="J526" t="str">
        <f t="shared" si="66"/>
        <v>Lisa Hoffman</v>
      </c>
      <c r="K526" t="s">
        <v>24</v>
      </c>
      <c r="L526" t="str">
        <f t="shared" si="67"/>
        <v>Neurology</v>
      </c>
      <c r="M526" t="s">
        <v>1561</v>
      </c>
      <c r="N526" t="str">
        <f t="shared" si="68"/>
        <v>EUR</v>
      </c>
      <c r="O526">
        <f t="shared" si="69"/>
        <v>349.49</v>
      </c>
      <c r="P526" cm="1">
        <f t="array" ref="P526">_xlfn.IFS(N526="USD",O526*1,N526="GBP",O526*1.27,N526="EUR",O526*1.09,N526="INR",O526*0.012,N526="N/A","N/A")</f>
        <v>380.94410000000005</v>
      </c>
      <c r="Q526" t="s">
        <v>60</v>
      </c>
      <c r="R526" t="str" cm="1">
        <f t="array" ref="R526">_xlfn.IFS(Q526="Y","Yes", Q526="Yes","Yes", Q526="N","No", Q526="No","No", Q526=1,"N/A", Q526=0,"N/A", TRUE,"")</f>
        <v>No</v>
      </c>
      <c r="S526">
        <f t="shared" si="70"/>
        <v>5</v>
      </c>
      <c r="T526">
        <f t="shared" si="71"/>
        <v>1</v>
      </c>
      <c r="U526" t="str" cm="1">
        <f t="array" ref="U526">_xlfn.IFS(D526&lt;40,"Young Adult",AND(D526&gt;=40,D526&lt;65),"Middle Aged", D526&gt;=65,"Elderly")</f>
        <v>Elderly</v>
      </c>
    </row>
    <row r="527" spans="1:21" x14ac:dyDescent="0.2">
      <c r="A527">
        <v>1098</v>
      </c>
      <c r="B527">
        <f t="shared" si="64"/>
        <v>526</v>
      </c>
      <c r="C527" t="s">
        <v>1562</v>
      </c>
      <c r="D527">
        <v>75</v>
      </c>
      <c r="E527" t="s">
        <v>38</v>
      </c>
      <c r="F527" t="str">
        <f t="shared" si="65"/>
        <v>Female</v>
      </c>
      <c r="G527" s="1">
        <v>46019</v>
      </c>
      <c r="H527" s="1">
        <v>45642</v>
      </c>
      <c r="I527" t="s">
        <v>1563</v>
      </c>
      <c r="J527" t="str">
        <f t="shared" si="66"/>
        <v>Chase Ford</v>
      </c>
      <c r="K527" t="s">
        <v>24</v>
      </c>
      <c r="L527" t="str">
        <f t="shared" si="67"/>
        <v>Neurology</v>
      </c>
      <c r="M527" t="s">
        <v>1564</v>
      </c>
      <c r="N527" t="str">
        <f t="shared" si="68"/>
        <v>USD</v>
      </c>
      <c r="O527">
        <f t="shared" si="69"/>
        <v>482.2</v>
      </c>
      <c r="P527" cm="1">
        <f t="array" ref="P527">_xlfn.IFS(N527="USD",O527*1,N527="GBP",O527*1.27,N527="EUR",O527*1.09,N527="INR",O527*0.012,N527="N/A","N/A")</f>
        <v>482.2</v>
      </c>
      <c r="Q527">
        <v>1</v>
      </c>
      <c r="R527" t="str" cm="1">
        <f t="array" ref="R527">_xlfn.IFS(Q527="Y","Yes", Q527="Yes","Yes", Q527="N","No", Q527="No","No", Q527=1,"N/A", Q527=0,"N/A", TRUE,"")</f>
        <v>N/A</v>
      </c>
      <c r="S527">
        <f t="shared" si="70"/>
        <v>12</v>
      </c>
      <c r="T527">
        <f t="shared" si="71"/>
        <v>1</v>
      </c>
      <c r="U527" t="str" cm="1">
        <f t="array" ref="U527">_xlfn.IFS(D527&lt;40,"Young Adult",AND(D527&gt;=40,D527&lt;65),"Middle Aged", D527&gt;=65,"Elderly")</f>
        <v>Elderly</v>
      </c>
    </row>
    <row r="528" spans="1:21" x14ac:dyDescent="0.2">
      <c r="A528">
        <v>1072</v>
      </c>
      <c r="B528">
        <f t="shared" si="64"/>
        <v>527</v>
      </c>
      <c r="C528" t="s">
        <v>1565</v>
      </c>
      <c r="D528">
        <v>49</v>
      </c>
      <c r="E528" t="s">
        <v>16</v>
      </c>
      <c r="F528" t="str">
        <f t="shared" si="65"/>
        <v>Female</v>
      </c>
      <c r="G528" s="1">
        <v>45742</v>
      </c>
      <c r="H528" s="1">
        <v>45659</v>
      </c>
      <c r="I528" t="s">
        <v>1566</v>
      </c>
      <c r="J528" t="str">
        <f t="shared" si="66"/>
        <v>Henry Moore</v>
      </c>
      <c r="K528" t="s">
        <v>13</v>
      </c>
      <c r="L528" t="str">
        <f t="shared" si="67"/>
        <v>Cardiology</v>
      </c>
      <c r="M528" t="s">
        <v>1567</v>
      </c>
      <c r="N528" t="str">
        <f t="shared" si="68"/>
        <v>INR</v>
      </c>
      <c r="O528">
        <f t="shared" si="69"/>
        <v>92.08</v>
      </c>
      <c r="P528" cm="1">
        <f t="array" ref="P528">_xlfn.IFS(N528="USD",O528*1,N528="GBP",O528*1.27,N528="EUR",O528*1.09,N528="INR",O528*0.012,N528="N/A","N/A")</f>
        <v>1.1049599999999999</v>
      </c>
      <c r="Q528" t="s">
        <v>60</v>
      </c>
      <c r="R528" t="str" cm="1">
        <f t="array" ref="R528">_xlfn.IFS(Q528="Y","Yes", Q528="Yes","Yes", Q528="N","No", Q528="No","No", Q528=1,"N/A", Q528=0,"N/A", TRUE,"")</f>
        <v>No</v>
      </c>
      <c r="S528">
        <f t="shared" si="70"/>
        <v>9</v>
      </c>
      <c r="T528">
        <f t="shared" si="71"/>
        <v>1</v>
      </c>
      <c r="U528" t="str" cm="1">
        <f t="array" ref="U528">_xlfn.IFS(D528&lt;40,"Young Adult",AND(D528&gt;=40,D528&lt;65),"Middle Aged", D528&gt;=65,"Elderly")</f>
        <v>Middle Aged</v>
      </c>
    </row>
    <row r="529" spans="1:21" x14ac:dyDescent="0.2">
      <c r="A529">
        <v>1070</v>
      </c>
      <c r="B529">
        <f t="shared" si="64"/>
        <v>528</v>
      </c>
      <c r="C529" t="s">
        <v>1568</v>
      </c>
      <c r="D529">
        <v>24</v>
      </c>
      <c r="E529" t="s">
        <v>22</v>
      </c>
      <c r="F529" t="str">
        <f t="shared" si="65"/>
        <v>Male</v>
      </c>
      <c r="G529" s="1">
        <v>46052</v>
      </c>
      <c r="H529" s="1">
        <v>45642</v>
      </c>
      <c r="I529" t="s">
        <v>1569</v>
      </c>
      <c r="J529" t="str">
        <f t="shared" si="66"/>
        <v>Chelsea Aguirre</v>
      </c>
      <c r="K529" t="s">
        <v>28</v>
      </c>
      <c r="L529" t="str">
        <f t="shared" si="67"/>
        <v>General</v>
      </c>
      <c r="M529" t="s">
        <v>1570</v>
      </c>
      <c r="N529" t="str">
        <f t="shared" si="68"/>
        <v>EUR</v>
      </c>
      <c r="O529">
        <f t="shared" si="69"/>
        <v>439.56</v>
      </c>
      <c r="P529" cm="1">
        <f t="array" ref="P529">_xlfn.IFS(N529="USD",O529*1,N529="GBP",O529*1.27,N529="EUR",O529*1.09,N529="INR",O529*0.012,N529="N/A","N/A")</f>
        <v>479.12040000000002</v>
      </c>
      <c r="Q529" t="s">
        <v>60</v>
      </c>
      <c r="R529" t="str" cm="1">
        <f t="array" ref="R529">_xlfn.IFS(Q529="Y","Yes", Q529="Yes","Yes", Q529="N","No", Q529="No","No", Q529=1,"N/A", Q529=0,"N/A", TRUE,"")</f>
        <v>No</v>
      </c>
      <c r="S529">
        <f t="shared" si="70"/>
        <v>13</v>
      </c>
      <c r="T529">
        <f t="shared" si="71"/>
        <v>1</v>
      </c>
      <c r="U529" t="str" cm="1">
        <f t="array" ref="U529">_xlfn.IFS(D529&lt;40,"Young Adult",AND(D529&gt;=40,D529&lt;65),"Middle Aged", D529&gt;=65,"Elderly")</f>
        <v>Young Adult</v>
      </c>
    </row>
    <row r="530" spans="1:21" x14ac:dyDescent="0.2">
      <c r="A530">
        <v>1061</v>
      </c>
      <c r="B530">
        <f t="shared" si="64"/>
        <v>529</v>
      </c>
      <c r="C530" t="s">
        <v>1571</v>
      </c>
      <c r="D530">
        <v>74</v>
      </c>
      <c r="E530" t="s">
        <v>38</v>
      </c>
      <c r="F530" t="str">
        <f t="shared" si="65"/>
        <v>Female</v>
      </c>
      <c r="G530" s="1">
        <v>45901</v>
      </c>
      <c r="H530" s="1">
        <v>45803</v>
      </c>
      <c r="I530" t="s">
        <v>1572</v>
      </c>
      <c r="J530" t="str">
        <f t="shared" si="66"/>
        <v>Cody Murray</v>
      </c>
      <c r="K530" t="s">
        <v>28</v>
      </c>
      <c r="L530" t="str">
        <f t="shared" si="67"/>
        <v>General</v>
      </c>
      <c r="M530" t="s">
        <v>1573</v>
      </c>
      <c r="N530" t="str">
        <f t="shared" si="68"/>
        <v>INR</v>
      </c>
      <c r="O530">
        <f t="shared" si="69"/>
        <v>473.48</v>
      </c>
      <c r="P530" cm="1">
        <f t="array" ref="P530">_xlfn.IFS(N530="USD",O530*1,N530="GBP",O530*1.27,N530="EUR",O530*1.09,N530="INR",O530*0.012,N530="N/A","N/A")</f>
        <v>5.6817600000000006</v>
      </c>
      <c r="Q530" t="s">
        <v>36</v>
      </c>
      <c r="R530" t="str" cm="1">
        <f t="array" ref="R530">_xlfn.IFS(Q530="Y","Yes", Q530="Yes","Yes", Q530="N","No", Q530="No","No", Q530=1,"N/A", Q530=0,"N/A", TRUE,"")</f>
        <v>Yes</v>
      </c>
      <c r="S530">
        <f t="shared" si="70"/>
        <v>8</v>
      </c>
      <c r="T530">
        <f t="shared" si="71"/>
        <v>1</v>
      </c>
      <c r="U530" t="str" cm="1">
        <f t="array" ref="U530">_xlfn.IFS(D530&lt;40,"Young Adult",AND(D530&gt;=40,D530&lt;65),"Middle Aged", D530&gt;=65,"Elderly")</f>
        <v>Elderly</v>
      </c>
    </row>
    <row r="531" spans="1:21" x14ac:dyDescent="0.2">
      <c r="A531">
        <v>1059</v>
      </c>
      <c r="B531">
        <f t="shared" si="64"/>
        <v>530</v>
      </c>
      <c r="C531" t="s">
        <v>1574</v>
      </c>
      <c r="D531">
        <v>35</v>
      </c>
      <c r="E531" t="s">
        <v>2937</v>
      </c>
      <c r="F531" t="str">
        <f t="shared" si="65"/>
        <v>N/A</v>
      </c>
      <c r="G531" s="1">
        <v>45972</v>
      </c>
      <c r="H531" s="1">
        <v>45491</v>
      </c>
      <c r="I531" t="s">
        <v>1575</v>
      </c>
      <c r="J531" t="str">
        <f t="shared" si="66"/>
        <v>Felicia Warner</v>
      </c>
      <c r="K531" t="s">
        <v>18</v>
      </c>
      <c r="L531" t="str">
        <f t="shared" si="67"/>
        <v>Orthopedics</v>
      </c>
      <c r="N531" t="str">
        <f t="shared" si="68"/>
        <v>N/A</v>
      </c>
      <c r="O531" t="str">
        <f t="shared" si="69"/>
        <v/>
      </c>
      <c r="P531" t="str" cm="1">
        <f t="array" ref="P531">_xlfn.IFS(N531="USD",O531*1,N531="GBP",O531*1.27,N531="EUR",O531*1.09,N531="INR",O531*0.012,N531="N/A","N/A")</f>
        <v>N/A</v>
      </c>
      <c r="Q531">
        <v>0</v>
      </c>
      <c r="R531" t="str" cm="1">
        <f t="array" ref="R531">_xlfn.IFS(Q531="Y","Yes", Q531="Yes","Yes", Q531="N","No", Q531="No","No", Q531=1,"N/A", Q531=0,"N/A", TRUE,"")</f>
        <v>N/A</v>
      </c>
      <c r="S531">
        <f t="shared" si="70"/>
        <v>13</v>
      </c>
      <c r="T531">
        <f t="shared" si="71"/>
        <v>1</v>
      </c>
      <c r="U531" t="str" cm="1">
        <f t="array" ref="U531">_xlfn.IFS(D531&lt;40,"Young Adult",AND(D531&gt;=40,D531&lt;65),"Middle Aged", D531&gt;=65,"Elderly")</f>
        <v>Young Adult</v>
      </c>
    </row>
    <row r="532" spans="1:21" x14ac:dyDescent="0.2">
      <c r="A532">
        <v>1091</v>
      </c>
      <c r="B532">
        <f t="shared" si="64"/>
        <v>531</v>
      </c>
      <c r="C532" t="s">
        <v>1576</v>
      </c>
      <c r="D532">
        <v>85</v>
      </c>
      <c r="E532" t="s">
        <v>2937</v>
      </c>
      <c r="F532" t="str">
        <f t="shared" si="65"/>
        <v>N/A</v>
      </c>
      <c r="G532" s="1">
        <v>45745</v>
      </c>
      <c r="H532" s="1">
        <v>45723</v>
      </c>
      <c r="I532" t="s">
        <v>1577</v>
      </c>
      <c r="J532" t="str">
        <f t="shared" si="66"/>
        <v>Melissa Bradley</v>
      </c>
      <c r="K532" t="s">
        <v>13</v>
      </c>
      <c r="L532" t="str">
        <f t="shared" si="67"/>
        <v>Cardiology</v>
      </c>
      <c r="M532" t="s">
        <v>1578</v>
      </c>
      <c r="N532" t="str">
        <f t="shared" si="68"/>
        <v>EUR</v>
      </c>
      <c r="O532">
        <f t="shared" si="69"/>
        <v>151.02000000000001</v>
      </c>
      <c r="P532" cm="1">
        <f t="array" ref="P532">_xlfn.IFS(N532="USD",O532*1,N532="GBP",O532*1.27,N532="EUR",O532*1.09,N532="INR",O532*0.012,N532="N/A","N/A")</f>
        <v>164.61180000000002</v>
      </c>
      <c r="Q532" t="s">
        <v>30</v>
      </c>
      <c r="R532" t="str" cm="1">
        <f t="array" ref="R532">_xlfn.IFS(Q532="Y","Yes", Q532="Yes","Yes", Q532="N","No", Q532="No","No", Q532=1,"N/A", Q532=0,"N/A", TRUE,"")</f>
        <v>No</v>
      </c>
      <c r="S532">
        <f t="shared" si="70"/>
        <v>9</v>
      </c>
      <c r="T532">
        <f t="shared" si="71"/>
        <v>1</v>
      </c>
      <c r="U532" t="str" cm="1">
        <f t="array" ref="U532">_xlfn.IFS(D532&lt;40,"Young Adult",AND(D532&gt;=40,D532&lt;65),"Middle Aged", D532&gt;=65,"Elderly")</f>
        <v>Elderly</v>
      </c>
    </row>
    <row r="533" spans="1:21" x14ac:dyDescent="0.2">
      <c r="A533">
        <v>1003</v>
      </c>
      <c r="B533">
        <f t="shared" si="64"/>
        <v>532</v>
      </c>
      <c r="C533" t="s">
        <v>1579</v>
      </c>
      <c r="D533">
        <v>64</v>
      </c>
      <c r="E533" t="s">
        <v>38</v>
      </c>
      <c r="F533" t="str">
        <f t="shared" si="65"/>
        <v>Female</v>
      </c>
      <c r="G533" s="1">
        <v>46046</v>
      </c>
      <c r="H533" s="1">
        <v>45696</v>
      </c>
      <c r="I533" t="s">
        <v>1580</v>
      </c>
      <c r="J533" t="str">
        <f t="shared" si="66"/>
        <v>Jessica Williams</v>
      </c>
      <c r="K533" t="s">
        <v>13</v>
      </c>
      <c r="L533" t="str">
        <f t="shared" si="67"/>
        <v>Cardiology</v>
      </c>
      <c r="M533" t="s">
        <v>1581</v>
      </c>
      <c r="N533" t="str">
        <f t="shared" si="68"/>
        <v>INR</v>
      </c>
      <c r="O533">
        <f t="shared" si="69"/>
        <v>79.59</v>
      </c>
      <c r="P533" cm="1">
        <f t="array" ref="P533">_xlfn.IFS(N533="USD",O533*1,N533="GBP",O533*1.27,N533="EUR",O533*1.09,N533="INR",O533*0.012,N533="N/A","N/A")</f>
        <v>0.95508000000000004</v>
      </c>
      <c r="Q533">
        <v>0</v>
      </c>
      <c r="R533" t="str" cm="1">
        <f t="array" ref="R533">_xlfn.IFS(Q533="Y","Yes", Q533="Yes","Yes", Q533="N","No", Q533="No","No", Q533=1,"N/A", Q533=0,"N/A", TRUE,"")</f>
        <v>N/A</v>
      </c>
      <c r="S533">
        <f t="shared" si="70"/>
        <v>12</v>
      </c>
      <c r="T533">
        <f t="shared" si="71"/>
        <v>1</v>
      </c>
      <c r="U533" t="str" cm="1">
        <f t="array" ref="U533">_xlfn.IFS(D533&lt;40,"Young Adult",AND(D533&gt;=40,D533&lt;65),"Middle Aged", D533&gt;=65,"Elderly")</f>
        <v>Middle Aged</v>
      </c>
    </row>
    <row r="534" spans="1:21" x14ac:dyDescent="0.2">
      <c r="A534">
        <v>1087</v>
      </c>
      <c r="B534">
        <f t="shared" si="64"/>
        <v>533</v>
      </c>
      <c r="C534" t="s">
        <v>1582</v>
      </c>
      <c r="D534">
        <v>70</v>
      </c>
      <c r="E534" t="s">
        <v>38</v>
      </c>
      <c r="F534" t="str">
        <f t="shared" si="65"/>
        <v>Female</v>
      </c>
      <c r="G534" s="1">
        <v>45912</v>
      </c>
      <c r="H534" s="1">
        <v>45446</v>
      </c>
      <c r="I534" t="s">
        <v>1583</v>
      </c>
      <c r="J534" t="str">
        <f t="shared" si="66"/>
        <v>Christopher Schneider</v>
      </c>
      <c r="K534" t="s">
        <v>24</v>
      </c>
      <c r="L534" t="str">
        <f t="shared" si="67"/>
        <v>Neurology</v>
      </c>
      <c r="M534" t="s">
        <v>1584</v>
      </c>
      <c r="N534" t="str">
        <f t="shared" si="68"/>
        <v>GBP</v>
      </c>
      <c r="O534">
        <f t="shared" si="69"/>
        <v>167.31</v>
      </c>
      <c r="P534" cm="1">
        <f t="array" ref="P534">_xlfn.IFS(N534="USD",O534*1,N534="GBP",O534*1.27,N534="EUR",O534*1.09,N534="INR",O534*0.012,N534="N/A","N/A")</f>
        <v>212.4837</v>
      </c>
      <c r="Q534" t="s">
        <v>20</v>
      </c>
      <c r="R534" t="str" cm="1">
        <f t="array" ref="R534">_xlfn.IFS(Q534="Y","Yes", Q534="Yes","Yes", Q534="N","No", Q534="No","No", Q534=1,"N/A", Q534=0,"N/A", TRUE,"")</f>
        <v>Yes</v>
      </c>
      <c r="S534">
        <f t="shared" si="70"/>
        <v>8</v>
      </c>
      <c r="T534">
        <f t="shared" si="71"/>
        <v>1</v>
      </c>
      <c r="U534" t="str" cm="1">
        <f t="array" ref="U534">_xlfn.IFS(D534&lt;40,"Young Adult",AND(D534&gt;=40,D534&lt;65),"Middle Aged", D534&gt;=65,"Elderly")</f>
        <v>Elderly</v>
      </c>
    </row>
    <row r="535" spans="1:21" x14ac:dyDescent="0.2">
      <c r="A535">
        <v>1049</v>
      </c>
      <c r="B535">
        <f t="shared" si="64"/>
        <v>534</v>
      </c>
      <c r="C535" t="s">
        <v>1585</v>
      </c>
      <c r="D535">
        <v>37</v>
      </c>
      <c r="E535" t="s">
        <v>2937</v>
      </c>
      <c r="F535" t="str">
        <f t="shared" si="65"/>
        <v>N/A</v>
      </c>
      <c r="G535" s="1">
        <v>45787</v>
      </c>
      <c r="H535" s="1">
        <v>45530</v>
      </c>
      <c r="I535" t="s">
        <v>1586</v>
      </c>
      <c r="J535" t="str">
        <f t="shared" si="66"/>
        <v>Kenneth Long</v>
      </c>
      <c r="K535" t="s">
        <v>24</v>
      </c>
      <c r="L535" t="str">
        <f t="shared" si="67"/>
        <v>Neurology</v>
      </c>
      <c r="M535" t="s">
        <v>1587</v>
      </c>
      <c r="N535" t="str">
        <f t="shared" si="68"/>
        <v>INR</v>
      </c>
      <c r="O535">
        <f t="shared" si="69"/>
        <v>194.81</v>
      </c>
      <c r="P535" cm="1">
        <f t="array" ref="P535">_xlfn.IFS(N535="USD",O535*1,N535="GBP",O535*1.27,N535="EUR",O535*1.09,N535="INR",O535*0.012,N535="N/A","N/A")</f>
        <v>2.33772</v>
      </c>
      <c r="Q535">
        <v>0</v>
      </c>
      <c r="R535" t="str" cm="1">
        <f t="array" ref="R535">_xlfn.IFS(Q535="Y","Yes", Q535="Yes","Yes", Q535="N","No", Q535="No","No", Q535=1,"N/A", Q535=0,"N/A", TRUE,"")</f>
        <v>N/A</v>
      </c>
      <c r="S535">
        <f t="shared" si="70"/>
        <v>8</v>
      </c>
      <c r="T535">
        <f t="shared" si="71"/>
        <v>1</v>
      </c>
      <c r="U535" t="str" cm="1">
        <f t="array" ref="U535">_xlfn.IFS(D535&lt;40,"Young Adult",AND(D535&gt;=40,D535&lt;65),"Middle Aged", D535&gt;=65,"Elderly")</f>
        <v>Young Adult</v>
      </c>
    </row>
    <row r="536" spans="1:21" x14ac:dyDescent="0.2">
      <c r="A536">
        <v>1056</v>
      </c>
      <c r="B536">
        <f t="shared" si="64"/>
        <v>535</v>
      </c>
      <c r="C536" t="s">
        <v>1588</v>
      </c>
      <c r="D536">
        <v>24</v>
      </c>
      <c r="E536" t="s">
        <v>51</v>
      </c>
      <c r="F536" t="str">
        <f t="shared" si="65"/>
        <v>Male</v>
      </c>
      <c r="G536" s="1">
        <v>45958</v>
      </c>
      <c r="H536" s="1">
        <v>45672</v>
      </c>
      <c r="I536" t="s">
        <v>1589</v>
      </c>
      <c r="J536" t="str">
        <f t="shared" si="66"/>
        <v>Jennifer Carroll</v>
      </c>
      <c r="K536" t="s">
        <v>13</v>
      </c>
      <c r="L536" t="str">
        <f t="shared" si="67"/>
        <v>Cardiology</v>
      </c>
      <c r="M536" t="s">
        <v>1590</v>
      </c>
      <c r="N536" t="str">
        <f t="shared" si="68"/>
        <v>USD</v>
      </c>
      <c r="O536">
        <f t="shared" si="69"/>
        <v>97.67</v>
      </c>
      <c r="P536" cm="1">
        <f t="array" ref="P536">_xlfn.IFS(N536="USD",O536*1,N536="GBP",O536*1.27,N536="EUR",O536*1.09,N536="INR",O536*0.012,N536="N/A","N/A")</f>
        <v>97.67</v>
      </c>
      <c r="Q536" t="s">
        <v>36</v>
      </c>
      <c r="R536" t="str" cm="1">
        <f t="array" ref="R536">_xlfn.IFS(Q536="Y","Yes", Q536="Yes","Yes", Q536="N","No", Q536="No","No", Q536=1,"N/A", Q536=0,"N/A", TRUE,"")</f>
        <v>Yes</v>
      </c>
      <c r="S536">
        <f t="shared" si="70"/>
        <v>13</v>
      </c>
      <c r="T536">
        <f t="shared" si="71"/>
        <v>1</v>
      </c>
      <c r="U536" t="str" cm="1">
        <f t="array" ref="U536">_xlfn.IFS(D536&lt;40,"Young Adult",AND(D536&gt;=40,D536&lt;65),"Middle Aged", D536&gt;=65,"Elderly")</f>
        <v>Young Adult</v>
      </c>
    </row>
    <row r="537" spans="1:21" x14ac:dyDescent="0.2">
      <c r="A537">
        <v>1057</v>
      </c>
      <c r="B537">
        <f t="shared" si="64"/>
        <v>536</v>
      </c>
      <c r="C537" t="s">
        <v>1591</v>
      </c>
      <c r="D537">
        <v>86</v>
      </c>
      <c r="E537" t="s">
        <v>2937</v>
      </c>
      <c r="F537" t="str">
        <f t="shared" si="65"/>
        <v>N/A</v>
      </c>
      <c r="G537" s="1">
        <v>45819</v>
      </c>
      <c r="H537" s="1">
        <v>45563</v>
      </c>
      <c r="I537" t="s">
        <v>1592</v>
      </c>
      <c r="J537" t="str">
        <f t="shared" si="66"/>
        <v>Carl Gomez</v>
      </c>
      <c r="K537" t="s">
        <v>18</v>
      </c>
      <c r="L537" t="str">
        <f t="shared" si="67"/>
        <v>Orthopedics</v>
      </c>
      <c r="M537" t="s">
        <v>1593</v>
      </c>
      <c r="N537" t="str">
        <f t="shared" si="68"/>
        <v>GBP</v>
      </c>
      <c r="O537">
        <f t="shared" si="69"/>
        <v>254.91</v>
      </c>
      <c r="P537" cm="1">
        <f t="array" ref="P537">_xlfn.IFS(N537="USD",O537*1,N537="GBP",O537*1.27,N537="EUR",O537*1.09,N537="INR",O537*0.012,N537="N/A","N/A")</f>
        <v>323.73570000000001</v>
      </c>
      <c r="Q537" t="s">
        <v>30</v>
      </c>
      <c r="R537" t="str" cm="1">
        <f t="array" ref="R537">_xlfn.IFS(Q537="Y","Yes", Q537="Yes","Yes", Q537="N","No", Q537="No","No", Q537=1,"N/A", Q537=0,"N/A", TRUE,"")</f>
        <v>No</v>
      </c>
      <c r="S537">
        <f t="shared" si="70"/>
        <v>7</v>
      </c>
      <c r="T537">
        <f t="shared" si="71"/>
        <v>1</v>
      </c>
      <c r="U537" t="str" cm="1">
        <f t="array" ref="U537">_xlfn.IFS(D537&lt;40,"Young Adult",AND(D537&gt;=40,D537&lt;65),"Middle Aged", D537&gt;=65,"Elderly")</f>
        <v>Elderly</v>
      </c>
    </row>
    <row r="538" spans="1:21" x14ac:dyDescent="0.2">
      <c r="A538">
        <v>1054</v>
      </c>
      <c r="B538">
        <f t="shared" si="64"/>
        <v>537</v>
      </c>
      <c r="C538" t="s">
        <v>1594</v>
      </c>
      <c r="D538">
        <v>57</v>
      </c>
      <c r="E538" t="s">
        <v>22</v>
      </c>
      <c r="F538" t="str">
        <f t="shared" si="65"/>
        <v>Male</v>
      </c>
      <c r="G538" s="1">
        <v>45939</v>
      </c>
      <c r="H538" s="1">
        <v>45733</v>
      </c>
      <c r="I538" t="s">
        <v>1595</v>
      </c>
      <c r="J538" t="str">
        <f t="shared" si="66"/>
        <v>David Carter</v>
      </c>
      <c r="K538" t="s">
        <v>24</v>
      </c>
      <c r="L538" t="str">
        <f t="shared" si="67"/>
        <v>Neurology</v>
      </c>
      <c r="M538" t="s">
        <v>1596</v>
      </c>
      <c r="N538" t="str">
        <f t="shared" si="68"/>
        <v>USD</v>
      </c>
      <c r="O538">
        <f t="shared" si="69"/>
        <v>169.09</v>
      </c>
      <c r="P538" cm="1">
        <f t="array" ref="P538">_xlfn.IFS(N538="USD",O538*1,N538="GBP",O538*1.27,N538="EUR",O538*1.09,N538="INR",O538*0.012,N538="N/A","N/A")</f>
        <v>169.09</v>
      </c>
      <c r="Q538" t="s">
        <v>30</v>
      </c>
      <c r="R538" t="str" cm="1">
        <f t="array" ref="R538">_xlfn.IFS(Q538="Y","Yes", Q538="Yes","Yes", Q538="N","No", Q538="No","No", Q538=1,"N/A", Q538=0,"N/A", TRUE,"")</f>
        <v>No</v>
      </c>
      <c r="S538">
        <f t="shared" si="70"/>
        <v>12</v>
      </c>
      <c r="T538">
        <f t="shared" si="71"/>
        <v>1</v>
      </c>
      <c r="U538" t="str" cm="1">
        <f t="array" ref="U538">_xlfn.IFS(D538&lt;40,"Young Adult",AND(D538&gt;=40,D538&lt;65),"Middle Aged", D538&gt;=65,"Elderly")</f>
        <v>Middle Aged</v>
      </c>
    </row>
    <row r="539" spans="1:21" x14ac:dyDescent="0.2">
      <c r="A539">
        <v>1040</v>
      </c>
      <c r="B539">
        <f t="shared" si="64"/>
        <v>538</v>
      </c>
      <c r="C539" t="s">
        <v>1597</v>
      </c>
      <c r="D539">
        <v>20</v>
      </c>
      <c r="E539" t="s">
        <v>2937</v>
      </c>
      <c r="F539" t="str">
        <f t="shared" si="65"/>
        <v>N/A</v>
      </c>
      <c r="G539" s="1">
        <v>45890</v>
      </c>
      <c r="H539" s="1">
        <v>45397</v>
      </c>
      <c r="I539" t="s">
        <v>1598</v>
      </c>
      <c r="J539" t="str">
        <f t="shared" si="66"/>
        <v>Angel Aguilar</v>
      </c>
      <c r="K539" t="s">
        <v>13</v>
      </c>
      <c r="L539" t="str">
        <f t="shared" si="67"/>
        <v>Cardiology</v>
      </c>
      <c r="N539" t="str">
        <f t="shared" si="68"/>
        <v>N/A</v>
      </c>
      <c r="O539" t="str">
        <f t="shared" si="69"/>
        <v/>
      </c>
      <c r="P539" t="str" cm="1">
        <f t="array" ref="P539">_xlfn.IFS(N539="USD",O539*1,N539="GBP",O539*1.27,N539="EUR",O539*1.09,N539="INR",O539*0.012,N539="N/A","N/A")</f>
        <v>N/A</v>
      </c>
      <c r="Q539">
        <v>0</v>
      </c>
      <c r="R539" t="str" cm="1">
        <f t="array" ref="R539">_xlfn.IFS(Q539="Y","Yes", Q539="Yes","Yes", Q539="N","No", Q539="No","No", Q539=1,"N/A", Q539=0,"N/A", TRUE,"")</f>
        <v>N/A</v>
      </c>
      <c r="S539">
        <f t="shared" si="70"/>
        <v>13</v>
      </c>
      <c r="T539">
        <f t="shared" si="71"/>
        <v>1</v>
      </c>
      <c r="U539" t="str" cm="1">
        <f t="array" ref="U539">_xlfn.IFS(D539&lt;40,"Young Adult",AND(D539&gt;=40,D539&lt;65),"Middle Aged", D539&gt;=65,"Elderly")</f>
        <v>Young Adult</v>
      </c>
    </row>
    <row r="540" spans="1:21" x14ac:dyDescent="0.2">
      <c r="A540">
        <v>1059</v>
      </c>
      <c r="B540">
        <f t="shared" si="64"/>
        <v>539</v>
      </c>
      <c r="C540" t="s">
        <v>1599</v>
      </c>
      <c r="D540">
        <v>88</v>
      </c>
      <c r="E540" t="s">
        <v>71</v>
      </c>
      <c r="F540" t="str">
        <f t="shared" si="65"/>
        <v>Male</v>
      </c>
      <c r="G540" s="1">
        <v>45868</v>
      </c>
      <c r="H540" s="1">
        <v>45838</v>
      </c>
      <c r="I540" t="s">
        <v>1600</v>
      </c>
      <c r="J540" t="str">
        <f t="shared" si="66"/>
        <v>Jeremy Wilson</v>
      </c>
      <c r="K540" t="s">
        <v>28</v>
      </c>
      <c r="L540" t="str">
        <f t="shared" si="67"/>
        <v>General</v>
      </c>
      <c r="M540" t="s">
        <v>1601</v>
      </c>
      <c r="N540" t="str">
        <f t="shared" si="68"/>
        <v>INR</v>
      </c>
      <c r="O540">
        <f t="shared" si="69"/>
        <v>94.19</v>
      </c>
      <c r="P540" cm="1">
        <f t="array" ref="P540">_xlfn.IFS(N540="USD",O540*1,N540="GBP",O540*1.27,N540="EUR",O540*1.09,N540="INR",O540*0.012,N540="N/A","N/A")</f>
        <v>1.13028</v>
      </c>
      <c r="Q540" t="s">
        <v>20</v>
      </c>
      <c r="R540" t="str" cm="1">
        <f t="array" ref="R540">_xlfn.IFS(Q540="Y","Yes", Q540="Yes","Yes", Q540="N","No", Q540="No","No", Q540=1,"N/A", Q540=0,"N/A", TRUE,"")</f>
        <v>Yes</v>
      </c>
      <c r="S540">
        <f t="shared" si="70"/>
        <v>13</v>
      </c>
      <c r="T540">
        <f t="shared" si="71"/>
        <v>1</v>
      </c>
      <c r="U540" t="str" cm="1">
        <f t="array" ref="U540">_xlfn.IFS(D540&lt;40,"Young Adult",AND(D540&gt;=40,D540&lt;65),"Middle Aged", D540&gt;=65,"Elderly")</f>
        <v>Elderly</v>
      </c>
    </row>
    <row r="541" spans="1:21" x14ac:dyDescent="0.2">
      <c r="A541">
        <v>1035</v>
      </c>
      <c r="B541">
        <f t="shared" si="64"/>
        <v>540</v>
      </c>
      <c r="C541" t="s">
        <v>1602</v>
      </c>
      <c r="D541">
        <v>84</v>
      </c>
      <c r="E541" t="s">
        <v>2937</v>
      </c>
      <c r="F541" t="str">
        <f t="shared" si="65"/>
        <v>N/A</v>
      </c>
      <c r="G541" s="1">
        <v>45939</v>
      </c>
      <c r="H541" s="1">
        <v>45787</v>
      </c>
      <c r="I541" t="s">
        <v>1603</v>
      </c>
      <c r="J541" t="str">
        <f t="shared" si="66"/>
        <v>Ashley Gonzalez</v>
      </c>
      <c r="K541" t="s">
        <v>18</v>
      </c>
      <c r="L541" t="str">
        <f t="shared" si="67"/>
        <v>Orthopedics</v>
      </c>
      <c r="M541" t="s">
        <v>1604</v>
      </c>
      <c r="N541" t="str">
        <f t="shared" si="68"/>
        <v>GBP</v>
      </c>
      <c r="O541">
        <f t="shared" si="69"/>
        <v>84.87</v>
      </c>
      <c r="P541" cm="1">
        <f t="array" ref="P541">_xlfn.IFS(N541="USD",O541*1,N541="GBP",O541*1.27,N541="EUR",O541*1.09,N541="INR",O541*0.012,N541="N/A","N/A")</f>
        <v>107.78490000000001</v>
      </c>
      <c r="Q541" t="s">
        <v>30</v>
      </c>
      <c r="R541" t="str" cm="1">
        <f t="array" ref="R541">_xlfn.IFS(Q541="Y","Yes", Q541="Yes","Yes", Q541="N","No", Q541="No","No", Q541=1,"N/A", Q541=0,"N/A", TRUE,"")</f>
        <v>No</v>
      </c>
      <c r="S541">
        <f t="shared" si="70"/>
        <v>9</v>
      </c>
      <c r="T541">
        <f t="shared" si="71"/>
        <v>1</v>
      </c>
      <c r="U541" t="str" cm="1">
        <f t="array" ref="U541">_xlfn.IFS(D541&lt;40,"Young Adult",AND(D541&gt;=40,D541&lt;65),"Middle Aged", D541&gt;=65,"Elderly")</f>
        <v>Elderly</v>
      </c>
    </row>
    <row r="542" spans="1:21" x14ac:dyDescent="0.2">
      <c r="A542">
        <v>1086</v>
      </c>
      <c r="B542">
        <f t="shared" si="64"/>
        <v>541</v>
      </c>
      <c r="C542" t="s">
        <v>1605</v>
      </c>
      <c r="D542">
        <v>86</v>
      </c>
      <c r="E542" t="s">
        <v>38</v>
      </c>
      <c r="F542" t="str">
        <f t="shared" si="65"/>
        <v>Female</v>
      </c>
      <c r="G542" s="1">
        <v>45872</v>
      </c>
      <c r="H542" s="1">
        <v>45707</v>
      </c>
      <c r="I542" t="s">
        <v>1606</v>
      </c>
      <c r="J542" t="str">
        <f t="shared" si="66"/>
        <v>Kelsey Hernandez</v>
      </c>
      <c r="K542" t="s">
        <v>18</v>
      </c>
      <c r="L542" t="str">
        <f t="shared" si="67"/>
        <v>Orthopedics</v>
      </c>
      <c r="M542" t="s">
        <v>1607</v>
      </c>
      <c r="N542" t="str">
        <f t="shared" si="68"/>
        <v>USD</v>
      </c>
      <c r="O542">
        <f t="shared" si="69"/>
        <v>338.43</v>
      </c>
      <c r="P542" cm="1">
        <f t="array" ref="P542">_xlfn.IFS(N542="USD",O542*1,N542="GBP",O542*1.27,N542="EUR",O542*1.09,N542="INR",O542*0.012,N542="N/A","N/A")</f>
        <v>338.43</v>
      </c>
      <c r="Q542" t="s">
        <v>20</v>
      </c>
      <c r="R542" t="str" cm="1">
        <f t="array" ref="R542">_xlfn.IFS(Q542="Y","Yes", Q542="Yes","Yes", Q542="N","No", Q542="No","No", Q542=1,"N/A", Q542=0,"N/A", TRUE,"")</f>
        <v>Yes</v>
      </c>
      <c r="S542">
        <f t="shared" si="70"/>
        <v>9</v>
      </c>
      <c r="T542">
        <f t="shared" si="71"/>
        <v>1</v>
      </c>
      <c r="U542" t="str" cm="1">
        <f t="array" ref="U542">_xlfn.IFS(D542&lt;40,"Young Adult",AND(D542&gt;=40,D542&lt;65),"Middle Aged", D542&gt;=65,"Elderly")</f>
        <v>Elderly</v>
      </c>
    </row>
    <row r="543" spans="1:21" x14ac:dyDescent="0.2">
      <c r="A543">
        <v>1050</v>
      </c>
      <c r="B543">
        <f t="shared" si="64"/>
        <v>542</v>
      </c>
      <c r="C543" t="s">
        <v>1608</v>
      </c>
      <c r="D543">
        <v>60</v>
      </c>
      <c r="E543" t="s">
        <v>16</v>
      </c>
      <c r="F543" t="str">
        <f t="shared" si="65"/>
        <v>Female</v>
      </c>
      <c r="G543" s="1">
        <v>45783</v>
      </c>
      <c r="H543" s="1">
        <v>45576</v>
      </c>
      <c r="I543" t="s">
        <v>1609</v>
      </c>
      <c r="J543" t="str">
        <f t="shared" si="66"/>
        <v>Danny Webster</v>
      </c>
      <c r="K543" t="s">
        <v>28</v>
      </c>
      <c r="L543" t="str">
        <f t="shared" si="67"/>
        <v>General</v>
      </c>
      <c r="M543" t="s">
        <v>1610</v>
      </c>
      <c r="N543" t="str">
        <f t="shared" si="68"/>
        <v>USD</v>
      </c>
      <c r="O543">
        <f t="shared" si="69"/>
        <v>453.66</v>
      </c>
      <c r="P543" cm="1">
        <f t="array" ref="P543">_xlfn.IFS(N543="USD",O543*1,N543="GBP",O543*1.27,N543="EUR",O543*1.09,N543="INR",O543*0.012,N543="N/A","N/A")</f>
        <v>453.66</v>
      </c>
      <c r="Q543" t="s">
        <v>20</v>
      </c>
      <c r="R543" t="str" cm="1">
        <f t="array" ref="R543">_xlfn.IFS(Q543="Y","Yes", Q543="Yes","Yes", Q543="N","No", Q543="No","No", Q543=1,"N/A", Q543=0,"N/A", TRUE,"")</f>
        <v>Yes</v>
      </c>
      <c r="S543">
        <f t="shared" si="70"/>
        <v>12</v>
      </c>
      <c r="T543">
        <f t="shared" si="71"/>
        <v>1</v>
      </c>
      <c r="U543" t="str" cm="1">
        <f t="array" ref="U543">_xlfn.IFS(D543&lt;40,"Young Adult",AND(D543&gt;=40,D543&lt;65),"Middle Aged", D543&gt;=65,"Elderly")</f>
        <v>Middle Aged</v>
      </c>
    </row>
    <row r="544" spans="1:21" x14ac:dyDescent="0.2">
      <c r="A544">
        <v>1024</v>
      </c>
      <c r="B544">
        <f t="shared" si="64"/>
        <v>543</v>
      </c>
      <c r="C544" t="s">
        <v>1611</v>
      </c>
      <c r="D544">
        <v>72</v>
      </c>
      <c r="E544" t="s">
        <v>2937</v>
      </c>
      <c r="F544" t="str">
        <f t="shared" si="65"/>
        <v>N/A</v>
      </c>
      <c r="G544" s="1">
        <v>45872</v>
      </c>
      <c r="H544" s="1">
        <v>45758</v>
      </c>
      <c r="I544" t="s">
        <v>1612</v>
      </c>
      <c r="J544" t="str">
        <f t="shared" si="66"/>
        <v>Daniel Dickerson</v>
      </c>
      <c r="K544" t="s">
        <v>18</v>
      </c>
      <c r="L544" t="str">
        <f t="shared" si="67"/>
        <v>Orthopedics</v>
      </c>
      <c r="N544" t="str">
        <f t="shared" si="68"/>
        <v>N/A</v>
      </c>
      <c r="O544" t="str">
        <f t="shared" si="69"/>
        <v/>
      </c>
      <c r="P544" t="str" cm="1">
        <f t="array" ref="P544">_xlfn.IFS(N544="USD",O544*1,N544="GBP",O544*1.27,N544="EUR",O544*1.09,N544="INR",O544*0.012,N544="N/A","N/A")</f>
        <v>N/A</v>
      </c>
      <c r="Q544" t="s">
        <v>20</v>
      </c>
      <c r="R544" t="str" cm="1">
        <f t="array" ref="R544">_xlfn.IFS(Q544="Y","Yes", Q544="Yes","Yes", Q544="N","No", Q544="No","No", Q544=1,"N/A", Q544=0,"N/A", TRUE,"")</f>
        <v>Yes</v>
      </c>
      <c r="S544">
        <f t="shared" si="70"/>
        <v>12</v>
      </c>
      <c r="T544">
        <f t="shared" si="71"/>
        <v>1</v>
      </c>
      <c r="U544" t="str" cm="1">
        <f t="array" ref="U544">_xlfn.IFS(D544&lt;40,"Young Adult",AND(D544&gt;=40,D544&lt;65),"Middle Aged", D544&gt;=65,"Elderly")</f>
        <v>Elderly</v>
      </c>
    </row>
    <row r="545" spans="1:21" x14ac:dyDescent="0.2">
      <c r="A545">
        <v>1046</v>
      </c>
      <c r="B545">
        <f t="shared" si="64"/>
        <v>544</v>
      </c>
      <c r="C545" t="s">
        <v>1613</v>
      </c>
      <c r="D545">
        <v>76</v>
      </c>
      <c r="E545" t="s">
        <v>22</v>
      </c>
      <c r="F545" t="str">
        <f t="shared" si="65"/>
        <v>Male</v>
      </c>
      <c r="G545" s="1">
        <v>46028</v>
      </c>
      <c r="H545" s="1">
        <v>45732</v>
      </c>
      <c r="I545" t="s">
        <v>1614</v>
      </c>
      <c r="J545" t="str">
        <f t="shared" si="66"/>
        <v>Andrew Johnson</v>
      </c>
      <c r="K545" t="s">
        <v>13</v>
      </c>
      <c r="L545" t="str">
        <f t="shared" si="67"/>
        <v>Cardiology</v>
      </c>
      <c r="M545" t="s">
        <v>1615</v>
      </c>
      <c r="N545" t="str">
        <f t="shared" si="68"/>
        <v>GBP</v>
      </c>
      <c r="O545">
        <f t="shared" si="69"/>
        <v>328.88</v>
      </c>
      <c r="P545" cm="1">
        <f t="array" ref="P545">_xlfn.IFS(N545="USD",O545*1,N545="GBP",O545*1.27,N545="EUR",O545*1.09,N545="INR",O545*0.012,N545="N/A","N/A")</f>
        <v>417.67759999999998</v>
      </c>
      <c r="Q545">
        <v>1</v>
      </c>
      <c r="R545" t="str" cm="1">
        <f t="array" ref="R545">_xlfn.IFS(Q545="Y","Yes", Q545="Yes","Yes", Q545="N","No", Q545="No","No", Q545=1,"N/A", Q545=0,"N/A", TRUE,"")</f>
        <v>N/A</v>
      </c>
      <c r="S545">
        <f t="shared" si="70"/>
        <v>8</v>
      </c>
      <c r="T545">
        <f t="shared" si="71"/>
        <v>1</v>
      </c>
      <c r="U545" t="str" cm="1">
        <f t="array" ref="U545">_xlfn.IFS(D545&lt;40,"Young Adult",AND(D545&gt;=40,D545&lt;65),"Middle Aged", D545&gt;=65,"Elderly")</f>
        <v>Elderly</v>
      </c>
    </row>
    <row r="546" spans="1:21" x14ac:dyDescent="0.2">
      <c r="A546">
        <v>1051</v>
      </c>
      <c r="B546">
        <f t="shared" si="64"/>
        <v>545</v>
      </c>
      <c r="C546" t="s">
        <v>1616</v>
      </c>
      <c r="D546">
        <v>81</v>
      </c>
      <c r="E546" t="s">
        <v>51</v>
      </c>
      <c r="F546" t="str">
        <f t="shared" si="65"/>
        <v>Male</v>
      </c>
      <c r="G546" s="1">
        <v>46056</v>
      </c>
      <c r="H546" s="1">
        <v>45929</v>
      </c>
      <c r="I546" t="s">
        <v>1617</v>
      </c>
      <c r="J546" t="str">
        <f t="shared" si="66"/>
        <v>Brian Armstrong</v>
      </c>
      <c r="K546" t="s">
        <v>24</v>
      </c>
      <c r="L546" t="str">
        <f t="shared" si="67"/>
        <v>Neurology</v>
      </c>
      <c r="M546" t="s">
        <v>1618</v>
      </c>
      <c r="N546" t="str">
        <f t="shared" si="68"/>
        <v>GBP</v>
      </c>
      <c r="O546">
        <f t="shared" si="69"/>
        <v>51.93</v>
      </c>
      <c r="P546" cm="1">
        <f t="array" ref="P546">_xlfn.IFS(N546="USD",O546*1,N546="GBP",O546*1.27,N546="EUR",O546*1.09,N546="INR",O546*0.012,N546="N/A","N/A")</f>
        <v>65.951099999999997</v>
      </c>
      <c r="Q546">
        <v>0</v>
      </c>
      <c r="R546" t="str" cm="1">
        <f t="array" ref="R546">_xlfn.IFS(Q546="Y","Yes", Q546="Yes","Yes", Q546="N","No", Q546="No","No", Q546=1,"N/A", Q546=0,"N/A", TRUE,"")</f>
        <v>N/A</v>
      </c>
      <c r="S546">
        <f t="shared" si="70"/>
        <v>9</v>
      </c>
      <c r="T546">
        <f t="shared" si="71"/>
        <v>1</v>
      </c>
      <c r="U546" t="str" cm="1">
        <f t="array" ref="U546">_xlfn.IFS(D546&lt;40,"Young Adult",AND(D546&gt;=40,D546&lt;65),"Middle Aged", D546&gt;=65,"Elderly")</f>
        <v>Elderly</v>
      </c>
    </row>
    <row r="547" spans="1:21" x14ac:dyDescent="0.2">
      <c r="A547">
        <v>1014</v>
      </c>
      <c r="B547">
        <f t="shared" si="64"/>
        <v>546</v>
      </c>
      <c r="C547" t="s">
        <v>1619</v>
      </c>
      <c r="D547">
        <v>81</v>
      </c>
      <c r="E547" t="s">
        <v>16</v>
      </c>
      <c r="F547" t="str">
        <f t="shared" si="65"/>
        <v>Female</v>
      </c>
      <c r="G547" s="1">
        <v>45806</v>
      </c>
      <c r="H547" s="1">
        <v>45454</v>
      </c>
      <c r="I547" t="s">
        <v>1620</v>
      </c>
      <c r="J547" t="str">
        <f t="shared" si="66"/>
        <v>Jennifer Reyes</v>
      </c>
      <c r="K547" t="s">
        <v>18</v>
      </c>
      <c r="L547" t="str">
        <f t="shared" si="67"/>
        <v>Orthopedics</v>
      </c>
      <c r="M547" t="s">
        <v>1621</v>
      </c>
      <c r="N547" t="str">
        <f t="shared" si="68"/>
        <v>INR</v>
      </c>
      <c r="O547">
        <f t="shared" si="69"/>
        <v>201.8</v>
      </c>
      <c r="P547" cm="1">
        <f t="array" ref="P547">_xlfn.IFS(N547="USD",O547*1,N547="GBP",O547*1.27,N547="EUR",O547*1.09,N547="INR",O547*0.012,N547="N/A","N/A")</f>
        <v>2.4216000000000002</v>
      </c>
      <c r="Q547" t="s">
        <v>20</v>
      </c>
      <c r="R547" t="str" cm="1">
        <f t="array" ref="R547">_xlfn.IFS(Q547="Y","Yes", Q547="Yes","Yes", Q547="N","No", Q547="No","No", Q547=1,"N/A", Q547=0,"N/A", TRUE,"")</f>
        <v>Yes</v>
      </c>
      <c r="S547">
        <f t="shared" si="70"/>
        <v>10</v>
      </c>
      <c r="T547">
        <f t="shared" si="71"/>
        <v>1</v>
      </c>
      <c r="U547" t="str" cm="1">
        <f t="array" ref="U547">_xlfn.IFS(D547&lt;40,"Young Adult",AND(D547&gt;=40,D547&lt;65),"Middle Aged", D547&gt;=65,"Elderly")</f>
        <v>Elderly</v>
      </c>
    </row>
    <row r="548" spans="1:21" x14ac:dyDescent="0.2">
      <c r="A548">
        <v>1059</v>
      </c>
      <c r="B548">
        <f t="shared" si="64"/>
        <v>547</v>
      </c>
      <c r="C548" t="s">
        <v>1622</v>
      </c>
      <c r="D548">
        <v>75</v>
      </c>
      <c r="E548" t="s">
        <v>38</v>
      </c>
      <c r="F548" t="str">
        <f t="shared" si="65"/>
        <v>Female</v>
      </c>
      <c r="G548" s="1">
        <v>45762</v>
      </c>
      <c r="H548" s="1">
        <v>45444</v>
      </c>
      <c r="I548" t="s">
        <v>1623</v>
      </c>
      <c r="J548" t="str">
        <f t="shared" si="66"/>
        <v>Joshua Gomez</v>
      </c>
      <c r="K548" t="s">
        <v>13</v>
      </c>
      <c r="L548" t="str">
        <f t="shared" si="67"/>
        <v>Cardiology</v>
      </c>
      <c r="M548" t="s">
        <v>1624</v>
      </c>
      <c r="N548" t="str">
        <f t="shared" si="68"/>
        <v>USD</v>
      </c>
      <c r="O548">
        <f t="shared" si="69"/>
        <v>129.1</v>
      </c>
      <c r="P548" cm="1">
        <f t="array" ref="P548">_xlfn.IFS(N548="USD",O548*1,N548="GBP",O548*1.27,N548="EUR",O548*1.09,N548="INR",O548*0.012,N548="N/A","N/A")</f>
        <v>129.1</v>
      </c>
      <c r="Q548" t="s">
        <v>20</v>
      </c>
      <c r="R548" t="str" cm="1">
        <f t="array" ref="R548">_xlfn.IFS(Q548="Y","Yes", Q548="Yes","Yes", Q548="N","No", Q548="No","No", Q548=1,"N/A", Q548=0,"N/A", TRUE,"")</f>
        <v>Yes</v>
      </c>
      <c r="S548">
        <f t="shared" si="70"/>
        <v>13</v>
      </c>
      <c r="T548">
        <f t="shared" si="71"/>
        <v>1</v>
      </c>
      <c r="U548" t="str" cm="1">
        <f t="array" ref="U548">_xlfn.IFS(D548&lt;40,"Young Adult",AND(D548&gt;=40,D548&lt;65),"Middle Aged", D548&gt;=65,"Elderly")</f>
        <v>Elderly</v>
      </c>
    </row>
    <row r="549" spans="1:21" x14ac:dyDescent="0.2">
      <c r="A549">
        <v>1040</v>
      </c>
      <c r="B549">
        <f t="shared" si="64"/>
        <v>548</v>
      </c>
      <c r="C549" t="s">
        <v>1625</v>
      </c>
      <c r="D549">
        <v>77</v>
      </c>
      <c r="E549" t="s">
        <v>51</v>
      </c>
      <c r="F549" t="str">
        <f t="shared" si="65"/>
        <v>Male</v>
      </c>
      <c r="G549" s="1">
        <v>46006</v>
      </c>
      <c r="H549" s="1">
        <v>45523</v>
      </c>
      <c r="I549" t="s">
        <v>1626</v>
      </c>
      <c r="J549" t="str">
        <f t="shared" si="66"/>
        <v>Tamara Rivera</v>
      </c>
      <c r="K549" t="s">
        <v>13</v>
      </c>
      <c r="L549" t="str">
        <f t="shared" si="67"/>
        <v>Cardiology</v>
      </c>
      <c r="N549" t="str">
        <f t="shared" si="68"/>
        <v>N/A</v>
      </c>
      <c r="O549" t="str">
        <f t="shared" si="69"/>
        <v/>
      </c>
      <c r="P549" t="str" cm="1">
        <f t="array" ref="P549">_xlfn.IFS(N549="USD",O549*1,N549="GBP",O549*1.27,N549="EUR",O549*1.09,N549="INR",O549*0.012,N549="N/A","N/A")</f>
        <v>N/A</v>
      </c>
      <c r="Q549">
        <v>0</v>
      </c>
      <c r="R549" t="str" cm="1">
        <f t="array" ref="R549">_xlfn.IFS(Q549="Y","Yes", Q549="Yes","Yes", Q549="N","No", Q549="No","No", Q549=1,"N/A", Q549=0,"N/A", TRUE,"")</f>
        <v>N/A</v>
      </c>
      <c r="S549">
        <f t="shared" si="70"/>
        <v>13</v>
      </c>
      <c r="T549">
        <f t="shared" si="71"/>
        <v>1</v>
      </c>
      <c r="U549" t="str" cm="1">
        <f t="array" ref="U549">_xlfn.IFS(D549&lt;40,"Young Adult",AND(D549&gt;=40,D549&lt;65),"Middle Aged", D549&gt;=65,"Elderly")</f>
        <v>Elderly</v>
      </c>
    </row>
    <row r="550" spans="1:21" x14ac:dyDescent="0.2">
      <c r="A550">
        <v>1092</v>
      </c>
      <c r="B550">
        <f t="shared" si="64"/>
        <v>549</v>
      </c>
      <c r="C550" t="s">
        <v>1627</v>
      </c>
      <c r="D550">
        <v>74</v>
      </c>
      <c r="E550" t="s">
        <v>38</v>
      </c>
      <c r="F550" t="str">
        <f t="shared" si="65"/>
        <v>Female</v>
      </c>
      <c r="G550" s="1">
        <v>45862</v>
      </c>
      <c r="H550" s="1">
        <v>45771</v>
      </c>
      <c r="I550" t="s">
        <v>1628</v>
      </c>
      <c r="J550" t="str">
        <f t="shared" si="66"/>
        <v>Margaret Robinson</v>
      </c>
      <c r="K550" t="s">
        <v>28</v>
      </c>
      <c r="L550" t="str">
        <f t="shared" si="67"/>
        <v>General</v>
      </c>
      <c r="M550" t="s">
        <v>1629</v>
      </c>
      <c r="N550" t="str">
        <f t="shared" si="68"/>
        <v>USD</v>
      </c>
      <c r="O550">
        <f t="shared" si="69"/>
        <v>153.53</v>
      </c>
      <c r="P550" cm="1">
        <f t="array" ref="P550">_xlfn.IFS(N550="USD",O550*1,N550="GBP",O550*1.27,N550="EUR",O550*1.09,N550="INR",O550*0.012,N550="N/A","N/A")</f>
        <v>153.53</v>
      </c>
      <c r="Q550" t="s">
        <v>20</v>
      </c>
      <c r="R550" t="str" cm="1">
        <f t="array" ref="R550">_xlfn.IFS(Q550="Y","Yes", Q550="Yes","Yes", Q550="N","No", Q550="No","No", Q550=1,"N/A", Q550=0,"N/A", TRUE,"")</f>
        <v>Yes</v>
      </c>
      <c r="S550">
        <f t="shared" si="70"/>
        <v>11</v>
      </c>
      <c r="T550">
        <f t="shared" si="71"/>
        <v>1</v>
      </c>
      <c r="U550" t="str" cm="1">
        <f t="array" ref="U550">_xlfn.IFS(D550&lt;40,"Young Adult",AND(D550&gt;=40,D550&lt;65),"Middle Aged", D550&gt;=65,"Elderly")</f>
        <v>Elderly</v>
      </c>
    </row>
    <row r="551" spans="1:21" x14ac:dyDescent="0.2">
      <c r="A551">
        <v>1010</v>
      </c>
      <c r="B551">
        <f t="shared" si="64"/>
        <v>550</v>
      </c>
      <c r="C551" t="s">
        <v>1630</v>
      </c>
      <c r="D551">
        <v>60</v>
      </c>
      <c r="E551" t="s">
        <v>22</v>
      </c>
      <c r="F551" t="str">
        <f t="shared" si="65"/>
        <v>Male</v>
      </c>
      <c r="G551" s="1">
        <v>46048</v>
      </c>
      <c r="H551" s="1">
        <v>45421</v>
      </c>
      <c r="I551" t="s">
        <v>1631</v>
      </c>
      <c r="J551" t="str">
        <f t="shared" si="66"/>
        <v>Wendy Cochran</v>
      </c>
      <c r="K551" t="s">
        <v>13</v>
      </c>
      <c r="L551" t="str">
        <f t="shared" si="67"/>
        <v>Cardiology</v>
      </c>
      <c r="M551" t="s">
        <v>1632</v>
      </c>
      <c r="N551" t="str">
        <f t="shared" si="68"/>
        <v>INR</v>
      </c>
      <c r="O551">
        <f t="shared" si="69"/>
        <v>222.33</v>
      </c>
      <c r="P551" cm="1">
        <f t="array" ref="P551">_xlfn.IFS(N551="USD",O551*1,N551="GBP",O551*1.27,N551="EUR",O551*1.09,N551="INR",O551*0.012,N551="N/A","N/A")</f>
        <v>2.6679600000000003</v>
      </c>
      <c r="Q551">
        <v>1</v>
      </c>
      <c r="R551" t="str" cm="1">
        <f t="array" ref="R551">_xlfn.IFS(Q551="Y","Yes", Q551="Yes","Yes", Q551="N","No", Q551="No","No", Q551=1,"N/A", Q551=0,"N/A", TRUE,"")</f>
        <v>N/A</v>
      </c>
      <c r="S551">
        <f t="shared" si="70"/>
        <v>10</v>
      </c>
      <c r="T551">
        <f t="shared" si="71"/>
        <v>1</v>
      </c>
      <c r="U551" t="str" cm="1">
        <f t="array" ref="U551">_xlfn.IFS(D551&lt;40,"Young Adult",AND(D551&gt;=40,D551&lt;65),"Middle Aged", D551&gt;=65,"Elderly")</f>
        <v>Middle Aged</v>
      </c>
    </row>
    <row r="552" spans="1:21" x14ac:dyDescent="0.2">
      <c r="A552">
        <v>1032</v>
      </c>
      <c r="B552">
        <f t="shared" si="64"/>
        <v>551</v>
      </c>
      <c r="C552" t="s">
        <v>1633</v>
      </c>
      <c r="D552">
        <v>28</v>
      </c>
      <c r="E552" t="s">
        <v>22</v>
      </c>
      <c r="F552" t="str">
        <f t="shared" si="65"/>
        <v>Male</v>
      </c>
      <c r="G552" s="1">
        <v>45852</v>
      </c>
      <c r="H552" s="1">
        <v>45520</v>
      </c>
      <c r="I552" t="s">
        <v>1634</v>
      </c>
      <c r="J552" t="str">
        <f t="shared" si="66"/>
        <v>Kelsey Scott</v>
      </c>
      <c r="K552" t="s">
        <v>24</v>
      </c>
      <c r="L552" t="str">
        <f t="shared" si="67"/>
        <v>Neurology</v>
      </c>
      <c r="M552" t="s">
        <v>1635</v>
      </c>
      <c r="N552" t="str">
        <f t="shared" si="68"/>
        <v>INR</v>
      </c>
      <c r="O552">
        <f t="shared" si="69"/>
        <v>403.78</v>
      </c>
      <c r="P552" cm="1">
        <f t="array" ref="P552">_xlfn.IFS(N552="USD",O552*1,N552="GBP",O552*1.27,N552="EUR",O552*1.09,N552="INR",O552*0.012,N552="N/A","N/A")</f>
        <v>4.8453599999999994</v>
      </c>
      <c r="Q552" t="s">
        <v>36</v>
      </c>
      <c r="R552" t="str" cm="1">
        <f t="array" ref="R552">_xlfn.IFS(Q552="Y","Yes", Q552="Yes","Yes", Q552="N","No", Q552="No","No", Q552=1,"N/A", Q552=0,"N/A", TRUE,"")</f>
        <v>Yes</v>
      </c>
      <c r="S552">
        <f t="shared" si="70"/>
        <v>7</v>
      </c>
      <c r="T552">
        <f t="shared" si="71"/>
        <v>1</v>
      </c>
      <c r="U552" t="str" cm="1">
        <f t="array" ref="U552">_xlfn.IFS(D552&lt;40,"Young Adult",AND(D552&gt;=40,D552&lt;65),"Middle Aged", D552&gt;=65,"Elderly")</f>
        <v>Young Adult</v>
      </c>
    </row>
    <row r="553" spans="1:21" x14ac:dyDescent="0.2">
      <c r="A553">
        <v>1020</v>
      </c>
      <c r="B553">
        <f t="shared" si="64"/>
        <v>552</v>
      </c>
      <c r="C553" t="s">
        <v>1636</v>
      </c>
      <c r="D553">
        <v>45</v>
      </c>
      <c r="E553" t="s">
        <v>16</v>
      </c>
      <c r="F553" t="str">
        <f t="shared" si="65"/>
        <v>Female</v>
      </c>
      <c r="G553" s="1">
        <v>45990</v>
      </c>
      <c r="H553" s="1">
        <v>45900</v>
      </c>
      <c r="I553" t="s">
        <v>1637</v>
      </c>
      <c r="J553" t="str">
        <f t="shared" si="66"/>
        <v>Ronald Santos</v>
      </c>
      <c r="K553" t="s">
        <v>28</v>
      </c>
      <c r="L553" t="str">
        <f t="shared" si="67"/>
        <v>General</v>
      </c>
      <c r="M553" t="s">
        <v>1638</v>
      </c>
      <c r="N553" t="str">
        <f t="shared" si="68"/>
        <v>USD</v>
      </c>
      <c r="O553">
        <f t="shared" si="69"/>
        <v>343.21</v>
      </c>
      <c r="P553" cm="1">
        <f t="array" ref="P553">_xlfn.IFS(N553="USD",O553*1,N553="GBP",O553*1.27,N553="EUR",O553*1.09,N553="INR",O553*0.012,N553="N/A","N/A")</f>
        <v>343.21</v>
      </c>
      <c r="Q553">
        <v>0</v>
      </c>
      <c r="R553" t="str" cm="1">
        <f t="array" ref="R553">_xlfn.IFS(Q553="Y","Yes", Q553="Yes","Yes", Q553="N","No", Q553="No","No", Q553=1,"N/A", Q553=0,"N/A", TRUE,"")</f>
        <v>N/A</v>
      </c>
      <c r="S553">
        <f t="shared" si="70"/>
        <v>10</v>
      </c>
      <c r="T553">
        <f t="shared" si="71"/>
        <v>1</v>
      </c>
      <c r="U553" t="str" cm="1">
        <f t="array" ref="U553">_xlfn.IFS(D553&lt;40,"Young Adult",AND(D553&gt;=40,D553&lt;65),"Middle Aged", D553&gt;=65,"Elderly")</f>
        <v>Middle Aged</v>
      </c>
    </row>
    <row r="554" spans="1:21" x14ac:dyDescent="0.2">
      <c r="A554">
        <v>1020</v>
      </c>
      <c r="B554">
        <f t="shared" si="64"/>
        <v>553</v>
      </c>
      <c r="C554" t="s">
        <v>1639</v>
      </c>
      <c r="D554">
        <v>50</v>
      </c>
      <c r="E554" t="s">
        <v>22</v>
      </c>
      <c r="F554" t="str">
        <f t="shared" si="65"/>
        <v>Male</v>
      </c>
      <c r="G554" s="1">
        <v>45887</v>
      </c>
      <c r="H554" s="1">
        <v>45794</v>
      </c>
      <c r="I554" t="s">
        <v>1640</v>
      </c>
      <c r="J554" t="str">
        <f t="shared" si="66"/>
        <v>Michael Brown</v>
      </c>
      <c r="K554" t="s">
        <v>24</v>
      </c>
      <c r="L554" t="str">
        <f t="shared" si="67"/>
        <v>Neurology</v>
      </c>
      <c r="M554" t="s">
        <v>1641</v>
      </c>
      <c r="N554" t="str">
        <f t="shared" si="68"/>
        <v>GBP</v>
      </c>
      <c r="O554">
        <f t="shared" si="69"/>
        <v>67.97</v>
      </c>
      <c r="P554" cm="1">
        <f t="array" ref="P554">_xlfn.IFS(N554="USD",O554*1,N554="GBP",O554*1.27,N554="EUR",O554*1.09,N554="INR",O554*0.012,N554="N/A","N/A")</f>
        <v>86.321899999999999</v>
      </c>
      <c r="Q554">
        <v>1</v>
      </c>
      <c r="R554" t="str" cm="1">
        <f t="array" ref="R554">_xlfn.IFS(Q554="Y","Yes", Q554="Yes","Yes", Q554="N","No", Q554="No","No", Q554=1,"N/A", Q554=0,"N/A", TRUE,"")</f>
        <v>N/A</v>
      </c>
      <c r="S554">
        <f t="shared" si="70"/>
        <v>10</v>
      </c>
      <c r="T554">
        <f t="shared" si="71"/>
        <v>1</v>
      </c>
      <c r="U554" t="str" cm="1">
        <f t="array" ref="U554">_xlfn.IFS(D554&lt;40,"Young Adult",AND(D554&gt;=40,D554&lt;65),"Middle Aged", D554&gt;=65,"Elderly")</f>
        <v>Middle Aged</v>
      </c>
    </row>
    <row r="555" spans="1:21" x14ac:dyDescent="0.2">
      <c r="A555">
        <v>1017</v>
      </c>
      <c r="B555">
        <f t="shared" si="64"/>
        <v>554</v>
      </c>
      <c r="C555" t="s">
        <v>1642</v>
      </c>
      <c r="D555">
        <v>55</v>
      </c>
      <c r="E555" t="s">
        <v>71</v>
      </c>
      <c r="F555" t="str">
        <f t="shared" si="65"/>
        <v>Male</v>
      </c>
      <c r="G555" s="1">
        <v>45856</v>
      </c>
      <c r="H555" s="1">
        <v>45479</v>
      </c>
      <c r="I555" t="s">
        <v>1643</v>
      </c>
      <c r="J555" t="str">
        <f t="shared" si="66"/>
        <v>Charles Owens</v>
      </c>
      <c r="K555" t="s">
        <v>28</v>
      </c>
      <c r="L555" t="str">
        <f t="shared" si="67"/>
        <v>General</v>
      </c>
      <c r="M555" t="s">
        <v>1644</v>
      </c>
      <c r="N555" t="str">
        <f t="shared" si="68"/>
        <v>INR</v>
      </c>
      <c r="O555">
        <f t="shared" si="69"/>
        <v>365.21</v>
      </c>
      <c r="P555" cm="1">
        <f t="array" ref="P555">_xlfn.IFS(N555="USD",O555*1,N555="GBP",O555*1.27,N555="EUR",O555*1.09,N555="INR",O555*0.012,N555="N/A","N/A")</f>
        <v>4.3825199999999995</v>
      </c>
      <c r="Q555" t="s">
        <v>30</v>
      </c>
      <c r="R555" t="str" cm="1">
        <f t="array" ref="R555">_xlfn.IFS(Q555="Y","Yes", Q555="Yes","Yes", Q555="N","No", Q555="No","No", Q555=1,"N/A", Q555=0,"N/A", TRUE,"")</f>
        <v>No</v>
      </c>
      <c r="S555">
        <f t="shared" si="70"/>
        <v>8</v>
      </c>
      <c r="T555">
        <f t="shared" si="71"/>
        <v>1</v>
      </c>
      <c r="U555" t="str" cm="1">
        <f t="array" ref="U555">_xlfn.IFS(D555&lt;40,"Young Adult",AND(D555&gt;=40,D555&lt;65),"Middle Aged", D555&gt;=65,"Elderly")</f>
        <v>Middle Aged</v>
      </c>
    </row>
    <row r="556" spans="1:21" x14ac:dyDescent="0.2">
      <c r="A556">
        <v>1007</v>
      </c>
      <c r="B556">
        <f t="shared" si="64"/>
        <v>555</v>
      </c>
      <c r="C556" t="s">
        <v>1645</v>
      </c>
      <c r="D556">
        <v>25</v>
      </c>
      <c r="E556" t="s">
        <v>38</v>
      </c>
      <c r="F556" t="str">
        <f t="shared" si="65"/>
        <v>Female</v>
      </c>
      <c r="G556" s="1">
        <v>45996</v>
      </c>
      <c r="H556" s="1">
        <v>45563</v>
      </c>
      <c r="I556" t="s">
        <v>1646</v>
      </c>
      <c r="J556" t="str">
        <f t="shared" si="66"/>
        <v>Paul Allen</v>
      </c>
      <c r="K556" t="s">
        <v>24</v>
      </c>
      <c r="L556" t="str">
        <f t="shared" si="67"/>
        <v>Neurology</v>
      </c>
      <c r="M556" t="s">
        <v>1647</v>
      </c>
      <c r="N556" t="str">
        <f t="shared" si="68"/>
        <v>GBP</v>
      </c>
      <c r="O556">
        <f t="shared" si="69"/>
        <v>269.52999999999997</v>
      </c>
      <c r="P556" cm="1">
        <f t="array" ref="P556">_xlfn.IFS(N556="USD",O556*1,N556="GBP",O556*1.27,N556="EUR",O556*1.09,N556="INR",O556*0.012,N556="N/A","N/A")</f>
        <v>342.30309999999997</v>
      </c>
      <c r="Q556">
        <v>1</v>
      </c>
      <c r="R556" t="str" cm="1">
        <f t="array" ref="R556">_xlfn.IFS(Q556="Y","Yes", Q556="Yes","Yes", Q556="N","No", Q556="No","No", Q556=1,"N/A", Q556=0,"N/A", TRUE,"")</f>
        <v>N/A</v>
      </c>
      <c r="S556">
        <f t="shared" si="70"/>
        <v>3</v>
      </c>
      <c r="T556">
        <f t="shared" si="71"/>
        <v>1</v>
      </c>
      <c r="U556" t="str" cm="1">
        <f t="array" ref="U556">_xlfn.IFS(D556&lt;40,"Young Adult",AND(D556&gt;=40,D556&lt;65),"Middle Aged", D556&gt;=65,"Elderly")</f>
        <v>Young Adult</v>
      </c>
    </row>
    <row r="557" spans="1:21" x14ac:dyDescent="0.2">
      <c r="A557">
        <v>1084</v>
      </c>
      <c r="B557">
        <f t="shared" si="64"/>
        <v>556</v>
      </c>
      <c r="C557" t="s">
        <v>1648</v>
      </c>
      <c r="D557">
        <v>69</v>
      </c>
      <c r="E557" t="s">
        <v>22</v>
      </c>
      <c r="F557" t="str">
        <f t="shared" si="65"/>
        <v>Male</v>
      </c>
      <c r="G557" s="1">
        <v>45743</v>
      </c>
      <c r="H557" s="1">
        <v>45508</v>
      </c>
      <c r="I557" t="s">
        <v>1649</v>
      </c>
      <c r="J557" t="str">
        <f t="shared" si="66"/>
        <v>Brian Brown</v>
      </c>
      <c r="K557" t="s">
        <v>28</v>
      </c>
      <c r="L557" t="str">
        <f t="shared" si="67"/>
        <v>General</v>
      </c>
      <c r="M557" t="s">
        <v>1650</v>
      </c>
      <c r="N557" t="str">
        <f t="shared" si="68"/>
        <v>USD</v>
      </c>
      <c r="O557">
        <f t="shared" si="69"/>
        <v>163.58000000000001</v>
      </c>
      <c r="P557" cm="1">
        <f t="array" ref="P557">_xlfn.IFS(N557="USD",O557*1,N557="GBP",O557*1.27,N557="EUR",O557*1.09,N557="INR",O557*0.012,N557="N/A","N/A")</f>
        <v>163.58000000000001</v>
      </c>
      <c r="Q557" t="s">
        <v>60</v>
      </c>
      <c r="R557" t="str" cm="1">
        <f t="array" ref="R557">_xlfn.IFS(Q557="Y","Yes", Q557="Yes","Yes", Q557="N","No", Q557="No","No", Q557=1,"N/A", Q557=0,"N/A", TRUE,"")</f>
        <v>No</v>
      </c>
      <c r="S557">
        <f t="shared" si="70"/>
        <v>15</v>
      </c>
      <c r="T557">
        <f t="shared" si="71"/>
        <v>1</v>
      </c>
      <c r="U557" t="str" cm="1">
        <f t="array" ref="U557">_xlfn.IFS(D557&lt;40,"Young Adult",AND(D557&gt;=40,D557&lt;65),"Middle Aged", D557&gt;=65,"Elderly")</f>
        <v>Elderly</v>
      </c>
    </row>
    <row r="558" spans="1:21" x14ac:dyDescent="0.2">
      <c r="A558">
        <v>1005</v>
      </c>
      <c r="B558">
        <f t="shared" si="64"/>
        <v>557</v>
      </c>
      <c r="C558" t="s">
        <v>1651</v>
      </c>
      <c r="D558">
        <v>84</v>
      </c>
      <c r="E558" t="s">
        <v>38</v>
      </c>
      <c r="F558" t="str">
        <f t="shared" si="65"/>
        <v>Female</v>
      </c>
      <c r="G558" s="1">
        <v>46027</v>
      </c>
      <c r="H558" s="1">
        <v>45849</v>
      </c>
      <c r="I558" t="s">
        <v>1652</v>
      </c>
      <c r="J558" t="str">
        <f t="shared" si="66"/>
        <v>Michael Trevino</v>
      </c>
      <c r="K558" t="s">
        <v>13</v>
      </c>
      <c r="L558" t="str">
        <f t="shared" si="67"/>
        <v>Cardiology</v>
      </c>
      <c r="M558" t="s">
        <v>1653</v>
      </c>
      <c r="N558" t="str">
        <f t="shared" si="68"/>
        <v>INR</v>
      </c>
      <c r="O558">
        <f t="shared" si="69"/>
        <v>499.36</v>
      </c>
      <c r="P558" cm="1">
        <f t="array" ref="P558">_xlfn.IFS(N558="USD",O558*1,N558="GBP",O558*1.27,N558="EUR",O558*1.09,N558="INR",O558*0.012,N558="N/A","N/A")</f>
        <v>5.9923200000000003</v>
      </c>
      <c r="Q558" t="s">
        <v>60</v>
      </c>
      <c r="R558" t="str" cm="1">
        <f t="array" ref="R558">_xlfn.IFS(Q558="Y","Yes", Q558="Yes","Yes", Q558="N","No", Q558="No","No", Q558=1,"N/A", Q558=0,"N/A", TRUE,"")</f>
        <v>No</v>
      </c>
      <c r="S558">
        <f t="shared" si="70"/>
        <v>13</v>
      </c>
      <c r="T558">
        <f t="shared" si="71"/>
        <v>1</v>
      </c>
      <c r="U558" t="str" cm="1">
        <f t="array" ref="U558">_xlfn.IFS(D558&lt;40,"Young Adult",AND(D558&gt;=40,D558&lt;65),"Middle Aged", D558&gt;=65,"Elderly")</f>
        <v>Elderly</v>
      </c>
    </row>
    <row r="559" spans="1:21" x14ac:dyDescent="0.2">
      <c r="A559">
        <v>1011</v>
      </c>
      <c r="B559">
        <f t="shared" si="64"/>
        <v>558</v>
      </c>
      <c r="C559" t="s">
        <v>1654</v>
      </c>
      <c r="D559">
        <v>50</v>
      </c>
      <c r="E559" t="s">
        <v>38</v>
      </c>
      <c r="F559" t="str">
        <f t="shared" si="65"/>
        <v>Female</v>
      </c>
      <c r="G559" s="1">
        <v>45975</v>
      </c>
      <c r="H559" s="1">
        <v>45914</v>
      </c>
      <c r="I559" t="s">
        <v>1655</v>
      </c>
      <c r="J559" t="str">
        <f t="shared" si="66"/>
        <v>Austin Stout</v>
      </c>
      <c r="K559" t="s">
        <v>13</v>
      </c>
      <c r="L559" t="str">
        <f t="shared" si="67"/>
        <v>Cardiology</v>
      </c>
      <c r="M559" t="s">
        <v>1656</v>
      </c>
      <c r="N559" t="str">
        <f t="shared" si="68"/>
        <v>INR</v>
      </c>
      <c r="O559">
        <f t="shared" si="69"/>
        <v>101.37</v>
      </c>
      <c r="P559" cm="1">
        <f t="array" ref="P559">_xlfn.IFS(N559="USD",O559*1,N559="GBP",O559*1.27,N559="EUR",O559*1.09,N559="INR",O559*0.012,N559="N/A","N/A")</f>
        <v>1.2164400000000002</v>
      </c>
      <c r="Q559">
        <v>0</v>
      </c>
      <c r="R559" t="str" cm="1">
        <f t="array" ref="R559">_xlfn.IFS(Q559="Y","Yes", Q559="Yes","Yes", Q559="N","No", Q559="No","No", Q559=1,"N/A", Q559=0,"N/A", TRUE,"")</f>
        <v>N/A</v>
      </c>
      <c r="S559">
        <f t="shared" si="70"/>
        <v>7</v>
      </c>
      <c r="T559">
        <f t="shared" si="71"/>
        <v>1</v>
      </c>
      <c r="U559" t="str" cm="1">
        <f t="array" ref="U559">_xlfn.IFS(D559&lt;40,"Young Adult",AND(D559&gt;=40,D559&lt;65),"Middle Aged", D559&gt;=65,"Elderly")</f>
        <v>Middle Aged</v>
      </c>
    </row>
    <row r="560" spans="1:21" x14ac:dyDescent="0.2">
      <c r="A560">
        <v>1085</v>
      </c>
      <c r="B560">
        <f t="shared" si="64"/>
        <v>559</v>
      </c>
      <c r="C560" t="s">
        <v>1657</v>
      </c>
      <c r="D560">
        <v>28</v>
      </c>
      <c r="E560" t="s">
        <v>38</v>
      </c>
      <c r="F560" t="str">
        <f t="shared" si="65"/>
        <v>Female</v>
      </c>
      <c r="G560" s="1">
        <v>46089</v>
      </c>
      <c r="H560" s="1">
        <v>45634</v>
      </c>
      <c r="I560" t="s">
        <v>1658</v>
      </c>
      <c r="J560" t="str">
        <f t="shared" si="66"/>
        <v>Patricia White</v>
      </c>
      <c r="K560" t="s">
        <v>18</v>
      </c>
      <c r="L560" t="str">
        <f t="shared" si="67"/>
        <v>Orthopedics</v>
      </c>
      <c r="N560" t="str">
        <f t="shared" si="68"/>
        <v>N/A</v>
      </c>
      <c r="O560" t="str">
        <f t="shared" si="69"/>
        <v/>
      </c>
      <c r="P560" t="str" cm="1">
        <f t="array" ref="P560">_xlfn.IFS(N560="USD",O560*1,N560="GBP",O560*1.27,N560="EUR",O560*1.09,N560="INR",O560*0.012,N560="N/A","N/A")</f>
        <v>N/A</v>
      </c>
      <c r="Q560">
        <v>0</v>
      </c>
      <c r="R560" t="str" cm="1">
        <f t="array" ref="R560">_xlfn.IFS(Q560="Y","Yes", Q560="Yes","Yes", Q560="N","No", Q560="No","No", Q560=1,"N/A", Q560=0,"N/A", TRUE,"")</f>
        <v>N/A</v>
      </c>
      <c r="S560">
        <f t="shared" si="70"/>
        <v>12</v>
      </c>
      <c r="T560">
        <f t="shared" si="71"/>
        <v>1</v>
      </c>
      <c r="U560" t="str" cm="1">
        <f t="array" ref="U560">_xlfn.IFS(D560&lt;40,"Young Adult",AND(D560&gt;=40,D560&lt;65),"Middle Aged", D560&gt;=65,"Elderly")</f>
        <v>Young Adult</v>
      </c>
    </row>
    <row r="561" spans="1:21" x14ac:dyDescent="0.2">
      <c r="A561">
        <v>1005</v>
      </c>
      <c r="B561">
        <f t="shared" si="64"/>
        <v>560</v>
      </c>
      <c r="C561" t="s">
        <v>1659</v>
      </c>
      <c r="D561">
        <v>24</v>
      </c>
      <c r="E561" t="s">
        <v>38</v>
      </c>
      <c r="F561" t="str">
        <f t="shared" si="65"/>
        <v>Female</v>
      </c>
      <c r="G561" s="1">
        <v>45821</v>
      </c>
      <c r="H561" s="1">
        <v>45449</v>
      </c>
      <c r="I561" t="s">
        <v>1660</v>
      </c>
      <c r="J561" t="str">
        <f t="shared" si="66"/>
        <v>Andre Carter</v>
      </c>
      <c r="K561" t="s">
        <v>13</v>
      </c>
      <c r="L561" t="str">
        <f t="shared" si="67"/>
        <v>Cardiology</v>
      </c>
      <c r="M561" t="s">
        <v>1661</v>
      </c>
      <c r="N561" t="str">
        <f t="shared" si="68"/>
        <v>GBP</v>
      </c>
      <c r="O561">
        <f t="shared" si="69"/>
        <v>442.72</v>
      </c>
      <c r="P561" cm="1">
        <f t="array" ref="P561">_xlfn.IFS(N561="USD",O561*1,N561="GBP",O561*1.27,N561="EUR",O561*1.09,N561="INR",O561*0.012,N561="N/A","N/A")</f>
        <v>562.25440000000003</v>
      </c>
      <c r="Q561" t="s">
        <v>60</v>
      </c>
      <c r="R561" t="str" cm="1">
        <f t="array" ref="R561">_xlfn.IFS(Q561="Y","Yes", Q561="Yes","Yes", Q561="N","No", Q561="No","No", Q561=1,"N/A", Q561=0,"N/A", TRUE,"")</f>
        <v>No</v>
      </c>
      <c r="S561">
        <f t="shared" si="70"/>
        <v>13</v>
      </c>
      <c r="T561">
        <f t="shared" si="71"/>
        <v>1</v>
      </c>
      <c r="U561" t="str" cm="1">
        <f t="array" ref="U561">_xlfn.IFS(D561&lt;40,"Young Adult",AND(D561&gt;=40,D561&lt;65),"Middle Aged", D561&gt;=65,"Elderly")</f>
        <v>Young Adult</v>
      </c>
    </row>
    <row r="562" spans="1:21" x14ac:dyDescent="0.2">
      <c r="A562">
        <v>1079</v>
      </c>
      <c r="B562">
        <f t="shared" si="64"/>
        <v>561</v>
      </c>
      <c r="C562" t="s">
        <v>1662</v>
      </c>
      <c r="D562">
        <v>52</v>
      </c>
      <c r="E562" t="s">
        <v>22</v>
      </c>
      <c r="F562" t="str">
        <f t="shared" si="65"/>
        <v>Male</v>
      </c>
      <c r="G562" s="1">
        <v>45977</v>
      </c>
      <c r="H562" s="1">
        <v>45740</v>
      </c>
      <c r="I562" t="s">
        <v>1663</v>
      </c>
      <c r="J562" t="str">
        <f t="shared" si="66"/>
        <v>Alexander Jackson</v>
      </c>
      <c r="K562" t="s">
        <v>13</v>
      </c>
      <c r="L562" t="str">
        <f t="shared" si="67"/>
        <v>Cardiology</v>
      </c>
      <c r="M562" t="s">
        <v>1664</v>
      </c>
      <c r="N562" t="str">
        <f t="shared" si="68"/>
        <v>GBP</v>
      </c>
      <c r="O562">
        <f t="shared" si="69"/>
        <v>224.89</v>
      </c>
      <c r="P562" cm="1">
        <f t="array" ref="P562">_xlfn.IFS(N562="USD",O562*1,N562="GBP",O562*1.27,N562="EUR",O562*1.09,N562="INR",O562*0.012,N562="N/A","N/A")</f>
        <v>285.6103</v>
      </c>
      <c r="Q562">
        <v>0</v>
      </c>
      <c r="R562" t="str" cm="1">
        <f t="array" ref="R562">_xlfn.IFS(Q562="Y","Yes", Q562="Yes","Yes", Q562="N","No", Q562="No","No", Q562=1,"N/A", Q562=0,"N/A", TRUE,"")</f>
        <v>N/A</v>
      </c>
      <c r="S562">
        <f t="shared" si="70"/>
        <v>4</v>
      </c>
      <c r="T562">
        <f t="shared" si="71"/>
        <v>1</v>
      </c>
      <c r="U562" t="str" cm="1">
        <f t="array" ref="U562">_xlfn.IFS(D562&lt;40,"Young Adult",AND(D562&gt;=40,D562&lt;65),"Middle Aged", D562&gt;=65,"Elderly")</f>
        <v>Middle Aged</v>
      </c>
    </row>
    <row r="563" spans="1:21" x14ac:dyDescent="0.2">
      <c r="A563">
        <v>1090</v>
      </c>
      <c r="B563">
        <f t="shared" si="64"/>
        <v>562</v>
      </c>
      <c r="C563" t="s">
        <v>1665</v>
      </c>
      <c r="D563">
        <v>53</v>
      </c>
      <c r="E563" t="s">
        <v>2937</v>
      </c>
      <c r="F563" t="str">
        <f t="shared" si="65"/>
        <v>N/A</v>
      </c>
      <c r="G563" s="1">
        <v>46068</v>
      </c>
      <c r="H563" s="1">
        <v>45774</v>
      </c>
      <c r="I563" t="s">
        <v>1666</v>
      </c>
      <c r="J563" t="str">
        <f t="shared" si="66"/>
        <v>Nicole Martinez</v>
      </c>
      <c r="K563" t="s">
        <v>18</v>
      </c>
      <c r="L563" t="str">
        <f t="shared" si="67"/>
        <v>Orthopedics</v>
      </c>
      <c r="M563" t="s">
        <v>1667</v>
      </c>
      <c r="N563" t="str">
        <f t="shared" si="68"/>
        <v>INR</v>
      </c>
      <c r="O563">
        <f t="shared" si="69"/>
        <v>163.4</v>
      </c>
      <c r="P563" cm="1">
        <f t="array" ref="P563">_xlfn.IFS(N563="USD",O563*1,N563="GBP",O563*1.27,N563="EUR",O563*1.09,N563="INR",O563*0.012,N563="N/A","N/A")</f>
        <v>1.9608000000000001</v>
      </c>
      <c r="Q563" t="s">
        <v>20</v>
      </c>
      <c r="R563" t="str" cm="1">
        <f t="array" ref="R563">_xlfn.IFS(Q563="Y","Yes", Q563="Yes","Yes", Q563="N","No", Q563="No","No", Q563=1,"N/A", Q563=0,"N/A", TRUE,"")</f>
        <v>Yes</v>
      </c>
      <c r="S563">
        <f t="shared" si="70"/>
        <v>8</v>
      </c>
      <c r="T563">
        <f t="shared" si="71"/>
        <v>1</v>
      </c>
      <c r="U563" t="str" cm="1">
        <f t="array" ref="U563">_xlfn.IFS(D563&lt;40,"Young Adult",AND(D563&gt;=40,D563&lt;65),"Middle Aged", D563&gt;=65,"Elderly")</f>
        <v>Middle Aged</v>
      </c>
    </row>
    <row r="564" spans="1:21" x14ac:dyDescent="0.2">
      <c r="A564">
        <v>1068</v>
      </c>
      <c r="B564">
        <f t="shared" si="64"/>
        <v>563</v>
      </c>
      <c r="C564" t="s">
        <v>1668</v>
      </c>
      <c r="D564">
        <v>59</v>
      </c>
      <c r="E564" t="s">
        <v>2937</v>
      </c>
      <c r="F564" t="str">
        <f t="shared" si="65"/>
        <v>N/A</v>
      </c>
      <c r="G564" s="1">
        <v>45866</v>
      </c>
      <c r="H564" s="1">
        <v>45492</v>
      </c>
      <c r="I564" t="s">
        <v>1669</v>
      </c>
      <c r="J564" t="str">
        <f t="shared" si="66"/>
        <v>Mr. Curtis Ortiz</v>
      </c>
      <c r="K564" t="s">
        <v>13</v>
      </c>
      <c r="L564" t="str">
        <f t="shared" si="67"/>
        <v>Cardiology</v>
      </c>
      <c r="M564" t="s">
        <v>1670</v>
      </c>
      <c r="N564" t="str">
        <f t="shared" si="68"/>
        <v>EUR</v>
      </c>
      <c r="O564">
        <f t="shared" si="69"/>
        <v>202.98</v>
      </c>
      <c r="P564" cm="1">
        <f t="array" ref="P564">_xlfn.IFS(N564="USD",O564*1,N564="GBP",O564*1.27,N564="EUR",O564*1.09,N564="INR",O564*0.012,N564="N/A","N/A")</f>
        <v>221.2482</v>
      </c>
      <c r="Q564" t="s">
        <v>60</v>
      </c>
      <c r="R564" t="str" cm="1">
        <f t="array" ref="R564">_xlfn.IFS(Q564="Y","Yes", Q564="Yes","Yes", Q564="N","No", Q564="No","No", Q564=1,"N/A", Q564=0,"N/A", TRUE,"")</f>
        <v>No</v>
      </c>
      <c r="S564">
        <f t="shared" si="70"/>
        <v>14</v>
      </c>
      <c r="T564">
        <f t="shared" si="71"/>
        <v>1</v>
      </c>
      <c r="U564" t="str" cm="1">
        <f t="array" ref="U564">_xlfn.IFS(D564&lt;40,"Young Adult",AND(D564&gt;=40,D564&lt;65),"Middle Aged", D564&gt;=65,"Elderly")</f>
        <v>Middle Aged</v>
      </c>
    </row>
    <row r="565" spans="1:21" x14ac:dyDescent="0.2">
      <c r="A565">
        <v>1047</v>
      </c>
      <c r="B565">
        <f t="shared" si="64"/>
        <v>564</v>
      </c>
      <c r="C565" t="s">
        <v>1671</v>
      </c>
      <c r="D565">
        <v>31</v>
      </c>
      <c r="E565" t="s">
        <v>38</v>
      </c>
      <c r="F565" t="str">
        <f t="shared" si="65"/>
        <v>Female</v>
      </c>
      <c r="G565" s="1">
        <v>45752</v>
      </c>
      <c r="H565" s="1">
        <v>45420</v>
      </c>
      <c r="I565" t="s">
        <v>1672</v>
      </c>
      <c r="J565" t="str">
        <f t="shared" si="66"/>
        <v>Wendy Davis</v>
      </c>
      <c r="K565" t="s">
        <v>13</v>
      </c>
      <c r="L565" t="str">
        <f t="shared" si="67"/>
        <v>Cardiology</v>
      </c>
      <c r="M565" t="s">
        <v>1673</v>
      </c>
      <c r="N565" t="str">
        <f t="shared" si="68"/>
        <v>INR</v>
      </c>
      <c r="O565">
        <f t="shared" si="69"/>
        <v>257.10000000000002</v>
      </c>
      <c r="P565" cm="1">
        <f t="array" ref="P565">_xlfn.IFS(N565="USD",O565*1,N565="GBP",O565*1.27,N565="EUR",O565*1.09,N565="INR",O565*0.012,N565="N/A","N/A")</f>
        <v>3.0852000000000004</v>
      </c>
      <c r="Q565" t="s">
        <v>60</v>
      </c>
      <c r="R565" t="str" cm="1">
        <f t="array" ref="R565">_xlfn.IFS(Q565="Y","Yes", Q565="Yes","Yes", Q565="N","No", Q565="No","No", Q565=1,"N/A", Q565=0,"N/A", TRUE,"")</f>
        <v>No</v>
      </c>
      <c r="S565">
        <f t="shared" si="70"/>
        <v>17</v>
      </c>
      <c r="T565">
        <f t="shared" si="71"/>
        <v>1</v>
      </c>
      <c r="U565" t="str" cm="1">
        <f t="array" ref="U565">_xlfn.IFS(D565&lt;40,"Young Adult",AND(D565&gt;=40,D565&lt;65),"Middle Aged", D565&gt;=65,"Elderly")</f>
        <v>Young Adult</v>
      </c>
    </row>
    <row r="566" spans="1:21" x14ac:dyDescent="0.2">
      <c r="A566">
        <v>1009</v>
      </c>
      <c r="B566">
        <f t="shared" si="64"/>
        <v>565</v>
      </c>
      <c r="C566" t="s">
        <v>1674</v>
      </c>
      <c r="D566">
        <v>74</v>
      </c>
      <c r="E566" t="s">
        <v>71</v>
      </c>
      <c r="F566" t="str">
        <f t="shared" si="65"/>
        <v>Male</v>
      </c>
      <c r="G566" s="1">
        <v>46100</v>
      </c>
      <c r="H566" s="1">
        <v>45987</v>
      </c>
      <c r="I566" t="s">
        <v>1675</v>
      </c>
      <c r="J566" t="str">
        <f t="shared" si="66"/>
        <v>Lauren Rosario</v>
      </c>
      <c r="K566" t="s">
        <v>13</v>
      </c>
      <c r="L566" t="str">
        <f t="shared" si="67"/>
        <v>Cardiology</v>
      </c>
      <c r="M566" t="s">
        <v>1676</v>
      </c>
      <c r="N566" t="str">
        <f t="shared" si="68"/>
        <v>EUR</v>
      </c>
      <c r="O566">
        <f t="shared" si="69"/>
        <v>466.87</v>
      </c>
      <c r="P566" cm="1">
        <f t="array" ref="P566">_xlfn.IFS(N566="USD",O566*1,N566="GBP",O566*1.27,N566="EUR",O566*1.09,N566="INR",O566*0.012,N566="N/A","N/A")</f>
        <v>508.88830000000002</v>
      </c>
      <c r="Q566" t="s">
        <v>30</v>
      </c>
      <c r="R566" t="str" cm="1">
        <f t="array" ref="R566">_xlfn.IFS(Q566="Y","Yes", Q566="Yes","Yes", Q566="N","No", Q566="No","No", Q566=1,"N/A", Q566=0,"N/A", TRUE,"")</f>
        <v>No</v>
      </c>
      <c r="S566">
        <f t="shared" si="70"/>
        <v>9</v>
      </c>
      <c r="T566">
        <f t="shared" si="71"/>
        <v>1</v>
      </c>
      <c r="U566" t="str" cm="1">
        <f t="array" ref="U566">_xlfn.IFS(D566&lt;40,"Young Adult",AND(D566&gt;=40,D566&lt;65),"Middle Aged", D566&gt;=65,"Elderly")</f>
        <v>Elderly</v>
      </c>
    </row>
    <row r="567" spans="1:21" x14ac:dyDescent="0.2">
      <c r="A567">
        <v>1084</v>
      </c>
      <c r="B567">
        <f t="shared" si="64"/>
        <v>566</v>
      </c>
      <c r="C567" t="s">
        <v>1677</v>
      </c>
      <c r="D567">
        <v>83</v>
      </c>
      <c r="E567" t="s">
        <v>22</v>
      </c>
      <c r="F567" t="str">
        <f t="shared" si="65"/>
        <v>Male</v>
      </c>
      <c r="G567" s="1">
        <v>46055</v>
      </c>
      <c r="H567" s="1">
        <v>45867</v>
      </c>
      <c r="I567" t="s">
        <v>1678</v>
      </c>
      <c r="J567" t="str">
        <f t="shared" si="66"/>
        <v>April Lyons</v>
      </c>
      <c r="K567" t="s">
        <v>28</v>
      </c>
      <c r="L567" t="str">
        <f t="shared" si="67"/>
        <v>General</v>
      </c>
      <c r="N567" t="str">
        <f t="shared" si="68"/>
        <v>N/A</v>
      </c>
      <c r="O567" t="str">
        <f t="shared" si="69"/>
        <v/>
      </c>
      <c r="P567" t="str" cm="1">
        <f t="array" ref="P567">_xlfn.IFS(N567="USD",O567*1,N567="GBP",O567*1.27,N567="EUR",O567*1.09,N567="INR",O567*0.012,N567="N/A","N/A")</f>
        <v>N/A</v>
      </c>
      <c r="Q567">
        <v>0</v>
      </c>
      <c r="R567" t="str" cm="1">
        <f t="array" ref="R567">_xlfn.IFS(Q567="Y","Yes", Q567="Yes","Yes", Q567="N","No", Q567="No","No", Q567=1,"N/A", Q567=0,"N/A", TRUE,"")</f>
        <v>N/A</v>
      </c>
      <c r="S567">
        <f t="shared" si="70"/>
        <v>15</v>
      </c>
      <c r="T567">
        <f t="shared" si="71"/>
        <v>1</v>
      </c>
      <c r="U567" t="str" cm="1">
        <f t="array" ref="U567">_xlfn.IFS(D567&lt;40,"Young Adult",AND(D567&gt;=40,D567&lt;65),"Middle Aged", D567&gt;=65,"Elderly")</f>
        <v>Elderly</v>
      </c>
    </row>
    <row r="568" spans="1:21" x14ac:dyDescent="0.2">
      <c r="A568">
        <v>1016</v>
      </c>
      <c r="B568">
        <f t="shared" si="64"/>
        <v>567</v>
      </c>
      <c r="C568" t="s">
        <v>1679</v>
      </c>
      <c r="D568">
        <v>31</v>
      </c>
      <c r="E568" t="s">
        <v>2937</v>
      </c>
      <c r="F568" t="str">
        <f t="shared" si="65"/>
        <v>N/A</v>
      </c>
      <c r="G568" s="1">
        <v>45957</v>
      </c>
      <c r="H568" s="1">
        <v>45728</v>
      </c>
      <c r="I568" t="s">
        <v>1680</v>
      </c>
      <c r="J568" t="str">
        <f t="shared" si="66"/>
        <v>Justin Rice</v>
      </c>
      <c r="K568" t="s">
        <v>18</v>
      </c>
      <c r="L568" t="str">
        <f t="shared" si="67"/>
        <v>Orthopedics</v>
      </c>
      <c r="M568" t="s">
        <v>1681</v>
      </c>
      <c r="N568" t="str">
        <f t="shared" si="68"/>
        <v>EUR</v>
      </c>
      <c r="O568">
        <f t="shared" si="69"/>
        <v>490.78</v>
      </c>
      <c r="P568" cm="1">
        <f t="array" ref="P568">_xlfn.IFS(N568="USD",O568*1,N568="GBP",O568*1.27,N568="EUR",O568*1.09,N568="INR",O568*0.012,N568="N/A","N/A")</f>
        <v>534.9502</v>
      </c>
      <c r="Q568" t="s">
        <v>20</v>
      </c>
      <c r="R568" t="str" cm="1">
        <f t="array" ref="R568">_xlfn.IFS(Q568="Y","Yes", Q568="Yes","Yes", Q568="N","No", Q568="No","No", Q568=1,"N/A", Q568=0,"N/A", TRUE,"")</f>
        <v>Yes</v>
      </c>
      <c r="S568">
        <f t="shared" si="70"/>
        <v>15</v>
      </c>
      <c r="T568">
        <f t="shared" si="71"/>
        <v>1</v>
      </c>
      <c r="U568" t="str" cm="1">
        <f t="array" ref="U568">_xlfn.IFS(D568&lt;40,"Young Adult",AND(D568&gt;=40,D568&lt;65),"Middle Aged", D568&gt;=65,"Elderly")</f>
        <v>Young Adult</v>
      </c>
    </row>
    <row r="569" spans="1:21" x14ac:dyDescent="0.2">
      <c r="A569">
        <v>1068</v>
      </c>
      <c r="B569">
        <f t="shared" si="64"/>
        <v>568</v>
      </c>
      <c r="C569" t="s">
        <v>1682</v>
      </c>
      <c r="D569">
        <v>63</v>
      </c>
      <c r="E569" t="s">
        <v>51</v>
      </c>
      <c r="F569" t="str">
        <f t="shared" si="65"/>
        <v>Male</v>
      </c>
      <c r="G569" s="1">
        <v>45932</v>
      </c>
      <c r="H569" s="1">
        <v>45449</v>
      </c>
      <c r="I569" t="s">
        <v>1683</v>
      </c>
      <c r="J569" t="str">
        <f t="shared" si="66"/>
        <v>Aaron Cooper</v>
      </c>
      <c r="K569" t="s">
        <v>28</v>
      </c>
      <c r="L569" t="str">
        <f t="shared" si="67"/>
        <v>General</v>
      </c>
      <c r="M569" t="s">
        <v>1684</v>
      </c>
      <c r="N569" t="str">
        <f t="shared" si="68"/>
        <v>INR</v>
      </c>
      <c r="O569">
        <f t="shared" si="69"/>
        <v>217.86</v>
      </c>
      <c r="P569" cm="1">
        <f t="array" ref="P569">_xlfn.IFS(N569="USD",O569*1,N569="GBP",O569*1.27,N569="EUR",O569*1.09,N569="INR",O569*0.012,N569="N/A","N/A")</f>
        <v>2.6143200000000002</v>
      </c>
      <c r="Q569" t="s">
        <v>60</v>
      </c>
      <c r="R569" t="str" cm="1">
        <f t="array" ref="R569">_xlfn.IFS(Q569="Y","Yes", Q569="Yes","Yes", Q569="N","No", Q569="No","No", Q569=1,"N/A", Q569=0,"N/A", TRUE,"")</f>
        <v>No</v>
      </c>
      <c r="S569">
        <f t="shared" si="70"/>
        <v>14</v>
      </c>
      <c r="T569">
        <f t="shared" si="71"/>
        <v>1</v>
      </c>
      <c r="U569" t="str" cm="1">
        <f t="array" ref="U569">_xlfn.IFS(D569&lt;40,"Young Adult",AND(D569&gt;=40,D569&lt;65),"Middle Aged", D569&gt;=65,"Elderly")</f>
        <v>Middle Aged</v>
      </c>
    </row>
    <row r="570" spans="1:21" x14ac:dyDescent="0.2">
      <c r="A570">
        <v>1048</v>
      </c>
      <c r="B570">
        <f t="shared" si="64"/>
        <v>569</v>
      </c>
      <c r="C570" t="s">
        <v>1685</v>
      </c>
      <c r="D570">
        <v>47</v>
      </c>
      <c r="E570" t="s">
        <v>16</v>
      </c>
      <c r="F570" t="str">
        <f t="shared" si="65"/>
        <v>Female</v>
      </c>
      <c r="G570" s="1">
        <v>45875</v>
      </c>
      <c r="H570" s="1">
        <v>45859</v>
      </c>
      <c r="I570" t="s">
        <v>1686</v>
      </c>
      <c r="J570" t="str">
        <f t="shared" si="66"/>
        <v>Lauren Whitaker</v>
      </c>
      <c r="K570" t="s">
        <v>24</v>
      </c>
      <c r="L570" t="str">
        <f t="shared" si="67"/>
        <v>Neurology</v>
      </c>
      <c r="M570" t="s">
        <v>1687</v>
      </c>
      <c r="N570" t="str">
        <f t="shared" si="68"/>
        <v>USD</v>
      </c>
      <c r="O570">
        <f t="shared" si="69"/>
        <v>174.04</v>
      </c>
      <c r="P570" cm="1">
        <f t="array" ref="P570">_xlfn.IFS(N570="USD",O570*1,N570="GBP",O570*1.27,N570="EUR",O570*1.09,N570="INR",O570*0.012,N570="N/A","N/A")</f>
        <v>174.04</v>
      </c>
      <c r="Q570" t="s">
        <v>36</v>
      </c>
      <c r="R570" t="str" cm="1">
        <f t="array" ref="R570">_xlfn.IFS(Q570="Y","Yes", Q570="Yes","Yes", Q570="N","No", Q570="No","No", Q570=1,"N/A", Q570=0,"N/A", TRUE,"")</f>
        <v>Yes</v>
      </c>
      <c r="S570">
        <f t="shared" si="70"/>
        <v>8</v>
      </c>
      <c r="T570">
        <f t="shared" si="71"/>
        <v>1</v>
      </c>
      <c r="U570" t="str" cm="1">
        <f t="array" ref="U570">_xlfn.IFS(D570&lt;40,"Young Adult",AND(D570&gt;=40,D570&lt;65),"Middle Aged", D570&gt;=65,"Elderly")</f>
        <v>Middle Aged</v>
      </c>
    </row>
    <row r="571" spans="1:21" x14ac:dyDescent="0.2">
      <c r="A571">
        <v>1080</v>
      </c>
      <c r="B571">
        <f t="shared" si="64"/>
        <v>570</v>
      </c>
      <c r="C571" t="s">
        <v>1688</v>
      </c>
      <c r="D571">
        <v>52</v>
      </c>
      <c r="E571" t="s">
        <v>22</v>
      </c>
      <c r="F571" t="str">
        <f t="shared" si="65"/>
        <v>Male</v>
      </c>
      <c r="G571" s="1">
        <v>45881</v>
      </c>
      <c r="H571" s="1">
        <v>45679</v>
      </c>
      <c r="I571" t="s">
        <v>1689</v>
      </c>
      <c r="J571" t="str">
        <f t="shared" si="66"/>
        <v>Victoria Lopez</v>
      </c>
      <c r="K571" t="s">
        <v>18</v>
      </c>
      <c r="L571" t="str">
        <f t="shared" si="67"/>
        <v>Orthopedics</v>
      </c>
      <c r="M571" t="s">
        <v>1690</v>
      </c>
      <c r="N571" t="str">
        <f t="shared" si="68"/>
        <v>EUR</v>
      </c>
      <c r="O571">
        <f t="shared" si="69"/>
        <v>196.21</v>
      </c>
      <c r="P571" cm="1">
        <f t="array" ref="P571">_xlfn.IFS(N571="USD",O571*1,N571="GBP",O571*1.27,N571="EUR",O571*1.09,N571="INR",O571*0.012,N571="N/A","N/A")</f>
        <v>213.86890000000002</v>
      </c>
      <c r="Q571" t="s">
        <v>30</v>
      </c>
      <c r="R571" t="str" cm="1">
        <f t="array" ref="R571">_xlfn.IFS(Q571="Y","Yes", Q571="Yes","Yes", Q571="N","No", Q571="No","No", Q571=1,"N/A", Q571=0,"N/A", TRUE,"")</f>
        <v>No</v>
      </c>
      <c r="S571">
        <f t="shared" si="70"/>
        <v>11</v>
      </c>
      <c r="T571">
        <f t="shared" si="71"/>
        <v>1</v>
      </c>
      <c r="U571" t="str" cm="1">
        <f t="array" ref="U571">_xlfn.IFS(D571&lt;40,"Young Adult",AND(D571&gt;=40,D571&lt;65),"Middle Aged", D571&gt;=65,"Elderly")</f>
        <v>Middle Aged</v>
      </c>
    </row>
    <row r="572" spans="1:21" x14ac:dyDescent="0.2">
      <c r="A572">
        <v>1030</v>
      </c>
      <c r="B572">
        <f t="shared" si="64"/>
        <v>571</v>
      </c>
      <c r="C572" t="s">
        <v>1691</v>
      </c>
      <c r="D572">
        <v>66</v>
      </c>
      <c r="E572" t="s">
        <v>38</v>
      </c>
      <c r="F572" t="str">
        <f t="shared" si="65"/>
        <v>Female</v>
      </c>
      <c r="G572" s="1">
        <v>45953</v>
      </c>
      <c r="H572" s="1">
        <v>45437</v>
      </c>
      <c r="I572" t="s">
        <v>1692</v>
      </c>
      <c r="J572" t="str">
        <f t="shared" si="66"/>
        <v>Samantha Cameron</v>
      </c>
      <c r="K572" t="s">
        <v>13</v>
      </c>
      <c r="L572" t="str">
        <f t="shared" si="67"/>
        <v>Cardiology</v>
      </c>
      <c r="M572" t="s">
        <v>1693</v>
      </c>
      <c r="N572" t="str">
        <f t="shared" si="68"/>
        <v>INR</v>
      </c>
      <c r="O572">
        <f t="shared" si="69"/>
        <v>490.08</v>
      </c>
      <c r="P572" cm="1">
        <f t="array" ref="P572">_xlfn.IFS(N572="USD",O572*1,N572="GBP",O572*1.27,N572="EUR",O572*1.09,N572="INR",O572*0.012,N572="N/A","N/A")</f>
        <v>5.88096</v>
      </c>
      <c r="Q572" t="s">
        <v>20</v>
      </c>
      <c r="R572" t="str" cm="1">
        <f t="array" ref="R572">_xlfn.IFS(Q572="Y","Yes", Q572="Yes","Yes", Q572="N","No", Q572="No","No", Q572=1,"N/A", Q572=0,"N/A", TRUE,"")</f>
        <v>Yes</v>
      </c>
      <c r="S572">
        <f t="shared" si="70"/>
        <v>11</v>
      </c>
      <c r="T572">
        <f t="shared" si="71"/>
        <v>1</v>
      </c>
      <c r="U572" t="str" cm="1">
        <f t="array" ref="U572">_xlfn.IFS(D572&lt;40,"Young Adult",AND(D572&gt;=40,D572&lt;65),"Middle Aged", D572&gt;=65,"Elderly")</f>
        <v>Elderly</v>
      </c>
    </row>
    <row r="573" spans="1:21" x14ac:dyDescent="0.2">
      <c r="A573">
        <v>1003</v>
      </c>
      <c r="B573">
        <f t="shared" si="64"/>
        <v>572</v>
      </c>
      <c r="C573" t="s">
        <v>1694</v>
      </c>
      <c r="D573">
        <v>48</v>
      </c>
      <c r="E573" t="s">
        <v>51</v>
      </c>
      <c r="F573" t="str">
        <f t="shared" si="65"/>
        <v>Male</v>
      </c>
      <c r="G573" s="1">
        <v>45863</v>
      </c>
      <c r="H573" s="1">
        <v>45671</v>
      </c>
      <c r="I573" t="s">
        <v>1695</v>
      </c>
      <c r="J573" t="str">
        <f t="shared" si="66"/>
        <v>Michael Black</v>
      </c>
      <c r="K573" t="s">
        <v>18</v>
      </c>
      <c r="L573" t="str">
        <f t="shared" si="67"/>
        <v>Orthopedics</v>
      </c>
      <c r="M573" t="s">
        <v>1696</v>
      </c>
      <c r="N573" t="str">
        <f t="shared" si="68"/>
        <v>USD</v>
      </c>
      <c r="O573">
        <f t="shared" si="69"/>
        <v>91.94</v>
      </c>
      <c r="P573" cm="1">
        <f t="array" ref="P573">_xlfn.IFS(N573="USD",O573*1,N573="GBP",O573*1.27,N573="EUR",O573*1.09,N573="INR",O573*0.012,N573="N/A","N/A")</f>
        <v>91.94</v>
      </c>
      <c r="Q573" t="s">
        <v>60</v>
      </c>
      <c r="R573" t="str" cm="1">
        <f t="array" ref="R573">_xlfn.IFS(Q573="Y","Yes", Q573="Yes","Yes", Q573="N","No", Q573="No","No", Q573=1,"N/A", Q573=0,"N/A", TRUE,"")</f>
        <v>No</v>
      </c>
      <c r="S573">
        <f t="shared" si="70"/>
        <v>12</v>
      </c>
      <c r="T573">
        <f t="shared" si="71"/>
        <v>1</v>
      </c>
      <c r="U573" t="str" cm="1">
        <f t="array" ref="U573">_xlfn.IFS(D573&lt;40,"Young Adult",AND(D573&gt;=40,D573&lt;65),"Middle Aged", D573&gt;=65,"Elderly")</f>
        <v>Middle Aged</v>
      </c>
    </row>
    <row r="574" spans="1:21" x14ac:dyDescent="0.2">
      <c r="A574">
        <v>1047</v>
      </c>
      <c r="B574">
        <f t="shared" si="64"/>
        <v>573</v>
      </c>
      <c r="C574" t="s">
        <v>1697</v>
      </c>
      <c r="D574">
        <v>74</v>
      </c>
      <c r="E574" t="s">
        <v>2937</v>
      </c>
      <c r="F574" t="str">
        <f t="shared" si="65"/>
        <v>N/A</v>
      </c>
      <c r="G574" s="1">
        <v>45949</v>
      </c>
      <c r="H574" s="1">
        <v>45511</v>
      </c>
      <c r="I574" t="s">
        <v>1698</v>
      </c>
      <c r="J574" t="str">
        <f t="shared" si="66"/>
        <v>Amanda Boyd</v>
      </c>
      <c r="K574" t="s">
        <v>18</v>
      </c>
      <c r="L574" t="str">
        <f t="shared" si="67"/>
        <v>Orthopedics</v>
      </c>
      <c r="M574" t="s">
        <v>1699</v>
      </c>
      <c r="N574" t="str">
        <f t="shared" si="68"/>
        <v>EUR</v>
      </c>
      <c r="O574">
        <f t="shared" si="69"/>
        <v>484.82</v>
      </c>
      <c r="P574" cm="1">
        <f t="array" ref="P574">_xlfn.IFS(N574="USD",O574*1,N574="GBP",O574*1.27,N574="EUR",O574*1.09,N574="INR",O574*0.012,N574="N/A","N/A")</f>
        <v>528.4538</v>
      </c>
      <c r="Q574">
        <v>1</v>
      </c>
      <c r="R574" t="str" cm="1">
        <f t="array" ref="R574">_xlfn.IFS(Q574="Y","Yes", Q574="Yes","Yes", Q574="N","No", Q574="No","No", Q574=1,"N/A", Q574=0,"N/A", TRUE,"")</f>
        <v>N/A</v>
      </c>
      <c r="S574">
        <f t="shared" si="70"/>
        <v>17</v>
      </c>
      <c r="T574">
        <f t="shared" si="71"/>
        <v>1</v>
      </c>
      <c r="U574" t="str" cm="1">
        <f t="array" ref="U574">_xlfn.IFS(D574&lt;40,"Young Adult",AND(D574&gt;=40,D574&lt;65),"Middle Aged", D574&gt;=65,"Elderly")</f>
        <v>Elderly</v>
      </c>
    </row>
    <row r="575" spans="1:21" x14ac:dyDescent="0.2">
      <c r="A575">
        <v>1075</v>
      </c>
      <c r="B575">
        <f t="shared" si="64"/>
        <v>574</v>
      </c>
      <c r="C575" t="s">
        <v>1700</v>
      </c>
      <c r="D575">
        <v>72</v>
      </c>
      <c r="E575" t="s">
        <v>2937</v>
      </c>
      <c r="F575" t="str">
        <f t="shared" si="65"/>
        <v>N/A</v>
      </c>
      <c r="G575" s="1">
        <v>45824</v>
      </c>
      <c r="H575" s="1">
        <v>45527</v>
      </c>
      <c r="I575" t="s">
        <v>1701</v>
      </c>
      <c r="J575" t="str">
        <f t="shared" si="66"/>
        <v>Rachel Bright</v>
      </c>
      <c r="K575" t="s">
        <v>24</v>
      </c>
      <c r="L575" t="str">
        <f t="shared" si="67"/>
        <v>Neurology</v>
      </c>
      <c r="M575" t="s">
        <v>1702</v>
      </c>
      <c r="N575" t="str">
        <f t="shared" si="68"/>
        <v>USD</v>
      </c>
      <c r="O575">
        <f t="shared" si="69"/>
        <v>175.26</v>
      </c>
      <c r="P575" cm="1">
        <f t="array" ref="P575">_xlfn.IFS(N575="USD",O575*1,N575="GBP",O575*1.27,N575="EUR",O575*1.09,N575="INR",O575*0.012,N575="N/A","N/A")</f>
        <v>175.26</v>
      </c>
      <c r="Q575">
        <v>1</v>
      </c>
      <c r="R575" t="str" cm="1">
        <f t="array" ref="R575">_xlfn.IFS(Q575="Y","Yes", Q575="Yes","Yes", Q575="N","No", Q575="No","No", Q575=1,"N/A", Q575=0,"N/A", TRUE,"")</f>
        <v>N/A</v>
      </c>
      <c r="S575">
        <f t="shared" si="70"/>
        <v>11</v>
      </c>
      <c r="T575">
        <f t="shared" si="71"/>
        <v>1</v>
      </c>
      <c r="U575" t="str" cm="1">
        <f t="array" ref="U575">_xlfn.IFS(D575&lt;40,"Young Adult",AND(D575&gt;=40,D575&lt;65),"Middle Aged", D575&gt;=65,"Elderly")</f>
        <v>Elderly</v>
      </c>
    </row>
    <row r="576" spans="1:21" x14ac:dyDescent="0.2">
      <c r="A576">
        <v>1072</v>
      </c>
      <c r="B576">
        <f t="shared" si="64"/>
        <v>575</v>
      </c>
      <c r="C576" t="s">
        <v>1703</v>
      </c>
      <c r="D576">
        <v>49</v>
      </c>
      <c r="E576" t="s">
        <v>2937</v>
      </c>
      <c r="F576" t="str">
        <f t="shared" si="65"/>
        <v>N/A</v>
      </c>
      <c r="G576" s="1">
        <v>45760</v>
      </c>
      <c r="H576" s="1">
        <v>45570</v>
      </c>
      <c r="I576" t="s">
        <v>1704</v>
      </c>
      <c r="J576" t="str">
        <f t="shared" si="66"/>
        <v>Rachel Wood</v>
      </c>
      <c r="K576" t="s">
        <v>18</v>
      </c>
      <c r="L576" t="str">
        <f t="shared" si="67"/>
        <v>Orthopedics</v>
      </c>
      <c r="M576" t="s">
        <v>1705</v>
      </c>
      <c r="N576" t="str">
        <f t="shared" si="68"/>
        <v>INR</v>
      </c>
      <c r="O576">
        <f t="shared" si="69"/>
        <v>484.93</v>
      </c>
      <c r="P576" cm="1">
        <f t="array" ref="P576">_xlfn.IFS(N576="USD",O576*1,N576="GBP",O576*1.27,N576="EUR",O576*1.09,N576="INR",O576*0.012,N576="N/A","N/A")</f>
        <v>5.8191600000000001</v>
      </c>
      <c r="Q576" t="s">
        <v>60</v>
      </c>
      <c r="R576" t="str" cm="1">
        <f t="array" ref="R576">_xlfn.IFS(Q576="Y","Yes", Q576="Yes","Yes", Q576="N","No", Q576="No","No", Q576=1,"N/A", Q576=0,"N/A", TRUE,"")</f>
        <v>No</v>
      </c>
      <c r="S576">
        <f t="shared" si="70"/>
        <v>9</v>
      </c>
      <c r="T576">
        <f t="shared" si="71"/>
        <v>1</v>
      </c>
      <c r="U576" t="str" cm="1">
        <f t="array" ref="U576">_xlfn.IFS(D576&lt;40,"Young Adult",AND(D576&gt;=40,D576&lt;65),"Middle Aged", D576&gt;=65,"Elderly")</f>
        <v>Middle Aged</v>
      </c>
    </row>
    <row r="577" spans="1:21" x14ac:dyDescent="0.2">
      <c r="A577">
        <v>1001</v>
      </c>
      <c r="B577">
        <f t="shared" si="64"/>
        <v>576</v>
      </c>
      <c r="C577" t="s">
        <v>1706</v>
      </c>
      <c r="D577">
        <v>33</v>
      </c>
      <c r="E577" t="s">
        <v>16</v>
      </c>
      <c r="F577" t="str">
        <f t="shared" si="65"/>
        <v>Female</v>
      </c>
      <c r="G577" s="1">
        <v>45975</v>
      </c>
      <c r="H577" s="1">
        <v>45906</v>
      </c>
      <c r="I577" t="s">
        <v>1707</v>
      </c>
      <c r="J577" t="str">
        <f t="shared" si="66"/>
        <v>Jamie Nunez</v>
      </c>
      <c r="K577" t="s">
        <v>24</v>
      </c>
      <c r="L577" t="str">
        <f t="shared" si="67"/>
        <v>Neurology</v>
      </c>
      <c r="M577" t="s">
        <v>1708</v>
      </c>
      <c r="N577" t="str">
        <f t="shared" si="68"/>
        <v>USD</v>
      </c>
      <c r="O577">
        <f t="shared" si="69"/>
        <v>381.93</v>
      </c>
      <c r="P577" cm="1">
        <f t="array" ref="P577">_xlfn.IFS(N577="USD",O577*1,N577="GBP",O577*1.27,N577="EUR",O577*1.09,N577="INR",O577*0.012,N577="N/A","N/A")</f>
        <v>381.93</v>
      </c>
      <c r="Q577" t="s">
        <v>30</v>
      </c>
      <c r="R577" t="str" cm="1">
        <f t="array" ref="R577">_xlfn.IFS(Q577="Y","Yes", Q577="Yes","Yes", Q577="N","No", Q577="No","No", Q577=1,"N/A", Q577=0,"N/A", TRUE,"")</f>
        <v>No</v>
      </c>
      <c r="S577">
        <f t="shared" si="70"/>
        <v>12</v>
      </c>
      <c r="T577">
        <f t="shared" si="71"/>
        <v>1</v>
      </c>
      <c r="U577" t="str" cm="1">
        <f t="array" ref="U577">_xlfn.IFS(D577&lt;40,"Young Adult",AND(D577&gt;=40,D577&lt;65),"Middle Aged", D577&gt;=65,"Elderly")</f>
        <v>Young Adult</v>
      </c>
    </row>
    <row r="578" spans="1:21" x14ac:dyDescent="0.2">
      <c r="A578">
        <v>1009</v>
      </c>
      <c r="B578">
        <f t="shared" si="64"/>
        <v>577</v>
      </c>
      <c r="C578" t="s">
        <v>1709</v>
      </c>
      <c r="D578">
        <v>61</v>
      </c>
      <c r="E578" t="s">
        <v>2937</v>
      </c>
      <c r="F578" t="str">
        <f t="shared" si="65"/>
        <v>N/A</v>
      </c>
      <c r="G578" s="1">
        <v>46023</v>
      </c>
      <c r="H578" s="1">
        <v>45883</v>
      </c>
      <c r="I578" t="s">
        <v>1710</v>
      </c>
      <c r="J578" t="str">
        <f t="shared" si="66"/>
        <v>Rebecca Thompson</v>
      </c>
      <c r="K578" t="s">
        <v>28</v>
      </c>
      <c r="L578" t="str">
        <f t="shared" si="67"/>
        <v>General</v>
      </c>
      <c r="M578" t="s">
        <v>1711</v>
      </c>
      <c r="N578" t="str">
        <f t="shared" si="68"/>
        <v>INR</v>
      </c>
      <c r="O578">
        <f t="shared" si="69"/>
        <v>402.6</v>
      </c>
      <c r="P578" cm="1">
        <f t="array" ref="P578">_xlfn.IFS(N578="USD",O578*1,N578="GBP",O578*1.27,N578="EUR",O578*1.09,N578="INR",O578*0.012,N578="N/A","N/A")</f>
        <v>4.8311999999999999</v>
      </c>
      <c r="Q578" t="s">
        <v>60</v>
      </c>
      <c r="R578" t="str" cm="1">
        <f t="array" ref="R578">_xlfn.IFS(Q578="Y","Yes", Q578="Yes","Yes", Q578="N","No", Q578="No","No", Q578=1,"N/A", Q578=0,"N/A", TRUE,"")</f>
        <v>No</v>
      </c>
      <c r="S578">
        <f t="shared" si="70"/>
        <v>9</v>
      </c>
      <c r="T578">
        <f t="shared" si="71"/>
        <v>1</v>
      </c>
      <c r="U578" t="str" cm="1">
        <f t="array" ref="U578">_xlfn.IFS(D578&lt;40,"Young Adult",AND(D578&gt;=40,D578&lt;65),"Middle Aged", D578&gt;=65,"Elderly")</f>
        <v>Middle Aged</v>
      </c>
    </row>
    <row r="579" spans="1:21" x14ac:dyDescent="0.2">
      <c r="A579">
        <v>1016</v>
      </c>
      <c r="B579">
        <f t="shared" ref="B579:B642" si="72">ROW()-1</f>
        <v>578</v>
      </c>
      <c r="C579" t="s">
        <v>1712</v>
      </c>
      <c r="D579">
        <v>29</v>
      </c>
      <c r="E579" t="s">
        <v>51</v>
      </c>
      <c r="F579" t="str">
        <f t="shared" ref="F579:F642" si="73">IF(E579="male","Male",IF(E579="female","Female",IF(E579="F","Female",IF(E579="M","Male",IF(E579="N/A","N/A")))))</f>
        <v>Male</v>
      </c>
      <c r="G579" s="1">
        <v>45971</v>
      </c>
      <c r="H579" s="1">
        <v>45794</v>
      </c>
      <c r="I579" t="s">
        <v>1713</v>
      </c>
      <c r="J579" t="str">
        <f t="shared" ref="J579:J642" si="74">PROPER(I579)</f>
        <v>Nancy Wilson</v>
      </c>
      <c r="K579" t="s">
        <v>13</v>
      </c>
      <c r="L579" t="str">
        <f t="shared" ref="L579:L642" si="75">PROPER(K579)</f>
        <v>Cardiology</v>
      </c>
      <c r="M579" t="s">
        <v>1714</v>
      </c>
      <c r="N579" t="str">
        <f t="shared" ref="N579:N642" si="76">IF(LEFT(M579,1)="$","USD",IF(LEFT(M579,2)="Rs","INR",IF(LEFT(M579,2)="¬£","GBP",IF(LEFT(M579,3)="‚Ç¨","EUR","N/A"))))</f>
        <v>INR</v>
      </c>
      <c r="O579">
        <f t="shared" ref="O579:O642" si="77">IFERROR(VALUE(SUBSTITUTE(SUBSTITUTE(SUBSTITUTE(SUBSTITUTE(M579,"$",""), "Rs",""),"¬£",""),"‚Ç¨","")), "")</f>
        <v>241.81</v>
      </c>
      <c r="P579" cm="1">
        <f t="array" ref="P579">_xlfn.IFS(N579="USD",O579*1,N579="GBP",O579*1.27,N579="EUR",O579*1.09,N579="INR",O579*0.012,N579="N/A","N/A")</f>
        <v>2.9017200000000001</v>
      </c>
      <c r="Q579" t="s">
        <v>20</v>
      </c>
      <c r="R579" t="str" cm="1">
        <f t="array" ref="R579">_xlfn.IFS(Q579="Y","Yes", Q579="Yes","Yes", Q579="N","No", Q579="No","No", Q579=1,"N/A", Q579=0,"N/A", TRUE,"")</f>
        <v>Yes</v>
      </c>
      <c r="S579">
        <f t="shared" ref="S579:S642" si="78">COUNTIF($A$2:$A$1001, A579)</f>
        <v>15</v>
      </c>
      <c r="T579">
        <f t="shared" ref="T579:T642" si="79">COUNTIFS($A$2:$A$1001, A579, $C$2:$C$1001, C579)</f>
        <v>1</v>
      </c>
      <c r="U579" t="str" cm="1">
        <f t="array" ref="U579">_xlfn.IFS(D579&lt;40,"Young Adult",AND(D579&gt;=40,D579&lt;65),"Middle Aged", D579&gt;=65,"Elderly")</f>
        <v>Young Adult</v>
      </c>
    </row>
    <row r="580" spans="1:21" x14ac:dyDescent="0.2">
      <c r="A580">
        <v>1092</v>
      </c>
      <c r="B580">
        <f t="shared" si="72"/>
        <v>579</v>
      </c>
      <c r="C580" t="s">
        <v>1715</v>
      </c>
      <c r="D580">
        <v>54</v>
      </c>
      <c r="E580" t="s">
        <v>2937</v>
      </c>
      <c r="F580" t="str">
        <f t="shared" si="73"/>
        <v>N/A</v>
      </c>
      <c r="G580" s="1">
        <v>45870</v>
      </c>
      <c r="H580" s="1">
        <v>45419</v>
      </c>
      <c r="I580" t="s">
        <v>1716</v>
      </c>
      <c r="J580" t="str">
        <f t="shared" si="74"/>
        <v>Erica Sanchez</v>
      </c>
      <c r="K580" t="s">
        <v>28</v>
      </c>
      <c r="L580" t="str">
        <f t="shared" si="75"/>
        <v>General</v>
      </c>
      <c r="M580" t="s">
        <v>1717</v>
      </c>
      <c r="N580" t="str">
        <f t="shared" si="76"/>
        <v>INR</v>
      </c>
      <c r="O580">
        <f t="shared" si="77"/>
        <v>467.2</v>
      </c>
      <c r="P580" cm="1">
        <f t="array" ref="P580">_xlfn.IFS(N580="USD",O580*1,N580="GBP",O580*1.27,N580="EUR",O580*1.09,N580="INR",O580*0.012,N580="N/A","N/A")</f>
        <v>5.6063999999999998</v>
      </c>
      <c r="Q580">
        <v>1</v>
      </c>
      <c r="R580" t="str" cm="1">
        <f t="array" ref="R580">_xlfn.IFS(Q580="Y","Yes", Q580="Yes","Yes", Q580="N","No", Q580="No","No", Q580=1,"N/A", Q580=0,"N/A", TRUE,"")</f>
        <v>N/A</v>
      </c>
      <c r="S580">
        <f t="shared" si="78"/>
        <v>11</v>
      </c>
      <c r="T580">
        <f t="shared" si="79"/>
        <v>1</v>
      </c>
      <c r="U580" t="str" cm="1">
        <f t="array" ref="U580">_xlfn.IFS(D580&lt;40,"Young Adult",AND(D580&gt;=40,D580&lt;65),"Middle Aged", D580&gt;=65,"Elderly")</f>
        <v>Middle Aged</v>
      </c>
    </row>
    <row r="581" spans="1:21" x14ac:dyDescent="0.2">
      <c r="A581">
        <v>1001</v>
      </c>
      <c r="B581">
        <f t="shared" si="72"/>
        <v>580</v>
      </c>
      <c r="C581" t="s">
        <v>1718</v>
      </c>
      <c r="D581">
        <v>70</v>
      </c>
      <c r="E581" t="s">
        <v>71</v>
      </c>
      <c r="F581" t="str">
        <f t="shared" si="73"/>
        <v>Male</v>
      </c>
      <c r="G581" s="1">
        <v>46041</v>
      </c>
      <c r="H581" s="1">
        <v>45674</v>
      </c>
      <c r="I581" t="s">
        <v>1719</v>
      </c>
      <c r="J581" t="str">
        <f t="shared" si="74"/>
        <v>Steven Walker</v>
      </c>
      <c r="K581" t="s">
        <v>28</v>
      </c>
      <c r="L581" t="str">
        <f t="shared" si="75"/>
        <v>General</v>
      </c>
      <c r="M581" t="s">
        <v>1720</v>
      </c>
      <c r="N581" t="str">
        <f t="shared" si="76"/>
        <v>GBP</v>
      </c>
      <c r="O581">
        <f t="shared" si="77"/>
        <v>148.74</v>
      </c>
      <c r="P581" cm="1">
        <f t="array" ref="P581">_xlfn.IFS(N581="USD",O581*1,N581="GBP",O581*1.27,N581="EUR",O581*1.09,N581="INR",O581*0.012,N581="N/A","N/A")</f>
        <v>188.89980000000003</v>
      </c>
      <c r="Q581" t="s">
        <v>20</v>
      </c>
      <c r="R581" t="str" cm="1">
        <f t="array" ref="R581">_xlfn.IFS(Q581="Y","Yes", Q581="Yes","Yes", Q581="N","No", Q581="No","No", Q581=1,"N/A", Q581=0,"N/A", TRUE,"")</f>
        <v>Yes</v>
      </c>
      <c r="S581">
        <f t="shared" si="78"/>
        <v>12</v>
      </c>
      <c r="T581">
        <f t="shared" si="79"/>
        <v>1</v>
      </c>
      <c r="U581" t="str" cm="1">
        <f t="array" ref="U581">_xlfn.IFS(D581&lt;40,"Young Adult",AND(D581&gt;=40,D581&lt;65),"Middle Aged", D581&gt;=65,"Elderly")</f>
        <v>Elderly</v>
      </c>
    </row>
    <row r="582" spans="1:21" x14ac:dyDescent="0.2">
      <c r="A582">
        <v>1063</v>
      </c>
      <c r="B582">
        <f t="shared" si="72"/>
        <v>581</v>
      </c>
      <c r="C582" t="s">
        <v>1721</v>
      </c>
      <c r="D582">
        <v>48</v>
      </c>
      <c r="E582" t="s">
        <v>71</v>
      </c>
      <c r="F582" t="str">
        <f t="shared" si="73"/>
        <v>Male</v>
      </c>
      <c r="G582" s="1">
        <v>45898</v>
      </c>
      <c r="H582" s="1">
        <v>45397</v>
      </c>
      <c r="I582" t="s">
        <v>1722</v>
      </c>
      <c r="J582" t="str">
        <f t="shared" si="74"/>
        <v>Janet Schultz</v>
      </c>
      <c r="K582" t="s">
        <v>24</v>
      </c>
      <c r="L582" t="str">
        <f t="shared" si="75"/>
        <v>Neurology</v>
      </c>
      <c r="M582" t="s">
        <v>1723</v>
      </c>
      <c r="N582" t="str">
        <f t="shared" si="76"/>
        <v>GBP</v>
      </c>
      <c r="O582">
        <f t="shared" si="77"/>
        <v>109.72</v>
      </c>
      <c r="P582" cm="1">
        <f t="array" ref="P582">_xlfn.IFS(N582="USD",O582*1,N582="GBP",O582*1.27,N582="EUR",O582*1.09,N582="INR",O582*0.012,N582="N/A","N/A")</f>
        <v>139.34440000000001</v>
      </c>
      <c r="Q582" t="s">
        <v>30</v>
      </c>
      <c r="R582" t="str" cm="1">
        <f t="array" ref="R582">_xlfn.IFS(Q582="Y","Yes", Q582="Yes","Yes", Q582="N","No", Q582="No","No", Q582=1,"N/A", Q582=0,"N/A", TRUE,"")</f>
        <v>No</v>
      </c>
      <c r="S582">
        <f t="shared" si="78"/>
        <v>11</v>
      </c>
      <c r="T582">
        <f t="shared" si="79"/>
        <v>1</v>
      </c>
      <c r="U582" t="str" cm="1">
        <f t="array" ref="U582">_xlfn.IFS(D582&lt;40,"Young Adult",AND(D582&gt;=40,D582&lt;65),"Middle Aged", D582&gt;=65,"Elderly")</f>
        <v>Middle Aged</v>
      </c>
    </row>
    <row r="583" spans="1:21" x14ac:dyDescent="0.2">
      <c r="A583">
        <v>1061</v>
      </c>
      <c r="B583">
        <f t="shared" si="72"/>
        <v>582</v>
      </c>
      <c r="C583" t="s">
        <v>1724</v>
      </c>
      <c r="D583">
        <v>67</v>
      </c>
      <c r="E583" t="s">
        <v>22</v>
      </c>
      <c r="F583" t="str">
        <f t="shared" si="73"/>
        <v>Male</v>
      </c>
      <c r="G583" s="1">
        <v>45977</v>
      </c>
      <c r="H583" s="1">
        <v>45657</v>
      </c>
      <c r="I583" t="s">
        <v>1725</v>
      </c>
      <c r="J583" t="str">
        <f t="shared" si="74"/>
        <v>Matthew Clark</v>
      </c>
      <c r="K583" t="s">
        <v>28</v>
      </c>
      <c r="L583" t="str">
        <f t="shared" si="75"/>
        <v>General</v>
      </c>
      <c r="M583" t="s">
        <v>1726</v>
      </c>
      <c r="N583" t="str">
        <f t="shared" si="76"/>
        <v>GBP</v>
      </c>
      <c r="O583">
        <f t="shared" si="77"/>
        <v>477.53</v>
      </c>
      <c r="P583" cm="1">
        <f t="array" ref="P583">_xlfn.IFS(N583="USD",O583*1,N583="GBP",O583*1.27,N583="EUR",O583*1.09,N583="INR",O583*0.012,N583="N/A","N/A")</f>
        <v>606.46309999999994</v>
      </c>
      <c r="Q583">
        <v>1</v>
      </c>
      <c r="R583" t="str" cm="1">
        <f t="array" ref="R583">_xlfn.IFS(Q583="Y","Yes", Q583="Yes","Yes", Q583="N","No", Q583="No","No", Q583=1,"N/A", Q583=0,"N/A", TRUE,"")</f>
        <v>N/A</v>
      </c>
      <c r="S583">
        <f t="shared" si="78"/>
        <v>8</v>
      </c>
      <c r="T583">
        <f t="shared" si="79"/>
        <v>1</v>
      </c>
      <c r="U583" t="str" cm="1">
        <f t="array" ref="U583">_xlfn.IFS(D583&lt;40,"Young Adult",AND(D583&gt;=40,D583&lt;65),"Middle Aged", D583&gt;=65,"Elderly")</f>
        <v>Elderly</v>
      </c>
    </row>
    <row r="584" spans="1:21" x14ac:dyDescent="0.2">
      <c r="A584">
        <v>1036</v>
      </c>
      <c r="B584">
        <f t="shared" si="72"/>
        <v>583</v>
      </c>
      <c r="C584" t="s">
        <v>1727</v>
      </c>
      <c r="D584">
        <v>41</v>
      </c>
      <c r="E584" t="s">
        <v>51</v>
      </c>
      <c r="F584" t="str">
        <f t="shared" si="73"/>
        <v>Male</v>
      </c>
      <c r="G584" s="1">
        <v>45837</v>
      </c>
      <c r="H584" s="1">
        <v>45556</v>
      </c>
      <c r="I584" t="s">
        <v>1728</v>
      </c>
      <c r="J584" t="str">
        <f t="shared" si="74"/>
        <v>Tara Moore</v>
      </c>
      <c r="K584" t="s">
        <v>13</v>
      </c>
      <c r="L584" t="str">
        <f t="shared" si="75"/>
        <v>Cardiology</v>
      </c>
      <c r="M584" t="s">
        <v>1729</v>
      </c>
      <c r="N584" t="str">
        <f t="shared" si="76"/>
        <v>EUR</v>
      </c>
      <c r="O584">
        <f t="shared" si="77"/>
        <v>286.70999999999998</v>
      </c>
      <c r="P584" cm="1">
        <f t="array" ref="P584">_xlfn.IFS(N584="USD",O584*1,N584="GBP",O584*1.27,N584="EUR",O584*1.09,N584="INR",O584*0.012,N584="N/A","N/A")</f>
        <v>312.51389999999998</v>
      </c>
      <c r="Q584" t="s">
        <v>60</v>
      </c>
      <c r="R584" t="str" cm="1">
        <f t="array" ref="R584">_xlfn.IFS(Q584="Y","Yes", Q584="Yes","Yes", Q584="N","No", Q584="No","No", Q584=1,"N/A", Q584=0,"N/A", TRUE,"")</f>
        <v>No</v>
      </c>
      <c r="S584">
        <f t="shared" si="78"/>
        <v>14</v>
      </c>
      <c r="T584">
        <f t="shared" si="79"/>
        <v>1</v>
      </c>
      <c r="U584" t="str" cm="1">
        <f t="array" ref="U584">_xlfn.IFS(D584&lt;40,"Young Adult",AND(D584&gt;=40,D584&lt;65),"Middle Aged", D584&gt;=65,"Elderly")</f>
        <v>Middle Aged</v>
      </c>
    </row>
    <row r="585" spans="1:21" x14ac:dyDescent="0.2">
      <c r="A585">
        <v>1015</v>
      </c>
      <c r="B585">
        <f t="shared" si="72"/>
        <v>584</v>
      </c>
      <c r="C585" t="s">
        <v>1730</v>
      </c>
      <c r="D585">
        <v>87</v>
      </c>
      <c r="E585" t="s">
        <v>2937</v>
      </c>
      <c r="F585" t="str">
        <f t="shared" si="73"/>
        <v>N/A</v>
      </c>
      <c r="G585" s="1">
        <v>45787</v>
      </c>
      <c r="H585" s="1">
        <v>45694</v>
      </c>
      <c r="I585" t="s">
        <v>1731</v>
      </c>
      <c r="J585" t="str">
        <f t="shared" si="74"/>
        <v>Richard Vega</v>
      </c>
      <c r="K585" t="s">
        <v>13</v>
      </c>
      <c r="L585" t="str">
        <f t="shared" si="75"/>
        <v>Cardiology</v>
      </c>
      <c r="M585" t="s">
        <v>1732</v>
      </c>
      <c r="N585" t="str">
        <f t="shared" si="76"/>
        <v>GBP</v>
      </c>
      <c r="O585">
        <f t="shared" si="77"/>
        <v>316.89</v>
      </c>
      <c r="P585" cm="1">
        <f t="array" ref="P585">_xlfn.IFS(N585="USD",O585*1,N585="GBP",O585*1.27,N585="EUR",O585*1.09,N585="INR",O585*0.012,N585="N/A","N/A")</f>
        <v>402.45029999999997</v>
      </c>
      <c r="Q585" t="s">
        <v>36</v>
      </c>
      <c r="R585" t="str" cm="1">
        <f t="array" ref="R585">_xlfn.IFS(Q585="Y","Yes", Q585="Yes","Yes", Q585="N","No", Q585="No","No", Q585=1,"N/A", Q585=0,"N/A", TRUE,"")</f>
        <v>Yes</v>
      </c>
      <c r="S585">
        <f t="shared" si="78"/>
        <v>17</v>
      </c>
      <c r="T585">
        <f t="shared" si="79"/>
        <v>1</v>
      </c>
      <c r="U585" t="str" cm="1">
        <f t="array" ref="U585">_xlfn.IFS(D585&lt;40,"Young Adult",AND(D585&gt;=40,D585&lt;65),"Middle Aged", D585&gt;=65,"Elderly")</f>
        <v>Elderly</v>
      </c>
    </row>
    <row r="586" spans="1:21" x14ac:dyDescent="0.2">
      <c r="A586">
        <v>1069</v>
      </c>
      <c r="B586">
        <f t="shared" si="72"/>
        <v>585</v>
      </c>
      <c r="C586" t="s">
        <v>1733</v>
      </c>
      <c r="D586">
        <v>40</v>
      </c>
      <c r="E586" t="s">
        <v>2937</v>
      </c>
      <c r="F586" t="str">
        <f t="shared" si="73"/>
        <v>N/A</v>
      </c>
      <c r="G586" s="1">
        <v>46000</v>
      </c>
      <c r="H586" s="1">
        <v>45941</v>
      </c>
      <c r="I586" t="s">
        <v>1734</v>
      </c>
      <c r="J586" t="str">
        <f t="shared" si="74"/>
        <v>Adam Jensen</v>
      </c>
      <c r="K586" t="s">
        <v>28</v>
      </c>
      <c r="L586" t="str">
        <f t="shared" si="75"/>
        <v>General</v>
      </c>
      <c r="M586" t="s">
        <v>1735</v>
      </c>
      <c r="N586" t="str">
        <f t="shared" si="76"/>
        <v>EUR</v>
      </c>
      <c r="O586">
        <f t="shared" si="77"/>
        <v>266.74</v>
      </c>
      <c r="P586" cm="1">
        <f t="array" ref="P586">_xlfn.IFS(N586="USD",O586*1,N586="GBP",O586*1.27,N586="EUR",O586*1.09,N586="INR",O586*0.012,N586="N/A","N/A")</f>
        <v>290.74660000000006</v>
      </c>
      <c r="Q586" t="s">
        <v>36</v>
      </c>
      <c r="R586" t="str" cm="1">
        <f t="array" ref="R586">_xlfn.IFS(Q586="Y","Yes", Q586="Yes","Yes", Q586="N","No", Q586="No","No", Q586=1,"N/A", Q586=0,"N/A", TRUE,"")</f>
        <v>Yes</v>
      </c>
      <c r="S586">
        <f t="shared" si="78"/>
        <v>10</v>
      </c>
      <c r="T586">
        <f t="shared" si="79"/>
        <v>1</v>
      </c>
      <c r="U586" t="str" cm="1">
        <f t="array" ref="U586">_xlfn.IFS(D586&lt;40,"Young Adult",AND(D586&gt;=40,D586&lt;65),"Middle Aged", D586&gt;=65,"Elderly")</f>
        <v>Middle Aged</v>
      </c>
    </row>
    <row r="587" spans="1:21" x14ac:dyDescent="0.2">
      <c r="A587">
        <v>1029</v>
      </c>
      <c r="B587">
        <f t="shared" si="72"/>
        <v>586</v>
      </c>
      <c r="C587" t="s">
        <v>1736</v>
      </c>
      <c r="D587">
        <v>55</v>
      </c>
      <c r="E587" t="s">
        <v>71</v>
      </c>
      <c r="F587" t="str">
        <f t="shared" si="73"/>
        <v>Male</v>
      </c>
      <c r="G587" s="1">
        <v>45945</v>
      </c>
      <c r="H587" s="1">
        <v>45805</v>
      </c>
      <c r="I587" t="s">
        <v>1737</v>
      </c>
      <c r="J587" t="str">
        <f t="shared" si="74"/>
        <v>Terry Jones</v>
      </c>
      <c r="K587" t="s">
        <v>18</v>
      </c>
      <c r="L587" t="str">
        <f t="shared" si="75"/>
        <v>Orthopedics</v>
      </c>
      <c r="M587" t="s">
        <v>1738</v>
      </c>
      <c r="N587" t="str">
        <f t="shared" si="76"/>
        <v>GBP</v>
      </c>
      <c r="O587">
        <f t="shared" si="77"/>
        <v>175.09</v>
      </c>
      <c r="P587" cm="1">
        <f t="array" ref="P587">_xlfn.IFS(N587="USD",O587*1,N587="GBP",O587*1.27,N587="EUR",O587*1.09,N587="INR",O587*0.012,N587="N/A","N/A")</f>
        <v>222.36430000000001</v>
      </c>
      <c r="Q587" t="s">
        <v>30</v>
      </c>
      <c r="R587" t="str" cm="1">
        <f t="array" ref="R587">_xlfn.IFS(Q587="Y","Yes", Q587="Yes","Yes", Q587="N","No", Q587="No","No", Q587=1,"N/A", Q587=0,"N/A", TRUE,"")</f>
        <v>No</v>
      </c>
      <c r="S587">
        <f t="shared" si="78"/>
        <v>8</v>
      </c>
      <c r="T587">
        <f t="shared" si="79"/>
        <v>1</v>
      </c>
      <c r="U587" t="str" cm="1">
        <f t="array" ref="U587">_xlfn.IFS(D587&lt;40,"Young Adult",AND(D587&gt;=40,D587&lt;65),"Middle Aged", D587&gt;=65,"Elderly")</f>
        <v>Middle Aged</v>
      </c>
    </row>
    <row r="588" spans="1:21" x14ac:dyDescent="0.2">
      <c r="A588">
        <v>1037</v>
      </c>
      <c r="B588">
        <f t="shared" si="72"/>
        <v>587</v>
      </c>
      <c r="C588" t="s">
        <v>1739</v>
      </c>
      <c r="D588">
        <v>90</v>
      </c>
      <c r="E588" t="s">
        <v>2937</v>
      </c>
      <c r="F588" t="str">
        <f t="shared" si="73"/>
        <v>N/A</v>
      </c>
      <c r="G588" s="1">
        <v>45999</v>
      </c>
      <c r="H588" s="1">
        <v>45510</v>
      </c>
      <c r="I588" t="s">
        <v>1740</v>
      </c>
      <c r="J588" t="str">
        <f t="shared" si="74"/>
        <v>Mary Jacobson</v>
      </c>
      <c r="K588" t="s">
        <v>13</v>
      </c>
      <c r="L588" t="str">
        <f t="shared" si="75"/>
        <v>Cardiology</v>
      </c>
      <c r="M588" t="s">
        <v>1741</v>
      </c>
      <c r="N588" t="str">
        <f t="shared" si="76"/>
        <v>INR</v>
      </c>
      <c r="O588">
        <f t="shared" si="77"/>
        <v>96.2</v>
      </c>
      <c r="P588" cm="1">
        <f t="array" ref="P588">_xlfn.IFS(N588="USD",O588*1,N588="GBP",O588*1.27,N588="EUR",O588*1.09,N588="INR",O588*0.012,N588="N/A","N/A")</f>
        <v>1.1544000000000001</v>
      </c>
      <c r="Q588" t="s">
        <v>60</v>
      </c>
      <c r="R588" t="str" cm="1">
        <f t="array" ref="R588">_xlfn.IFS(Q588="Y","Yes", Q588="Yes","Yes", Q588="N","No", Q588="No","No", Q588=1,"N/A", Q588=0,"N/A", TRUE,"")</f>
        <v>No</v>
      </c>
      <c r="S588">
        <f t="shared" si="78"/>
        <v>5</v>
      </c>
      <c r="T588">
        <f t="shared" si="79"/>
        <v>1</v>
      </c>
      <c r="U588" t="str" cm="1">
        <f t="array" ref="U588">_xlfn.IFS(D588&lt;40,"Young Adult",AND(D588&gt;=40,D588&lt;65),"Middle Aged", D588&gt;=65,"Elderly")</f>
        <v>Elderly</v>
      </c>
    </row>
    <row r="589" spans="1:21" x14ac:dyDescent="0.2">
      <c r="A589">
        <v>1071</v>
      </c>
      <c r="B589">
        <f t="shared" si="72"/>
        <v>588</v>
      </c>
      <c r="C589" t="s">
        <v>1742</v>
      </c>
      <c r="D589">
        <v>25</v>
      </c>
      <c r="E589" t="s">
        <v>38</v>
      </c>
      <c r="F589" t="str">
        <f t="shared" si="73"/>
        <v>Female</v>
      </c>
      <c r="G589" s="1">
        <v>46077</v>
      </c>
      <c r="H589" s="1">
        <v>45982</v>
      </c>
      <c r="I589" t="s">
        <v>1743</v>
      </c>
      <c r="J589" t="str">
        <f t="shared" si="74"/>
        <v>Dakota Fleming</v>
      </c>
      <c r="K589" t="s">
        <v>28</v>
      </c>
      <c r="L589" t="str">
        <f t="shared" si="75"/>
        <v>General</v>
      </c>
      <c r="M589" t="s">
        <v>1744</v>
      </c>
      <c r="N589" t="str">
        <f t="shared" si="76"/>
        <v>INR</v>
      </c>
      <c r="O589">
        <f t="shared" si="77"/>
        <v>443.12</v>
      </c>
      <c r="P589" cm="1">
        <f t="array" ref="P589">_xlfn.IFS(N589="USD",O589*1,N589="GBP",O589*1.27,N589="EUR",O589*1.09,N589="INR",O589*0.012,N589="N/A","N/A")</f>
        <v>5.3174400000000004</v>
      </c>
      <c r="Q589">
        <v>0</v>
      </c>
      <c r="R589" t="str" cm="1">
        <f t="array" ref="R589">_xlfn.IFS(Q589="Y","Yes", Q589="Yes","Yes", Q589="N","No", Q589="No","No", Q589=1,"N/A", Q589=0,"N/A", TRUE,"")</f>
        <v>N/A</v>
      </c>
      <c r="S589">
        <f t="shared" si="78"/>
        <v>10</v>
      </c>
      <c r="T589">
        <f t="shared" si="79"/>
        <v>1</v>
      </c>
      <c r="U589" t="str" cm="1">
        <f t="array" ref="U589">_xlfn.IFS(D589&lt;40,"Young Adult",AND(D589&gt;=40,D589&lt;65),"Middle Aged", D589&gt;=65,"Elderly")</f>
        <v>Young Adult</v>
      </c>
    </row>
    <row r="590" spans="1:21" x14ac:dyDescent="0.2">
      <c r="A590">
        <v>1023</v>
      </c>
      <c r="B590">
        <f t="shared" si="72"/>
        <v>589</v>
      </c>
      <c r="C590" t="s">
        <v>1745</v>
      </c>
      <c r="D590">
        <v>46</v>
      </c>
      <c r="E590" t="s">
        <v>38</v>
      </c>
      <c r="F590" t="str">
        <f t="shared" si="73"/>
        <v>Female</v>
      </c>
      <c r="G590" s="1">
        <v>46060</v>
      </c>
      <c r="H590" s="1">
        <v>45645</v>
      </c>
      <c r="I590" t="s">
        <v>1746</v>
      </c>
      <c r="J590" t="str">
        <f t="shared" si="74"/>
        <v>Gary Washington</v>
      </c>
      <c r="K590" t="s">
        <v>24</v>
      </c>
      <c r="L590" t="str">
        <f t="shared" si="75"/>
        <v>Neurology</v>
      </c>
      <c r="M590" t="s">
        <v>1747</v>
      </c>
      <c r="N590" t="str">
        <f t="shared" si="76"/>
        <v>USD</v>
      </c>
      <c r="O590">
        <f t="shared" si="77"/>
        <v>351.94</v>
      </c>
      <c r="P590" cm="1">
        <f t="array" ref="P590">_xlfn.IFS(N590="USD",O590*1,N590="GBP",O590*1.27,N590="EUR",O590*1.09,N590="INR",O590*0.012,N590="N/A","N/A")</f>
        <v>351.94</v>
      </c>
      <c r="Q590">
        <v>1</v>
      </c>
      <c r="R590" t="str" cm="1">
        <f t="array" ref="R590">_xlfn.IFS(Q590="Y","Yes", Q590="Yes","Yes", Q590="N","No", Q590="No","No", Q590=1,"N/A", Q590=0,"N/A", TRUE,"")</f>
        <v>N/A</v>
      </c>
      <c r="S590">
        <f t="shared" si="78"/>
        <v>4</v>
      </c>
      <c r="T590">
        <f t="shared" si="79"/>
        <v>1</v>
      </c>
      <c r="U590" t="str" cm="1">
        <f t="array" ref="U590">_xlfn.IFS(D590&lt;40,"Young Adult",AND(D590&gt;=40,D590&lt;65),"Middle Aged", D590&gt;=65,"Elderly")</f>
        <v>Middle Aged</v>
      </c>
    </row>
    <row r="591" spans="1:21" x14ac:dyDescent="0.2">
      <c r="A591">
        <v>1074</v>
      </c>
      <c r="B591">
        <f t="shared" si="72"/>
        <v>590</v>
      </c>
      <c r="C591" t="s">
        <v>1748</v>
      </c>
      <c r="D591">
        <v>75</v>
      </c>
      <c r="E591" t="s">
        <v>2937</v>
      </c>
      <c r="F591" t="str">
        <f t="shared" si="73"/>
        <v>N/A</v>
      </c>
      <c r="G591" s="1">
        <v>45884</v>
      </c>
      <c r="H591" s="1">
        <v>45459</v>
      </c>
      <c r="I591" t="s">
        <v>1749</v>
      </c>
      <c r="J591" t="str">
        <f t="shared" si="74"/>
        <v>Mary Burgess</v>
      </c>
      <c r="K591" t="s">
        <v>24</v>
      </c>
      <c r="L591" t="str">
        <f t="shared" si="75"/>
        <v>Neurology</v>
      </c>
      <c r="M591" t="s">
        <v>1750</v>
      </c>
      <c r="N591" t="str">
        <f t="shared" si="76"/>
        <v>USD</v>
      </c>
      <c r="O591">
        <f t="shared" si="77"/>
        <v>59.55</v>
      </c>
      <c r="P591" cm="1">
        <f t="array" ref="P591">_xlfn.IFS(N591="USD",O591*1,N591="GBP",O591*1.27,N591="EUR",O591*1.09,N591="INR",O591*0.012,N591="N/A","N/A")</f>
        <v>59.55</v>
      </c>
      <c r="Q591" t="s">
        <v>20</v>
      </c>
      <c r="R591" t="str" cm="1">
        <f t="array" ref="R591">_xlfn.IFS(Q591="Y","Yes", Q591="Yes","Yes", Q591="N","No", Q591="No","No", Q591=1,"N/A", Q591=0,"N/A", TRUE,"")</f>
        <v>Yes</v>
      </c>
      <c r="S591">
        <f t="shared" si="78"/>
        <v>17</v>
      </c>
      <c r="T591">
        <f t="shared" si="79"/>
        <v>1</v>
      </c>
      <c r="U591" t="str" cm="1">
        <f t="array" ref="U591">_xlfn.IFS(D591&lt;40,"Young Adult",AND(D591&gt;=40,D591&lt;65),"Middle Aged", D591&gt;=65,"Elderly")</f>
        <v>Elderly</v>
      </c>
    </row>
    <row r="592" spans="1:21" x14ac:dyDescent="0.2">
      <c r="A592">
        <v>1039</v>
      </c>
      <c r="B592">
        <f t="shared" si="72"/>
        <v>591</v>
      </c>
      <c r="C592" t="s">
        <v>1751</v>
      </c>
      <c r="D592">
        <v>68</v>
      </c>
      <c r="E592" t="s">
        <v>51</v>
      </c>
      <c r="F592" t="str">
        <f t="shared" si="73"/>
        <v>Male</v>
      </c>
      <c r="G592" s="1">
        <v>45779</v>
      </c>
      <c r="H592" s="1">
        <v>45703</v>
      </c>
      <c r="I592" t="s">
        <v>1589</v>
      </c>
      <c r="J592" t="str">
        <f t="shared" si="74"/>
        <v>Jennifer Carroll</v>
      </c>
      <c r="K592" t="s">
        <v>18</v>
      </c>
      <c r="L592" t="str">
        <f t="shared" si="75"/>
        <v>Orthopedics</v>
      </c>
      <c r="M592" t="s">
        <v>1752</v>
      </c>
      <c r="N592" t="str">
        <f t="shared" si="76"/>
        <v>GBP</v>
      </c>
      <c r="O592">
        <f t="shared" si="77"/>
        <v>339.57</v>
      </c>
      <c r="P592" cm="1">
        <f t="array" ref="P592">_xlfn.IFS(N592="USD",O592*1,N592="GBP",O592*1.27,N592="EUR",O592*1.09,N592="INR",O592*0.012,N592="N/A","N/A")</f>
        <v>431.25389999999999</v>
      </c>
      <c r="Q592" t="s">
        <v>30</v>
      </c>
      <c r="R592" t="str" cm="1">
        <f t="array" ref="R592">_xlfn.IFS(Q592="Y","Yes", Q592="Yes","Yes", Q592="N","No", Q592="No","No", Q592=1,"N/A", Q592=0,"N/A", TRUE,"")</f>
        <v>No</v>
      </c>
      <c r="S592">
        <f t="shared" si="78"/>
        <v>8</v>
      </c>
      <c r="T592">
        <f t="shared" si="79"/>
        <v>1</v>
      </c>
      <c r="U592" t="str" cm="1">
        <f t="array" ref="U592">_xlfn.IFS(D592&lt;40,"Young Adult",AND(D592&gt;=40,D592&lt;65),"Middle Aged", D592&gt;=65,"Elderly")</f>
        <v>Elderly</v>
      </c>
    </row>
    <row r="593" spans="1:21" x14ac:dyDescent="0.2">
      <c r="A593">
        <v>1071</v>
      </c>
      <c r="B593">
        <f t="shared" si="72"/>
        <v>592</v>
      </c>
      <c r="C593" t="s">
        <v>1753</v>
      </c>
      <c r="D593">
        <v>88</v>
      </c>
      <c r="E593" t="s">
        <v>22</v>
      </c>
      <c r="F593" t="str">
        <f t="shared" si="73"/>
        <v>Male</v>
      </c>
      <c r="G593" s="1">
        <v>45996</v>
      </c>
      <c r="H593" s="1">
        <v>45506</v>
      </c>
      <c r="I593" t="s">
        <v>1754</v>
      </c>
      <c r="J593" t="str">
        <f t="shared" si="74"/>
        <v>Kim Daniels</v>
      </c>
      <c r="K593" t="s">
        <v>24</v>
      </c>
      <c r="L593" t="str">
        <f t="shared" si="75"/>
        <v>Neurology</v>
      </c>
      <c r="M593" t="s">
        <v>1755</v>
      </c>
      <c r="N593" t="str">
        <f t="shared" si="76"/>
        <v>INR</v>
      </c>
      <c r="O593">
        <f t="shared" si="77"/>
        <v>344.57</v>
      </c>
      <c r="P593" cm="1">
        <f t="array" ref="P593">_xlfn.IFS(N593="USD",O593*1,N593="GBP",O593*1.27,N593="EUR",O593*1.09,N593="INR",O593*0.012,N593="N/A","N/A")</f>
        <v>4.1348399999999996</v>
      </c>
      <c r="Q593" t="s">
        <v>20</v>
      </c>
      <c r="R593" t="str" cm="1">
        <f t="array" ref="R593">_xlfn.IFS(Q593="Y","Yes", Q593="Yes","Yes", Q593="N","No", Q593="No","No", Q593=1,"N/A", Q593=0,"N/A", TRUE,"")</f>
        <v>Yes</v>
      </c>
      <c r="S593">
        <f t="shared" si="78"/>
        <v>10</v>
      </c>
      <c r="T593">
        <f t="shared" si="79"/>
        <v>1</v>
      </c>
      <c r="U593" t="str" cm="1">
        <f t="array" ref="U593">_xlfn.IFS(D593&lt;40,"Young Adult",AND(D593&gt;=40,D593&lt;65),"Middle Aged", D593&gt;=65,"Elderly")</f>
        <v>Elderly</v>
      </c>
    </row>
    <row r="594" spans="1:21" x14ac:dyDescent="0.2">
      <c r="A594">
        <v>1039</v>
      </c>
      <c r="B594">
        <f t="shared" si="72"/>
        <v>593</v>
      </c>
      <c r="C594" t="s">
        <v>1756</v>
      </c>
      <c r="D594">
        <v>47</v>
      </c>
      <c r="E594" t="s">
        <v>16</v>
      </c>
      <c r="F594" t="str">
        <f t="shared" si="73"/>
        <v>Female</v>
      </c>
      <c r="G594" s="1">
        <v>45827</v>
      </c>
      <c r="H594" s="1">
        <v>45419</v>
      </c>
      <c r="I594" t="s">
        <v>1757</v>
      </c>
      <c r="J594" t="str">
        <f t="shared" si="74"/>
        <v>David Guzman</v>
      </c>
      <c r="K594" t="s">
        <v>18</v>
      </c>
      <c r="L594" t="str">
        <f t="shared" si="75"/>
        <v>Orthopedics</v>
      </c>
      <c r="M594" t="s">
        <v>1758</v>
      </c>
      <c r="N594" t="str">
        <f t="shared" si="76"/>
        <v>USD</v>
      </c>
      <c r="O594">
        <f t="shared" si="77"/>
        <v>197.72</v>
      </c>
      <c r="P594" cm="1">
        <f t="array" ref="P594">_xlfn.IFS(N594="USD",O594*1,N594="GBP",O594*1.27,N594="EUR",O594*1.09,N594="INR",O594*0.012,N594="N/A","N/A")</f>
        <v>197.72</v>
      </c>
      <c r="Q594" t="s">
        <v>20</v>
      </c>
      <c r="R594" t="str" cm="1">
        <f t="array" ref="R594">_xlfn.IFS(Q594="Y","Yes", Q594="Yes","Yes", Q594="N","No", Q594="No","No", Q594=1,"N/A", Q594=0,"N/A", TRUE,"")</f>
        <v>Yes</v>
      </c>
      <c r="S594">
        <f t="shared" si="78"/>
        <v>8</v>
      </c>
      <c r="T594">
        <f t="shared" si="79"/>
        <v>1</v>
      </c>
      <c r="U594" t="str" cm="1">
        <f t="array" ref="U594">_xlfn.IFS(D594&lt;40,"Young Adult",AND(D594&gt;=40,D594&lt;65),"Middle Aged", D594&gt;=65,"Elderly")</f>
        <v>Middle Aged</v>
      </c>
    </row>
    <row r="595" spans="1:21" x14ac:dyDescent="0.2">
      <c r="A595">
        <v>1082</v>
      </c>
      <c r="B595">
        <f t="shared" si="72"/>
        <v>594</v>
      </c>
      <c r="C595" t="s">
        <v>1759</v>
      </c>
      <c r="D595">
        <v>57</v>
      </c>
      <c r="E595" t="s">
        <v>2937</v>
      </c>
      <c r="F595" t="str">
        <f t="shared" si="73"/>
        <v>N/A</v>
      </c>
      <c r="G595" s="1">
        <v>45965</v>
      </c>
      <c r="H595" s="1">
        <v>45737</v>
      </c>
      <c r="I595" t="s">
        <v>1760</v>
      </c>
      <c r="J595" t="str">
        <f t="shared" si="74"/>
        <v>Larry Roberts</v>
      </c>
      <c r="K595" t="s">
        <v>13</v>
      </c>
      <c r="L595" t="str">
        <f t="shared" si="75"/>
        <v>Cardiology</v>
      </c>
      <c r="M595" t="s">
        <v>1761</v>
      </c>
      <c r="N595" t="str">
        <f t="shared" si="76"/>
        <v>GBP</v>
      </c>
      <c r="O595">
        <f t="shared" si="77"/>
        <v>202.68</v>
      </c>
      <c r="P595" cm="1">
        <f t="array" ref="P595">_xlfn.IFS(N595="USD",O595*1,N595="GBP",O595*1.27,N595="EUR",O595*1.09,N595="INR",O595*0.012,N595="N/A","N/A")</f>
        <v>257.40360000000004</v>
      </c>
      <c r="Q595">
        <v>0</v>
      </c>
      <c r="R595" t="str" cm="1">
        <f t="array" ref="R595">_xlfn.IFS(Q595="Y","Yes", Q595="Yes","Yes", Q595="N","No", Q595="No","No", Q595=1,"N/A", Q595=0,"N/A", TRUE,"")</f>
        <v>N/A</v>
      </c>
      <c r="S595">
        <f t="shared" si="78"/>
        <v>14</v>
      </c>
      <c r="T595">
        <f t="shared" si="79"/>
        <v>1</v>
      </c>
      <c r="U595" t="str" cm="1">
        <f t="array" ref="U595">_xlfn.IFS(D595&lt;40,"Young Adult",AND(D595&gt;=40,D595&lt;65),"Middle Aged", D595&gt;=65,"Elderly")</f>
        <v>Middle Aged</v>
      </c>
    </row>
    <row r="596" spans="1:21" x14ac:dyDescent="0.2">
      <c r="A596">
        <v>1084</v>
      </c>
      <c r="B596">
        <f t="shared" si="72"/>
        <v>595</v>
      </c>
      <c r="C596" t="s">
        <v>1762</v>
      </c>
      <c r="D596">
        <v>71</v>
      </c>
      <c r="E596" t="s">
        <v>22</v>
      </c>
      <c r="F596" t="str">
        <f t="shared" si="73"/>
        <v>Male</v>
      </c>
      <c r="G596" s="1">
        <v>45767</v>
      </c>
      <c r="H596" s="1">
        <v>45504</v>
      </c>
      <c r="I596" t="s">
        <v>1763</v>
      </c>
      <c r="J596" t="str">
        <f t="shared" si="74"/>
        <v>Andrew Clark</v>
      </c>
      <c r="K596" t="s">
        <v>13</v>
      </c>
      <c r="L596" t="str">
        <f t="shared" si="75"/>
        <v>Cardiology</v>
      </c>
      <c r="M596" t="s">
        <v>1764</v>
      </c>
      <c r="N596" t="str">
        <f t="shared" si="76"/>
        <v>USD</v>
      </c>
      <c r="O596">
        <f t="shared" si="77"/>
        <v>95.4</v>
      </c>
      <c r="P596" cm="1">
        <f t="array" ref="P596">_xlfn.IFS(N596="USD",O596*1,N596="GBP",O596*1.27,N596="EUR",O596*1.09,N596="INR",O596*0.012,N596="N/A","N/A")</f>
        <v>95.4</v>
      </c>
      <c r="Q596" t="s">
        <v>60</v>
      </c>
      <c r="R596" t="str" cm="1">
        <f t="array" ref="R596">_xlfn.IFS(Q596="Y","Yes", Q596="Yes","Yes", Q596="N","No", Q596="No","No", Q596=1,"N/A", Q596=0,"N/A", TRUE,"")</f>
        <v>No</v>
      </c>
      <c r="S596">
        <f t="shared" si="78"/>
        <v>15</v>
      </c>
      <c r="T596">
        <f t="shared" si="79"/>
        <v>1</v>
      </c>
      <c r="U596" t="str" cm="1">
        <f t="array" ref="U596">_xlfn.IFS(D596&lt;40,"Young Adult",AND(D596&gt;=40,D596&lt;65),"Middle Aged", D596&gt;=65,"Elderly")</f>
        <v>Elderly</v>
      </c>
    </row>
    <row r="597" spans="1:21" x14ac:dyDescent="0.2">
      <c r="A597">
        <v>1089</v>
      </c>
      <c r="B597">
        <f t="shared" si="72"/>
        <v>596</v>
      </c>
      <c r="C597" t="s">
        <v>1765</v>
      </c>
      <c r="D597">
        <v>68</v>
      </c>
      <c r="E597" t="s">
        <v>38</v>
      </c>
      <c r="F597" t="str">
        <f t="shared" si="73"/>
        <v>Female</v>
      </c>
      <c r="G597" s="1">
        <v>45750</v>
      </c>
      <c r="H597" s="1">
        <v>45510</v>
      </c>
      <c r="I597" t="s">
        <v>1766</v>
      </c>
      <c r="J597" t="str">
        <f t="shared" si="74"/>
        <v>Eric Lewis</v>
      </c>
      <c r="K597" t="s">
        <v>18</v>
      </c>
      <c r="L597" t="str">
        <f t="shared" si="75"/>
        <v>Orthopedics</v>
      </c>
      <c r="M597" t="s">
        <v>1767</v>
      </c>
      <c r="N597" t="str">
        <f t="shared" si="76"/>
        <v>EUR</v>
      </c>
      <c r="O597">
        <f t="shared" si="77"/>
        <v>245.84</v>
      </c>
      <c r="P597" cm="1">
        <f t="array" ref="P597">_xlfn.IFS(N597="USD",O597*1,N597="GBP",O597*1.27,N597="EUR",O597*1.09,N597="INR",O597*0.012,N597="N/A","N/A")</f>
        <v>267.96560000000005</v>
      </c>
      <c r="Q597">
        <v>0</v>
      </c>
      <c r="R597" t="str" cm="1">
        <f t="array" ref="R597">_xlfn.IFS(Q597="Y","Yes", Q597="Yes","Yes", Q597="N","No", Q597="No","No", Q597=1,"N/A", Q597=0,"N/A", TRUE,"")</f>
        <v>N/A</v>
      </c>
      <c r="S597">
        <f t="shared" si="78"/>
        <v>16</v>
      </c>
      <c r="T597">
        <f t="shared" si="79"/>
        <v>1</v>
      </c>
      <c r="U597" t="str" cm="1">
        <f t="array" ref="U597">_xlfn.IFS(D597&lt;40,"Young Adult",AND(D597&gt;=40,D597&lt;65),"Middle Aged", D597&gt;=65,"Elderly")</f>
        <v>Elderly</v>
      </c>
    </row>
    <row r="598" spans="1:21" x14ac:dyDescent="0.2">
      <c r="A598">
        <v>1031</v>
      </c>
      <c r="B598">
        <f t="shared" si="72"/>
        <v>597</v>
      </c>
      <c r="C598" t="s">
        <v>692</v>
      </c>
      <c r="D598">
        <v>44</v>
      </c>
      <c r="E598" t="s">
        <v>22</v>
      </c>
      <c r="F598" t="str">
        <f t="shared" si="73"/>
        <v>Male</v>
      </c>
      <c r="G598" s="1">
        <v>46041</v>
      </c>
      <c r="H598" s="1">
        <v>45457</v>
      </c>
      <c r="I598" t="s">
        <v>1768</v>
      </c>
      <c r="J598" t="str">
        <f t="shared" si="74"/>
        <v>Richard Medina</v>
      </c>
      <c r="K598" t="s">
        <v>18</v>
      </c>
      <c r="L598" t="str">
        <f t="shared" si="75"/>
        <v>Orthopedics</v>
      </c>
      <c r="M598" t="s">
        <v>1769</v>
      </c>
      <c r="N598" t="str">
        <f t="shared" si="76"/>
        <v>EUR</v>
      </c>
      <c r="O598">
        <f t="shared" si="77"/>
        <v>284.66000000000003</v>
      </c>
      <c r="P598" cm="1">
        <f t="array" ref="P598">_xlfn.IFS(N598="USD",O598*1,N598="GBP",O598*1.27,N598="EUR",O598*1.09,N598="INR",O598*0.012,N598="N/A","N/A")</f>
        <v>310.27940000000007</v>
      </c>
      <c r="Q598" t="s">
        <v>60</v>
      </c>
      <c r="R598" t="str" cm="1">
        <f t="array" ref="R598">_xlfn.IFS(Q598="Y","Yes", Q598="Yes","Yes", Q598="N","No", Q598="No","No", Q598=1,"N/A", Q598=0,"N/A", TRUE,"")</f>
        <v>No</v>
      </c>
      <c r="S598">
        <f t="shared" si="78"/>
        <v>13</v>
      </c>
      <c r="T598">
        <f t="shared" si="79"/>
        <v>1</v>
      </c>
      <c r="U598" t="str" cm="1">
        <f t="array" ref="U598">_xlfn.IFS(D598&lt;40,"Young Adult",AND(D598&gt;=40,D598&lt;65),"Middle Aged", D598&gt;=65,"Elderly")</f>
        <v>Middle Aged</v>
      </c>
    </row>
    <row r="599" spans="1:21" x14ac:dyDescent="0.2">
      <c r="A599">
        <v>1053</v>
      </c>
      <c r="B599">
        <f t="shared" si="72"/>
        <v>598</v>
      </c>
      <c r="C599" t="s">
        <v>1770</v>
      </c>
      <c r="D599">
        <v>70</v>
      </c>
      <c r="E599" t="s">
        <v>51</v>
      </c>
      <c r="F599" t="str">
        <f t="shared" si="73"/>
        <v>Male</v>
      </c>
      <c r="G599" s="1">
        <v>46012</v>
      </c>
      <c r="H599" s="1">
        <v>45876</v>
      </c>
      <c r="I599" t="s">
        <v>1771</v>
      </c>
      <c r="J599" t="str">
        <f t="shared" si="74"/>
        <v>Deborah Snyder</v>
      </c>
      <c r="K599" t="s">
        <v>24</v>
      </c>
      <c r="L599" t="str">
        <f t="shared" si="75"/>
        <v>Neurology</v>
      </c>
      <c r="M599" t="s">
        <v>1772</v>
      </c>
      <c r="N599" t="str">
        <f t="shared" si="76"/>
        <v>INR</v>
      </c>
      <c r="O599">
        <f t="shared" si="77"/>
        <v>389.49</v>
      </c>
      <c r="P599" cm="1">
        <f t="array" ref="P599">_xlfn.IFS(N599="USD",O599*1,N599="GBP",O599*1.27,N599="EUR",O599*1.09,N599="INR",O599*0.012,N599="N/A","N/A")</f>
        <v>4.6738800000000005</v>
      </c>
      <c r="Q599" t="s">
        <v>30</v>
      </c>
      <c r="R599" t="str" cm="1">
        <f t="array" ref="R599">_xlfn.IFS(Q599="Y","Yes", Q599="Yes","Yes", Q599="N","No", Q599="No","No", Q599=1,"N/A", Q599=0,"N/A", TRUE,"")</f>
        <v>No</v>
      </c>
      <c r="S599">
        <f t="shared" si="78"/>
        <v>14</v>
      </c>
      <c r="T599">
        <f t="shared" si="79"/>
        <v>1</v>
      </c>
      <c r="U599" t="str" cm="1">
        <f t="array" ref="U599">_xlfn.IFS(D599&lt;40,"Young Adult",AND(D599&gt;=40,D599&lt;65),"Middle Aged", D599&gt;=65,"Elderly")</f>
        <v>Elderly</v>
      </c>
    </row>
    <row r="600" spans="1:21" x14ac:dyDescent="0.2">
      <c r="A600">
        <v>1048</v>
      </c>
      <c r="B600">
        <f t="shared" si="72"/>
        <v>599</v>
      </c>
      <c r="C600" t="s">
        <v>1773</v>
      </c>
      <c r="D600">
        <v>67</v>
      </c>
      <c r="E600" t="s">
        <v>51</v>
      </c>
      <c r="F600" t="str">
        <f t="shared" si="73"/>
        <v>Male</v>
      </c>
      <c r="G600" s="1">
        <v>45841</v>
      </c>
      <c r="H600" s="1">
        <v>45503</v>
      </c>
      <c r="I600" t="s">
        <v>1774</v>
      </c>
      <c r="J600" t="str">
        <f t="shared" si="74"/>
        <v>Connie Martinez</v>
      </c>
      <c r="K600" t="s">
        <v>24</v>
      </c>
      <c r="L600" t="str">
        <f t="shared" si="75"/>
        <v>Neurology</v>
      </c>
      <c r="N600" t="str">
        <f t="shared" si="76"/>
        <v>N/A</v>
      </c>
      <c r="O600" t="str">
        <f t="shared" si="77"/>
        <v/>
      </c>
      <c r="P600" t="str" cm="1">
        <f t="array" ref="P600">_xlfn.IFS(N600="USD",O600*1,N600="GBP",O600*1.27,N600="EUR",O600*1.09,N600="INR",O600*0.012,N600="N/A","N/A")</f>
        <v>N/A</v>
      </c>
      <c r="Q600" t="s">
        <v>36</v>
      </c>
      <c r="R600" t="str" cm="1">
        <f t="array" ref="R600">_xlfn.IFS(Q600="Y","Yes", Q600="Yes","Yes", Q600="N","No", Q600="No","No", Q600=1,"N/A", Q600=0,"N/A", TRUE,"")</f>
        <v>Yes</v>
      </c>
      <c r="S600">
        <f t="shared" si="78"/>
        <v>8</v>
      </c>
      <c r="T600">
        <f t="shared" si="79"/>
        <v>1</v>
      </c>
      <c r="U600" t="str" cm="1">
        <f t="array" ref="U600">_xlfn.IFS(D600&lt;40,"Young Adult",AND(D600&gt;=40,D600&lt;65),"Middle Aged", D600&gt;=65,"Elderly")</f>
        <v>Elderly</v>
      </c>
    </row>
    <row r="601" spans="1:21" x14ac:dyDescent="0.2">
      <c r="A601">
        <v>1075</v>
      </c>
      <c r="B601">
        <f t="shared" si="72"/>
        <v>600</v>
      </c>
      <c r="C601" t="s">
        <v>1775</v>
      </c>
      <c r="D601">
        <v>67</v>
      </c>
      <c r="E601" t="s">
        <v>38</v>
      </c>
      <c r="F601" t="str">
        <f t="shared" si="73"/>
        <v>Female</v>
      </c>
      <c r="G601" s="1">
        <v>45820</v>
      </c>
      <c r="H601" s="1">
        <v>45795</v>
      </c>
      <c r="I601" t="s">
        <v>1776</v>
      </c>
      <c r="J601" t="str">
        <f t="shared" si="74"/>
        <v>Paul Parker</v>
      </c>
      <c r="K601" t="s">
        <v>24</v>
      </c>
      <c r="L601" t="str">
        <f t="shared" si="75"/>
        <v>Neurology</v>
      </c>
      <c r="M601" t="s">
        <v>1777</v>
      </c>
      <c r="N601" t="str">
        <f t="shared" si="76"/>
        <v>USD</v>
      </c>
      <c r="O601">
        <f t="shared" si="77"/>
        <v>161.5</v>
      </c>
      <c r="P601" cm="1">
        <f t="array" ref="P601">_xlfn.IFS(N601="USD",O601*1,N601="GBP",O601*1.27,N601="EUR",O601*1.09,N601="INR",O601*0.012,N601="N/A","N/A")</f>
        <v>161.5</v>
      </c>
      <c r="Q601" t="s">
        <v>30</v>
      </c>
      <c r="R601" t="str" cm="1">
        <f t="array" ref="R601">_xlfn.IFS(Q601="Y","Yes", Q601="Yes","Yes", Q601="N","No", Q601="No","No", Q601=1,"N/A", Q601=0,"N/A", TRUE,"")</f>
        <v>No</v>
      </c>
      <c r="S601">
        <f t="shared" si="78"/>
        <v>11</v>
      </c>
      <c r="T601">
        <f t="shared" si="79"/>
        <v>1</v>
      </c>
      <c r="U601" t="str" cm="1">
        <f t="array" ref="U601">_xlfn.IFS(D601&lt;40,"Young Adult",AND(D601&gt;=40,D601&lt;65),"Middle Aged", D601&gt;=65,"Elderly")</f>
        <v>Elderly</v>
      </c>
    </row>
    <row r="602" spans="1:21" x14ac:dyDescent="0.2">
      <c r="A602">
        <v>1033</v>
      </c>
      <c r="B602">
        <f t="shared" si="72"/>
        <v>601</v>
      </c>
      <c r="C602" t="s">
        <v>1778</v>
      </c>
      <c r="D602">
        <v>38</v>
      </c>
      <c r="E602" t="s">
        <v>2937</v>
      </c>
      <c r="F602" t="str">
        <f t="shared" si="73"/>
        <v>N/A</v>
      </c>
      <c r="G602" s="1">
        <v>45796</v>
      </c>
      <c r="H602" s="1">
        <v>45493</v>
      </c>
      <c r="I602" t="s">
        <v>1779</v>
      </c>
      <c r="J602" t="str">
        <f t="shared" si="74"/>
        <v>Larry Smith</v>
      </c>
      <c r="K602" t="s">
        <v>18</v>
      </c>
      <c r="L602" t="str">
        <f t="shared" si="75"/>
        <v>Orthopedics</v>
      </c>
      <c r="M602" t="s">
        <v>1780</v>
      </c>
      <c r="N602" t="str">
        <f t="shared" si="76"/>
        <v>GBP</v>
      </c>
      <c r="O602">
        <f t="shared" si="77"/>
        <v>68.36</v>
      </c>
      <c r="P602" cm="1">
        <f t="array" ref="P602">_xlfn.IFS(N602="USD",O602*1,N602="GBP",O602*1.27,N602="EUR",O602*1.09,N602="INR",O602*0.012,N602="N/A","N/A")</f>
        <v>86.8172</v>
      </c>
      <c r="Q602">
        <v>0</v>
      </c>
      <c r="R602" t="str" cm="1">
        <f t="array" ref="R602">_xlfn.IFS(Q602="Y","Yes", Q602="Yes","Yes", Q602="N","No", Q602="No","No", Q602=1,"N/A", Q602=0,"N/A", TRUE,"")</f>
        <v>N/A</v>
      </c>
      <c r="S602">
        <f t="shared" si="78"/>
        <v>11</v>
      </c>
      <c r="T602">
        <f t="shared" si="79"/>
        <v>1</v>
      </c>
      <c r="U602" t="str" cm="1">
        <f t="array" ref="U602">_xlfn.IFS(D602&lt;40,"Young Adult",AND(D602&gt;=40,D602&lt;65),"Middle Aged", D602&gt;=65,"Elderly")</f>
        <v>Young Adult</v>
      </c>
    </row>
    <row r="603" spans="1:21" x14ac:dyDescent="0.2">
      <c r="A603">
        <v>1054</v>
      </c>
      <c r="B603">
        <f t="shared" si="72"/>
        <v>602</v>
      </c>
      <c r="C603" t="s">
        <v>1781</v>
      </c>
      <c r="D603">
        <v>82</v>
      </c>
      <c r="E603" t="s">
        <v>71</v>
      </c>
      <c r="F603" t="str">
        <f t="shared" si="73"/>
        <v>Male</v>
      </c>
      <c r="G603" s="1">
        <v>45824</v>
      </c>
      <c r="H603" s="1">
        <v>45383</v>
      </c>
      <c r="I603" t="s">
        <v>1782</v>
      </c>
      <c r="J603" t="str">
        <f t="shared" si="74"/>
        <v>Donna Johnson</v>
      </c>
      <c r="K603" t="s">
        <v>28</v>
      </c>
      <c r="L603" t="str">
        <f t="shared" si="75"/>
        <v>General</v>
      </c>
      <c r="M603" t="s">
        <v>1783</v>
      </c>
      <c r="N603" t="str">
        <f t="shared" si="76"/>
        <v>GBP</v>
      </c>
      <c r="O603">
        <f t="shared" si="77"/>
        <v>332.15</v>
      </c>
      <c r="P603" cm="1">
        <f t="array" ref="P603">_xlfn.IFS(N603="USD",O603*1,N603="GBP",O603*1.27,N603="EUR",O603*1.09,N603="INR",O603*0.012,N603="N/A","N/A")</f>
        <v>421.83049999999997</v>
      </c>
      <c r="Q603" t="s">
        <v>36</v>
      </c>
      <c r="R603" t="str" cm="1">
        <f t="array" ref="R603">_xlfn.IFS(Q603="Y","Yes", Q603="Yes","Yes", Q603="N","No", Q603="No","No", Q603=1,"N/A", Q603=0,"N/A", TRUE,"")</f>
        <v>Yes</v>
      </c>
      <c r="S603">
        <f t="shared" si="78"/>
        <v>12</v>
      </c>
      <c r="T603">
        <f t="shared" si="79"/>
        <v>1</v>
      </c>
      <c r="U603" t="str" cm="1">
        <f t="array" ref="U603">_xlfn.IFS(D603&lt;40,"Young Adult",AND(D603&gt;=40,D603&lt;65),"Middle Aged", D603&gt;=65,"Elderly")</f>
        <v>Elderly</v>
      </c>
    </row>
    <row r="604" spans="1:21" x14ac:dyDescent="0.2">
      <c r="A604">
        <v>1020</v>
      </c>
      <c r="B604">
        <f t="shared" si="72"/>
        <v>603</v>
      </c>
      <c r="C604" t="s">
        <v>1784</v>
      </c>
      <c r="D604">
        <v>53</v>
      </c>
      <c r="E604" t="s">
        <v>71</v>
      </c>
      <c r="F604" t="str">
        <f t="shared" si="73"/>
        <v>Male</v>
      </c>
      <c r="G604" s="1">
        <v>45862</v>
      </c>
      <c r="H604" s="1">
        <v>45691</v>
      </c>
      <c r="I604" t="s">
        <v>1785</v>
      </c>
      <c r="J604" t="str">
        <f t="shared" si="74"/>
        <v>Jessica Chandler</v>
      </c>
      <c r="K604" t="s">
        <v>24</v>
      </c>
      <c r="L604" t="str">
        <f t="shared" si="75"/>
        <v>Neurology</v>
      </c>
      <c r="M604" t="s">
        <v>1786</v>
      </c>
      <c r="N604" t="str">
        <f t="shared" si="76"/>
        <v>GBP</v>
      </c>
      <c r="O604">
        <f t="shared" si="77"/>
        <v>294.14</v>
      </c>
      <c r="P604" cm="1">
        <f t="array" ref="P604">_xlfn.IFS(N604="USD",O604*1,N604="GBP",O604*1.27,N604="EUR",O604*1.09,N604="INR",O604*0.012,N604="N/A","N/A")</f>
        <v>373.55779999999999</v>
      </c>
      <c r="Q604" t="s">
        <v>20</v>
      </c>
      <c r="R604" t="str" cm="1">
        <f t="array" ref="R604">_xlfn.IFS(Q604="Y","Yes", Q604="Yes","Yes", Q604="N","No", Q604="No","No", Q604=1,"N/A", Q604=0,"N/A", TRUE,"")</f>
        <v>Yes</v>
      </c>
      <c r="S604">
        <f t="shared" si="78"/>
        <v>10</v>
      </c>
      <c r="T604">
        <f t="shared" si="79"/>
        <v>1</v>
      </c>
      <c r="U604" t="str" cm="1">
        <f t="array" ref="U604">_xlfn.IFS(D604&lt;40,"Young Adult",AND(D604&gt;=40,D604&lt;65),"Middle Aged", D604&gt;=65,"Elderly")</f>
        <v>Middle Aged</v>
      </c>
    </row>
    <row r="605" spans="1:21" x14ac:dyDescent="0.2">
      <c r="A605">
        <v>1006</v>
      </c>
      <c r="B605">
        <f t="shared" si="72"/>
        <v>604</v>
      </c>
      <c r="C605" t="s">
        <v>1787</v>
      </c>
      <c r="D605">
        <v>33</v>
      </c>
      <c r="E605" t="s">
        <v>2937</v>
      </c>
      <c r="F605" t="str">
        <f t="shared" si="73"/>
        <v>N/A</v>
      </c>
      <c r="G605" s="1">
        <v>45780</v>
      </c>
      <c r="H605" s="1">
        <v>45619</v>
      </c>
      <c r="I605" t="s">
        <v>1788</v>
      </c>
      <c r="J605" t="str">
        <f t="shared" si="74"/>
        <v>Pamela Cunningham</v>
      </c>
      <c r="K605" t="s">
        <v>18</v>
      </c>
      <c r="L605" t="str">
        <f t="shared" si="75"/>
        <v>Orthopedics</v>
      </c>
      <c r="M605" t="s">
        <v>1789</v>
      </c>
      <c r="N605" t="str">
        <f t="shared" si="76"/>
        <v>EUR</v>
      </c>
      <c r="O605">
        <f t="shared" si="77"/>
        <v>202.54</v>
      </c>
      <c r="P605" cm="1">
        <f t="array" ref="P605">_xlfn.IFS(N605="USD",O605*1,N605="GBP",O605*1.27,N605="EUR",O605*1.09,N605="INR",O605*0.012,N605="N/A","N/A")</f>
        <v>220.76860000000002</v>
      </c>
      <c r="Q605">
        <v>0</v>
      </c>
      <c r="R605" t="str" cm="1">
        <f t="array" ref="R605">_xlfn.IFS(Q605="Y","Yes", Q605="Yes","Yes", Q605="N","No", Q605="No","No", Q605=1,"N/A", Q605=0,"N/A", TRUE,"")</f>
        <v>N/A</v>
      </c>
      <c r="S605">
        <f t="shared" si="78"/>
        <v>8</v>
      </c>
      <c r="T605">
        <f t="shared" si="79"/>
        <v>1</v>
      </c>
      <c r="U605" t="str" cm="1">
        <f t="array" ref="U605">_xlfn.IFS(D605&lt;40,"Young Adult",AND(D605&gt;=40,D605&lt;65),"Middle Aged", D605&gt;=65,"Elderly")</f>
        <v>Young Adult</v>
      </c>
    </row>
    <row r="606" spans="1:21" x14ac:dyDescent="0.2">
      <c r="A606">
        <v>1100</v>
      </c>
      <c r="B606">
        <f t="shared" si="72"/>
        <v>605</v>
      </c>
      <c r="C606" t="s">
        <v>1790</v>
      </c>
      <c r="D606">
        <v>60</v>
      </c>
      <c r="E606" t="s">
        <v>71</v>
      </c>
      <c r="F606" t="str">
        <f t="shared" si="73"/>
        <v>Male</v>
      </c>
      <c r="G606" s="1">
        <v>46068</v>
      </c>
      <c r="H606" s="1">
        <v>45396</v>
      </c>
      <c r="I606" t="s">
        <v>1791</v>
      </c>
      <c r="J606" t="str">
        <f t="shared" si="74"/>
        <v>Susan Griffin</v>
      </c>
      <c r="K606" t="s">
        <v>24</v>
      </c>
      <c r="L606" t="str">
        <f t="shared" si="75"/>
        <v>Neurology</v>
      </c>
      <c r="M606" t="s">
        <v>1792</v>
      </c>
      <c r="N606" t="str">
        <f t="shared" si="76"/>
        <v>INR</v>
      </c>
      <c r="O606">
        <f t="shared" si="77"/>
        <v>455.57</v>
      </c>
      <c r="P606" cm="1">
        <f t="array" ref="P606">_xlfn.IFS(N606="USD",O606*1,N606="GBP",O606*1.27,N606="EUR",O606*1.09,N606="INR",O606*0.012,N606="N/A","N/A")</f>
        <v>5.4668400000000004</v>
      </c>
      <c r="Q606" t="s">
        <v>20</v>
      </c>
      <c r="R606" t="str" cm="1">
        <f t="array" ref="R606">_xlfn.IFS(Q606="Y","Yes", Q606="Yes","Yes", Q606="N","No", Q606="No","No", Q606=1,"N/A", Q606=0,"N/A", TRUE,"")</f>
        <v>Yes</v>
      </c>
      <c r="S606">
        <f t="shared" si="78"/>
        <v>8</v>
      </c>
      <c r="T606">
        <f t="shared" si="79"/>
        <v>1</v>
      </c>
      <c r="U606" t="str" cm="1">
        <f t="array" ref="U606">_xlfn.IFS(D606&lt;40,"Young Adult",AND(D606&gt;=40,D606&lt;65),"Middle Aged", D606&gt;=65,"Elderly")</f>
        <v>Middle Aged</v>
      </c>
    </row>
    <row r="607" spans="1:21" x14ac:dyDescent="0.2">
      <c r="A607">
        <v>1061</v>
      </c>
      <c r="B607">
        <f t="shared" si="72"/>
        <v>606</v>
      </c>
      <c r="C607" t="s">
        <v>1793</v>
      </c>
      <c r="D607">
        <v>65</v>
      </c>
      <c r="E607" t="s">
        <v>71</v>
      </c>
      <c r="F607" t="str">
        <f t="shared" si="73"/>
        <v>Male</v>
      </c>
      <c r="G607" s="1">
        <v>45970</v>
      </c>
      <c r="H607" s="1">
        <v>45612</v>
      </c>
      <c r="I607" t="s">
        <v>1794</v>
      </c>
      <c r="J607" t="str">
        <f t="shared" si="74"/>
        <v>Thomas Williams</v>
      </c>
      <c r="K607" t="s">
        <v>24</v>
      </c>
      <c r="L607" t="str">
        <f t="shared" si="75"/>
        <v>Neurology</v>
      </c>
      <c r="M607" t="s">
        <v>1795</v>
      </c>
      <c r="N607" t="str">
        <f t="shared" si="76"/>
        <v>GBP</v>
      </c>
      <c r="O607">
        <f t="shared" si="77"/>
        <v>378.58</v>
      </c>
      <c r="P607" cm="1">
        <f t="array" ref="P607">_xlfn.IFS(N607="USD",O607*1,N607="GBP",O607*1.27,N607="EUR",O607*1.09,N607="INR",O607*0.012,N607="N/A","N/A")</f>
        <v>480.79660000000001</v>
      </c>
      <c r="Q607" t="s">
        <v>60</v>
      </c>
      <c r="R607" t="str" cm="1">
        <f t="array" ref="R607">_xlfn.IFS(Q607="Y","Yes", Q607="Yes","Yes", Q607="N","No", Q607="No","No", Q607=1,"N/A", Q607=0,"N/A", TRUE,"")</f>
        <v>No</v>
      </c>
      <c r="S607">
        <f t="shared" si="78"/>
        <v>8</v>
      </c>
      <c r="T607">
        <f t="shared" si="79"/>
        <v>1</v>
      </c>
      <c r="U607" t="str" cm="1">
        <f t="array" ref="U607">_xlfn.IFS(D607&lt;40,"Young Adult",AND(D607&gt;=40,D607&lt;65),"Middle Aged", D607&gt;=65,"Elderly")</f>
        <v>Elderly</v>
      </c>
    </row>
    <row r="608" spans="1:21" x14ac:dyDescent="0.2">
      <c r="A608">
        <v>1040</v>
      </c>
      <c r="B608">
        <f t="shared" si="72"/>
        <v>607</v>
      </c>
      <c r="C608" t="s">
        <v>1580</v>
      </c>
      <c r="D608">
        <v>49</v>
      </c>
      <c r="E608" t="s">
        <v>16</v>
      </c>
      <c r="F608" t="str">
        <f t="shared" si="73"/>
        <v>Female</v>
      </c>
      <c r="G608" s="1">
        <v>45829</v>
      </c>
      <c r="H608" s="1">
        <v>45573</v>
      </c>
      <c r="I608" t="s">
        <v>1796</v>
      </c>
      <c r="J608" t="str">
        <f t="shared" si="74"/>
        <v>Corey King</v>
      </c>
      <c r="K608" t="s">
        <v>28</v>
      </c>
      <c r="L608" t="str">
        <f t="shared" si="75"/>
        <v>General</v>
      </c>
      <c r="M608" t="s">
        <v>1797</v>
      </c>
      <c r="N608" t="str">
        <f t="shared" si="76"/>
        <v>GBP</v>
      </c>
      <c r="O608">
        <f t="shared" si="77"/>
        <v>110.44</v>
      </c>
      <c r="P608" cm="1">
        <f t="array" ref="P608">_xlfn.IFS(N608="USD",O608*1,N608="GBP",O608*1.27,N608="EUR",O608*1.09,N608="INR",O608*0.012,N608="N/A","N/A")</f>
        <v>140.25880000000001</v>
      </c>
      <c r="Q608" t="s">
        <v>60</v>
      </c>
      <c r="R608" t="str" cm="1">
        <f t="array" ref="R608">_xlfn.IFS(Q608="Y","Yes", Q608="Yes","Yes", Q608="N","No", Q608="No","No", Q608=1,"N/A", Q608=0,"N/A", TRUE,"")</f>
        <v>No</v>
      </c>
      <c r="S608">
        <f t="shared" si="78"/>
        <v>13</v>
      </c>
      <c r="T608">
        <f t="shared" si="79"/>
        <v>1</v>
      </c>
      <c r="U608" t="str" cm="1">
        <f t="array" ref="U608">_xlfn.IFS(D608&lt;40,"Young Adult",AND(D608&gt;=40,D608&lt;65),"Middle Aged", D608&gt;=65,"Elderly")</f>
        <v>Middle Aged</v>
      </c>
    </row>
    <row r="609" spans="1:21" x14ac:dyDescent="0.2">
      <c r="A609">
        <v>1010</v>
      </c>
      <c r="B609">
        <f t="shared" si="72"/>
        <v>608</v>
      </c>
      <c r="C609" t="s">
        <v>1798</v>
      </c>
      <c r="D609">
        <v>23</v>
      </c>
      <c r="E609" t="s">
        <v>38</v>
      </c>
      <c r="F609" t="str">
        <f t="shared" si="73"/>
        <v>Female</v>
      </c>
      <c r="G609" s="1">
        <v>45759</v>
      </c>
      <c r="H609" s="1">
        <v>45548</v>
      </c>
      <c r="I609" t="s">
        <v>1799</v>
      </c>
      <c r="J609" t="str">
        <f t="shared" si="74"/>
        <v>Amy Baxter</v>
      </c>
      <c r="K609" t="s">
        <v>13</v>
      </c>
      <c r="L609" t="str">
        <f t="shared" si="75"/>
        <v>Cardiology</v>
      </c>
      <c r="M609" t="s">
        <v>1800</v>
      </c>
      <c r="N609" t="str">
        <f t="shared" si="76"/>
        <v>GBP</v>
      </c>
      <c r="O609">
        <f t="shared" si="77"/>
        <v>274.12</v>
      </c>
      <c r="P609" cm="1">
        <f t="array" ref="P609">_xlfn.IFS(N609="USD",O609*1,N609="GBP",O609*1.27,N609="EUR",O609*1.09,N609="INR",O609*0.012,N609="N/A","N/A")</f>
        <v>348.13240000000002</v>
      </c>
      <c r="Q609">
        <v>0</v>
      </c>
      <c r="R609" t="str" cm="1">
        <f t="array" ref="R609">_xlfn.IFS(Q609="Y","Yes", Q609="Yes","Yes", Q609="N","No", Q609="No","No", Q609=1,"N/A", Q609=0,"N/A", TRUE,"")</f>
        <v>N/A</v>
      </c>
      <c r="S609">
        <f t="shared" si="78"/>
        <v>10</v>
      </c>
      <c r="T609">
        <f t="shared" si="79"/>
        <v>1</v>
      </c>
      <c r="U609" t="str" cm="1">
        <f t="array" ref="U609">_xlfn.IFS(D609&lt;40,"Young Adult",AND(D609&gt;=40,D609&lt;65),"Middle Aged", D609&gt;=65,"Elderly")</f>
        <v>Young Adult</v>
      </c>
    </row>
    <row r="610" spans="1:21" x14ac:dyDescent="0.2">
      <c r="A610">
        <v>1030</v>
      </c>
      <c r="B610">
        <f t="shared" si="72"/>
        <v>609</v>
      </c>
      <c r="C610" t="s">
        <v>1801</v>
      </c>
      <c r="D610">
        <v>69</v>
      </c>
      <c r="E610" t="s">
        <v>71</v>
      </c>
      <c r="F610" t="str">
        <f t="shared" si="73"/>
        <v>Male</v>
      </c>
      <c r="G610" s="1">
        <v>46024</v>
      </c>
      <c r="H610" s="1">
        <v>45558</v>
      </c>
      <c r="I610" t="s">
        <v>1802</v>
      </c>
      <c r="J610" t="str">
        <f t="shared" si="74"/>
        <v>Deborah Vasquez</v>
      </c>
      <c r="K610" t="s">
        <v>24</v>
      </c>
      <c r="L610" t="str">
        <f t="shared" si="75"/>
        <v>Neurology</v>
      </c>
      <c r="M610" t="s">
        <v>1803</v>
      </c>
      <c r="N610" t="str">
        <f t="shared" si="76"/>
        <v>INR</v>
      </c>
      <c r="O610">
        <f t="shared" si="77"/>
        <v>224.83</v>
      </c>
      <c r="P610" cm="1">
        <f t="array" ref="P610">_xlfn.IFS(N610="USD",O610*1,N610="GBP",O610*1.27,N610="EUR",O610*1.09,N610="INR",O610*0.012,N610="N/A","N/A")</f>
        <v>2.6979600000000001</v>
      </c>
      <c r="Q610" t="s">
        <v>20</v>
      </c>
      <c r="R610" t="str" cm="1">
        <f t="array" ref="R610">_xlfn.IFS(Q610="Y","Yes", Q610="Yes","Yes", Q610="N","No", Q610="No","No", Q610=1,"N/A", Q610=0,"N/A", TRUE,"")</f>
        <v>Yes</v>
      </c>
      <c r="S610">
        <f t="shared" si="78"/>
        <v>11</v>
      </c>
      <c r="T610">
        <f t="shared" si="79"/>
        <v>1</v>
      </c>
      <c r="U610" t="str" cm="1">
        <f t="array" ref="U610">_xlfn.IFS(D610&lt;40,"Young Adult",AND(D610&gt;=40,D610&lt;65),"Middle Aged", D610&gt;=65,"Elderly")</f>
        <v>Elderly</v>
      </c>
    </row>
    <row r="611" spans="1:21" x14ac:dyDescent="0.2">
      <c r="A611">
        <v>1093</v>
      </c>
      <c r="B611">
        <f t="shared" si="72"/>
        <v>610</v>
      </c>
      <c r="C611" t="s">
        <v>1804</v>
      </c>
      <c r="D611">
        <v>72</v>
      </c>
      <c r="E611" t="s">
        <v>71</v>
      </c>
      <c r="F611" t="str">
        <f t="shared" si="73"/>
        <v>Male</v>
      </c>
      <c r="G611" s="1">
        <v>45828</v>
      </c>
      <c r="H611" s="1">
        <v>45553</v>
      </c>
      <c r="I611" t="s">
        <v>1805</v>
      </c>
      <c r="J611" t="str">
        <f t="shared" si="74"/>
        <v>Jessica Garcia</v>
      </c>
      <c r="K611" t="s">
        <v>28</v>
      </c>
      <c r="L611" t="str">
        <f t="shared" si="75"/>
        <v>General</v>
      </c>
      <c r="M611" t="s">
        <v>1806</v>
      </c>
      <c r="N611" t="str">
        <f t="shared" si="76"/>
        <v>USD</v>
      </c>
      <c r="O611">
        <f t="shared" si="77"/>
        <v>194.55</v>
      </c>
      <c r="P611" cm="1">
        <f t="array" ref="P611">_xlfn.IFS(N611="USD",O611*1,N611="GBP",O611*1.27,N611="EUR",O611*1.09,N611="INR",O611*0.012,N611="N/A","N/A")</f>
        <v>194.55</v>
      </c>
      <c r="Q611" t="s">
        <v>20</v>
      </c>
      <c r="R611" t="str" cm="1">
        <f t="array" ref="R611">_xlfn.IFS(Q611="Y","Yes", Q611="Yes","Yes", Q611="N","No", Q611="No","No", Q611=1,"N/A", Q611=0,"N/A", TRUE,"")</f>
        <v>Yes</v>
      </c>
      <c r="S611">
        <f t="shared" si="78"/>
        <v>11</v>
      </c>
      <c r="T611">
        <f t="shared" si="79"/>
        <v>1</v>
      </c>
      <c r="U611" t="str" cm="1">
        <f t="array" ref="U611">_xlfn.IFS(D611&lt;40,"Young Adult",AND(D611&gt;=40,D611&lt;65),"Middle Aged", D611&gt;=65,"Elderly")</f>
        <v>Elderly</v>
      </c>
    </row>
    <row r="612" spans="1:21" x14ac:dyDescent="0.2">
      <c r="A612">
        <v>1008</v>
      </c>
      <c r="B612">
        <f t="shared" si="72"/>
        <v>611</v>
      </c>
      <c r="C612" t="s">
        <v>1807</v>
      </c>
      <c r="D612">
        <v>82</v>
      </c>
      <c r="E612" t="s">
        <v>51</v>
      </c>
      <c r="F612" t="str">
        <f t="shared" si="73"/>
        <v>Male</v>
      </c>
      <c r="G612" s="1">
        <v>46084</v>
      </c>
      <c r="H612" s="1">
        <v>45599</v>
      </c>
      <c r="I612" t="s">
        <v>1808</v>
      </c>
      <c r="J612" t="str">
        <f t="shared" si="74"/>
        <v>Christian Chapman</v>
      </c>
      <c r="K612" t="s">
        <v>13</v>
      </c>
      <c r="L612" t="str">
        <f t="shared" si="75"/>
        <v>Cardiology</v>
      </c>
      <c r="M612" t="s">
        <v>1809</v>
      </c>
      <c r="N612" t="str">
        <f t="shared" si="76"/>
        <v>EUR</v>
      </c>
      <c r="O612">
        <f t="shared" si="77"/>
        <v>207.23</v>
      </c>
      <c r="P612" cm="1">
        <f t="array" ref="P612">_xlfn.IFS(N612="USD",O612*1,N612="GBP",O612*1.27,N612="EUR",O612*1.09,N612="INR",O612*0.012,N612="N/A","N/A")</f>
        <v>225.88070000000002</v>
      </c>
      <c r="Q612">
        <v>0</v>
      </c>
      <c r="R612" t="str" cm="1">
        <f t="array" ref="R612">_xlfn.IFS(Q612="Y","Yes", Q612="Yes","Yes", Q612="N","No", Q612="No","No", Q612=1,"N/A", Q612=0,"N/A", TRUE,"")</f>
        <v>N/A</v>
      </c>
      <c r="S612">
        <f t="shared" si="78"/>
        <v>11</v>
      </c>
      <c r="T612">
        <f t="shared" si="79"/>
        <v>1</v>
      </c>
      <c r="U612" t="str" cm="1">
        <f t="array" ref="U612">_xlfn.IFS(D612&lt;40,"Young Adult",AND(D612&gt;=40,D612&lt;65),"Middle Aged", D612&gt;=65,"Elderly")</f>
        <v>Elderly</v>
      </c>
    </row>
    <row r="613" spans="1:21" x14ac:dyDescent="0.2">
      <c r="A613">
        <v>1087</v>
      </c>
      <c r="B613">
        <f t="shared" si="72"/>
        <v>612</v>
      </c>
      <c r="C613" t="s">
        <v>1810</v>
      </c>
      <c r="D613">
        <v>69</v>
      </c>
      <c r="E613" t="s">
        <v>38</v>
      </c>
      <c r="F613" t="str">
        <f t="shared" si="73"/>
        <v>Female</v>
      </c>
      <c r="G613" s="1">
        <v>45932</v>
      </c>
      <c r="H613" s="1">
        <v>45711</v>
      </c>
      <c r="I613" t="s">
        <v>1811</v>
      </c>
      <c r="J613" t="str">
        <f t="shared" si="74"/>
        <v>Mike Miller</v>
      </c>
      <c r="K613" t="s">
        <v>13</v>
      </c>
      <c r="L613" t="str">
        <f t="shared" si="75"/>
        <v>Cardiology</v>
      </c>
      <c r="M613" t="s">
        <v>1812</v>
      </c>
      <c r="N613" t="str">
        <f t="shared" si="76"/>
        <v>EUR</v>
      </c>
      <c r="O613">
        <f t="shared" si="77"/>
        <v>464.96</v>
      </c>
      <c r="P613" cm="1">
        <f t="array" ref="P613">_xlfn.IFS(N613="USD",O613*1,N613="GBP",O613*1.27,N613="EUR",O613*1.09,N613="INR",O613*0.012,N613="N/A","N/A")</f>
        <v>506.8064</v>
      </c>
      <c r="Q613" t="s">
        <v>20</v>
      </c>
      <c r="R613" t="str" cm="1">
        <f t="array" ref="R613">_xlfn.IFS(Q613="Y","Yes", Q613="Yes","Yes", Q613="N","No", Q613="No","No", Q613=1,"N/A", Q613=0,"N/A", TRUE,"")</f>
        <v>Yes</v>
      </c>
      <c r="S613">
        <f t="shared" si="78"/>
        <v>8</v>
      </c>
      <c r="T613">
        <f t="shared" si="79"/>
        <v>1</v>
      </c>
      <c r="U613" t="str" cm="1">
        <f t="array" ref="U613">_xlfn.IFS(D613&lt;40,"Young Adult",AND(D613&gt;=40,D613&lt;65),"Middle Aged", D613&gt;=65,"Elderly")</f>
        <v>Elderly</v>
      </c>
    </row>
    <row r="614" spans="1:21" x14ac:dyDescent="0.2">
      <c r="A614">
        <v>1008</v>
      </c>
      <c r="B614">
        <f t="shared" si="72"/>
        <v>613</v>
      </c>
      <c r="C614" t="s">
        <v>1813</v>
      </c>
      <c r="D614">
        <v>30</v>
      </c>
      <c r="E614" t="s">
        <v>22</v>
      </c>
      <c r="F614" t="str">
        <f t="shared" si="73"/>
        <v>Male</v>
      </c>
      <c r="G614" s="1">
        <v>46074</v>
      </c>
      <c r="H614" s="1">
        <v>45800</v>
      </c>
      <c r="I614" t="s">
        <v>1814</v>
      </c>
      <c r="J614" t="str">
        <f t="shared" si="74"/>
        <v>Felicia Smith</v>
      </c>
      <c r="K614" t="s">
        <v>13</v>
      </c>
      <c r="L614" t="str">
        <f t="shared" si="75"/>
        <v>Cardiology</v>
      </c>
      <c r="M614" t="s">
        <v>1815</v>
      </c>
      <c r="N614" t="str">
        <f t="shared" si="76"/>
        <v>GBP</v>
      </c>
      <c r="O614">
        <f t="shared" si="77"/>
        <v>316.64</v>
      </c>
      <c r="P614" cm="1">
        <f t="array" ref="P614">_xlfn.IFS(N614="USD",O614*1,N614="GBP",O614*1.27,N614="EUR",O614*1.09,N614="INR",O614*0.012,N614="N/A","N/A")</f>
        <v>402.13279999999997</v>
      </c>
      <c r="Q614" t="s">
        <v>20</v>
      </c>
      <c r="R614" t="str" cm="1">
        <f t="array" ref="R614">_xlfn.IFS(Q614="Y","Yes", Q614="Yes","Yes", Q614="N","No", Q614="No","No", Q614=1,"N/A", Q614=0,"N/A", TRUE,"")</f>
        <v>Yes</v>
      </c>
      <c r="S614">
        <f t="shared" si="78"/>
        <v>11</v>
      </c>
      <c r="T614">
        <f t="shared" si="79"/>
        <v>1</v>
      </c>
      <c r="U614" t="str" cm="1">
        <f t="array" ref="U614">_xlfn.IFS(D614&lt;40,"Young Adult",AND(D614&gt;=40,D614&lt;65),"Middle Aged", D614&gt;=65,"Elderly")</f>
        <v>Young Adult</v>
      </c>
    </row>
    <row r="615" spans="1:21" x14ac:dyDescent="0.2">
      <c r="A615">
        <v>1090</v>
      </c>
      <c r="B615">
        <f t="shared" si="72"/>
        <v>614</v>
      </c>
      <c r="C615" t="s">
        <v>1816</v>
      </c>
      <c r="D615">
        <v>30</v>
      </c>
      <c r="E615" t="s">
        <v>38</v>
      </c>
      <c r="F615" t="str">
        <f t="shared" si="73"/>
        <v>Female</v>
      </c>
      <c r="G615" s="1">
        <v>45801</v>
      </c>
      <c r="H615" s="1">
        <v>45478</v>
      </c>
      <c r="I615" t="s">
        <v>1817</v>
      </c>
      <c r="J615" t="str">
        <f t="shared" si="74"/>
        <v>Amber Baxter</v>
      </c>
      <c r="K615" t="s">
        <v>24</v>
      </c>
      <c r="L615" t="str">
        <f t="shared" si="75"/>
        <v>Neurology</v>
      </c>
      <c r="M615" t="s">
        <v>1818</v>
      </c>
      <c r="N615" t="str">
        <f t="shared" si="76"/>
        <v>INR</v>
      </c>
      <c r="O615">
        <f t="shared" si="77"/>
        <v>139.49</v>
      </c>
      <c r="P615" cm="1">
        <f t="array" ref="P615">_xlfn.IFS(N615="USD",O615*1,N615="GBP",O615*1.27,N615="EUR",O615*1.09,N615="INR",O615*0.012,N615="N/A","N/A")</f>
        <v>1.67388</v>
      </c>
      <c r="Q615">
        <v>1</v>
      </c>
      <c r="R615" t="str" cm="1">
        <f t="array" ref="R615">_xlfn.IFS(Q615="Y","Yes", Q615="Yes","Yes", Q615="N","No", Q615="No","No", Q615=1,"N/A", Q615=0,"N/A", TRUE,"")</f>
        <v>N/A</v>
      </c>
      <c r="S615">
        <f t="shared" si="78"/>
        <v>8</v>
      </c>
      <c r="T615">
        <f t="shared" si="79"/>
        <v>1</v>
      </c>
      <c r="U615" t="str" cm="1">
        <f t="array" ref="U615">_xlfn.IFS(D615&lt;40,"Young Adult",AND(D615&gt;=40,D615&lt;65),"Middle Aged", D615&gt;=65,"Elderly")</f>
        <v>Young Adult</v>
      </c>
    </row>
    <row r="616" spans="1:21" x14ac:dyDescent="0.2">
      <c r="A616">
        <v>1047</v>
      </c>
      <c r="B616">
        <f t="shared" si="72"/>
        <v>615</v>
      </c>
      <c r="C616" t="s">
        <v>1819</v>
      </c>
      <c r="D616">
        <v>39</v>
      </c>
      <c r="E616" t="s">
        <v>2937</v>
      </c>
      <c r="F616" t="str">
        <f t="shared" si="73"/>
        <v>N/A</v>
      </c>
      <c r="G616" s="1">
        <v>46107</v>
      </c>
      <c r="H616" s="1">
        <v>45893</v>
      </c>
      <c r="I616" t="s">
        <v>1820</v>
      </c>
      <c r="J616" t="str">
        <f t="shared" si="74"/>
        <v>Heather Garcia</v>
      </c>
      <c r="K616" t="s">
        <v>24</v>
      </c>
      <c r="L616" t="str">
        <f t="shared" si="75"/>
        <v>Neurology</v>
      </c>
      <c r="M616" t="s">
        <v>1821</v>
      </c>
      <c r="N616" t="str">
        <f t="shared" si="76"/>
        <v>EUR</v>
      </c>
      <c r="O616">
        <f t="shared" si="77"/>
        <v>447.23</v>
      </c>
      <c r="P616" cm="1">
        <f t="array" ref="P616">_xlfn.IFS(N616="USD",O616*1,N616="GBP",O616*1.27,N616="EUR",O616*1.09,N616="INR",O616*0.012,N616="N/A","N/A")</f>
        <v>487.48070000000007</v>
      </c>
      <c r="Q616" t="s">
        <v>30</v>
      </c>
      <c r="R616" t="str" cm="1">
        <f t="array" ref="R616">_xlfn.IFS(Q616="Y","Yes", Q616="Yes","Yes", Q616="N","No", Q616="No","No", Q616=1,"N/A", Q616=0,"N/A", TRUE,"")</f>
        <v>No</v>
      </c>
      <c r="S616">
        <f t="shared" si="78"/>
        <v>17</v>
      </c>
      <c r="T616">
        <f t="shared" si="79"/>
        <v>1</v>
      </c>
      <c r="U616" t="str" cm="1">
        <f t="array" ref="U616">_xlfn.IFS(D616&lt;40,"Young Adult",AND(D616&gt;=40,D616&lt;65),"Middle Aged", D616&gt;=65,"Elderly")</f>
        <v>Young Adult</v>
      </c>
    </row>
    <row r="617" spans="1:21" x14ac:dyDescent="0.2">
      <c r="A617">
        <v>1077</v>
      </c>
      <c r="B617">
        <f t="shared" si="72"/>
        <v>616</v>
      </c>
      <c r="C617" t="s">
        <v>1822</v>
      </c>
      <c r="D617">
        <v>78</v>
      </c>
      <c r="E617" t="s">
        <v>2937</v>
      </c>
      <c r="F617" t="str">
        <f t="shared" si="73"/>
        <v>N/A</v>
      </c>
      <c r="G617" s="1">
        <v>46010</v>
      </c>
      <c r="H617" s="1">
        <v>45915</v>
      </c>
      <c r="I617" t="s">
        <v>1823</v>
      </c>
      <c r="J617" t="str">
        <f t="shared" si="74"/>
        <v>Antonio Galloway</v>
      </c>
      <c r="K617" t="s">
        <v>18</v>
      </c>
      <c r="L617" t="str">
        <f t="shared" si="75"/>
        <v>Orthopedics</v>
      </c>
      <c r="M617" t="s">
        <v>1824</v>
      </c>
      <c r="N617" t="str">
        <f t="shared" si="76"/>
        <v>EUR</v>
      </c>
      <c r="O617">
        <f t="shared" si="77"/>
        <v>320.38</v>
      </c>
      <c r="P617" cm="1">
        <f t="array" ref="P617">_xlfn.IFS(N617="USD",O617*1,N617="GBP",O617*1.27,N617="EUR",O617*1.09,N617="INR",O617*0.012,N617="N/A","N/A")</f>
        <v>349.21420000000001</v>
      </c>
      <c r="Q617">
        <v>1</v>
      </c>
      <c r="R617" t="str" cm="1">
        <f t="array" ref="R617">_xlfn.IFS(Q617="Y","Yes", Q617="Yes","Yes", Q617="N","No", Q617="No","No", Q617=1,"N/A", Q617=0,"N/A", TRUE,"")</f>
        <v>N/A</v>
      </c>
      <c r="S617">
        <f t="shared" si="78"/>
        <v>10</v>
      </c>
      <c r="T617">
        <f t="shared" si="79"/>
        <v>1</v>
      </c>
      <c r="U617" t="str" cm="1">
        <f t="array" ref="U617">_xlfn.IFS(D617&lt;40,"Young Adult",AND(D617&gt;=40,D617&lt;65),"Middle Aged", D617&gt;=65,"Elderly")</f>
        <v>Elderly</v>
      </c>
    </row>
    <row r="618" spans="1:21" x14ac:dyDescent="0.2">
      <c r="A618">
        <v>1055</v>
      </c>
      <c r="B618">
        <f t="shared" si="72"/>
        <v>617</v>
      </c>
      <c r="C618" t="s">
        <v>1825</v>
      </c>
      <c r="D618">
        <v>70</v>
      </c>
      <c r="E618" t="s">
        <v>38</v>
      </c>
      <c r="F618" t="str">
        <f t="shared" si="73"/>
        <v>Female</v>
      </c>
      <c r="G618" s="1">
        <v>45895</v>
      </c>
      <c r="H618" s="1">
        <v>45645</v>
      </c>
      <c r="I618" t="s">
        <v>1826</v>
      </c>
      <c r="J618" t="str">
        <f t="shared" si="74"/>
        <v>David Colon</v>
      </c>
      <c r="K618" t="s">
        <v>18</v>
      </c>
      <c r="L618" t="str">
        <f t="shared" si="75"/>
        <v>Orthopedics</v>
      </c>
      <c r="M618" t="s">
        <v>1827</v>
      </c>
      <c r="N618" t="str">
        <f t="shared" si="76"/>
        <v>USD</v>
      </c>
      <c r="O618">
        <f t="shared" si="77"/>
        <v>212.66</v>
      </c>
      <c r="P618" cm="1">
        <f t="array" ref="P618">_xlfn.IFS(N618="USD",O618*1,N618="GBP",O618*1.27,N618="EUR",O618*1.09,N618="INR",O618*0.012,N618="N/A","N/A")</f>
        <v>212.66</v>
      </c>
      <c r="Q618">
        <v>0</v>
      </c>
      <c r="R618" t="str" cm="1">
        <f t="array" ref="R618">_xlfn.IFS(Q618="Y","Yes", Q618="Yes","Yes", Q618="N","No", Q618="No","No", Q618=1,"N/A", Q618=0,"N/A", TRUE,"")</f>
        <v>N/A</v>
      </c>
      <c r="S618">
        <f t="shared" si="78"/>
        <v>5</v>
      </c>
      <c r="T618">
        <f t="shared" si="79"/>
        <v>1</v>
      </c>
      <c r="U618" t="str" cm="1">
        <f t="array" ref="U618">_xlfn.IFS(D618&lt;40,"Young Adult",AND(D618&gt;=40,D618&lt;65),"Middle Aged", D618&gt;=65,"Elderly")</f>
        <v>Elderly</v>
      </c>
    </row>
    <row r="619" spans="1:21" x14ac:dyDescent="0.2">
      <c r="A619">
        <v>1073</v>
      </c>
      <c r="B619">
        <f t="shared" si="72"/>
        <v>618</v>
      </c>
      <c r="C619" t="s">
        <v>1828</v>
      </c>
      <c r="D619">
        <v>50</v>
      </c>
      <c r="E619" t="s">
        <v>2937</v>
      </c>
      <c r="F619" t="str">
        <f t="shared" si="73"/>
        <v>N/A</v>
      </c>
      <c r="G619" s="1">
        <v>46041</v>
      </c>
      <c r="H619" s="1">
        <v>45383</v>
      </c>
      <c r="I619" t="s">
        <v>1829</v>
      </c>
      <c r="J619" t="str">
        <f t="shared" si="74"/>
        <v>Michael Jones</v>
      </c>
      <c r="K619" t="s">
        <v>24</v>
      </c>
      <c r="L619" t="str">
        <f t="shared" si="75"/>
        <v>Neurology</v>
      </c>
      <c r="M619" t="s">
        <v>1830</v>
      </c>
      <c r="N619" t="str">
        <f t="shared" si="76"/>
        <v>INR</v>
      </c>
      <c r="O619">
        <f t="shared" si="77"/>
        <v>390.86</v>
      </c>
      <c r="P619" cm="1">
        <f t="array" ref="P619">_xlfn.IFS(N619="USD",O619*1,N619="GBP",O619*1.27,N619="EUR",O619*1.09,N619="INR",O619*0.012,N619="N/A","N/A")</f>
        <v>4.6903199999999998</v>
      </c>
      <c r="Q619">
        <v>0</v>
      </c>
      <c r="R619" t="str" cm="1">
        <f t="array" ref="R619">_xlfn.IFS(Q619="Y","Yes", Q619="Yes","Yes", Q619="N","No", Q619="No","No", Q619=1,"N/A", Q619=0,"N/A", TRUE,"")</f>
        <v>N/A</v>
      </c>
      <c r="S619">
        <f t="shared" si="78"/>
        <v>11</v>
      </c>
      <c r="T619">
        <f t="shared" si="79"/>
        <v>1</v>
      </c>
      <c r="U619" t="str" cm="1">
        <f t="array" ref="U619">_xlfn.IFS(D619&lt;40,"Young Adult",AND(D619&gt;=40,D619&lt;65),"Middle Aged", D619&gt;=65,"Elderly")</f>
        <v>Middle Aged</v>
      </c>
    </row>
    <row r="620" spans="1:21" x14ac:dyDescent="0.2">
      <c r="A620">
        <v>1016</v>
      </c>
      <c r="B620">
        <f t="shared" si="72"/>
        <v>619</v>
      </c>
      <c r="C620" t="s">
        <v>1831</v>
      </c>
      <c r="D620">
        <v>40</v>
      </c>
      <c r="E620" t="s">
        <v>2937</v>
      </c>
      <c r="F620" t="str">
        <f t="shared" si="73"/>
        <v>N/A</v>
      </c>
      <c r="G620" s="1">
        <v>45807</v>
      </c>
      <c r="H620" s="1">
        <v>45800</v>
      </c>
      <c r="I620" t="s">
        <v>1832</v>
      </c>
      <c r="J620" t="str">
        <f t="shared" si="74"/>
        <v>Yvonne Richardson</v>
      </c>
      <c r="K620" t="s">
        <v>18</v>
      </c>
      <c r="L620" t="str">
        <f t="shared" si="75"/>
        <v>Orthopedics</v>
      </c>
      <c r="M620" t="s">
        <v>1833</v>
      </c>
      <c r="N620" t="str">
        <f t="shared" si="76"/>
        <v>USD</v>
      </c>
      <c r="O620">
        <f t="shared" si="77"/>
        <v>136.22999999999999</v>
      </c>
      <c r="P620" cm="1">
        <f t="array" ref="P620">_xlfn.IFS(N620="USD",O620*1,N620="GBP",O620*1.27,N620="EUR",O620*1.09,N620="INR",O620*0.012,N620="N/A","N/A")</f>
        <v>136.22999999999999</v>
      </c>
      <c r="Q620">
        <v>1</v>
      </c>
      <c r="R620" t="str" cm="1">
        <f t="array" ref="R620">_xlfn.IFS(Q620="Y","Yes", Q620="Yes","Yes", Q620="N","No", Q620="No","No", Q620=1,"N/A", Q620=0,"N/A", TRUE,"")</f>
        <v>N/A</v>
      </c>
      <c r="S620">
        <f t="shared" si="78"/>
        <v>15</v>
      </c>
      <c r="T620">
        <f t="shared" si="79"/>
        <v>1</v>
      </c>
      <c r="U620" t="str" cm="1">
        <f t="array" ref="U620">_xlfn.IFS(D620&lt;40,"Young Adult",AND(D620&gt;=40,D620&lt;65),"Middle Aged", D620&gt;=65,"Elderly")</f>
        <v>Middle Aged</v>
      </c>
    </row>
    <row r="621" spans="1:21" x14ac:dyDescent="0.2">
      <c r="A621">
        <v>1018</v>
      </c>
      <c r="B621">
        <f t="shared" si="72"/>
        <v>620</v>
      </c>
      <c r="C621" t="s">
        <v>1834</v>
      </c>
      <c r="D621">
        <v>56</v>
      </c>
      <c r="E621" t="s">
        <v>38</v>
      </c>
      <c r="F621" t="str">
        <f t="shared" si="73"/>
        <v>Female</v>
      </c>
      <c r="G621" s="1">
        <v>46081</v>
      </c>
      <c r="H621" s="1">
        <v>45696</v>
      </c>
      <c r="I621" t="s">
        <v>1835</v>
      </c>
      <c r="J621" t="str">
        <f t="shared" si="74"/>
        <v>Robert Foster</v>
      </c>
      <c r="K621" t="s">
        <v>13</v>
      </c>
      <c r="L621" t="str">
        <f t="shared" si="75"/>
        <v>Cardiology</v>
      </c>
      <c r="M621" t="s">
        <v>1836</v>
      </c>
      <c r="N621" t="str">
        <f t="shared" si="76"/>
        <v>INR</v>
      </c>
      <c r="O621">
        <f t="shared" si="77"/>
        <v>68.8</v>
      </c>
      <c r="P621" cm="1">
        <f t="array" ref="P621">_xlfn.IFS(N621="USD",O621*1,N621="GBP",O621*1.27,N621="EUR",O621*1.09,N621="INR",O621*0.012,N621="N/A","N/A")</f>
        <v>0.8256</v>
      </c>
      <c r="Q621">
        <v>1</v>
      </c>
      <c r="R621" t="str" cm="1">
        <f t="array" ref="R621">_xlfn.IFS(Q621="Y","Yes", Q621="Yes","Yes", Q621="N","No", Q621="No","No", Q621=1,"N/A", Q621=0,"N/A", TRUE,"")</f>
        <v>N/A</v>
      </c>
      <c r="S621">
        <f t="shared" si="78"/>
        <v>14</v>
      </c>
      <c r="T621">
        <f t="shared" si="79"/>
        <v>1</v>
      </c>
      <c r="U621" t="str" cm="1">
        <f t="array" ref="U621">_xlfn.IFS(D621&lt;40,"Young Adult",AND(D621&gt;=40,D621&lt;65),"Middle Aged", D621&gt;=65,"Elderly")</f>
        <v>Middle Aged</v>
      </c>
    </row>
    <row r="622" spans="1:21" x14ac:dyDescent="0.2">
      <c r="A622">
        <v>1035</v>
      </c>
      <c r="B622">
        <f t="shared" si="72"/>
        <v>621</v>
      </c>
      <c r="C622" t="s">
        <v>1837</v>
      </c>
      <c r="D622">
        <v>90</v>
      </c>
      <c r="E622" t="s">
        <v>2937</v>
      </c>
      <c r="F622" t="str">
        <f t="shared" si="73"/>
        <v>N/A</v>
      </c>
      <c r="G622" s="1">
        <v>45876</v>
      </c>
      <c r="H622" s="1">
        <v>45649</v>
      </c>
      <c r="I622" t="s">
        <v>1838</v>
      </c>
      <c r="J622" t="str">
        <f t="shared" si="74"/>
        <v>Leslie Gomez</v>
      </c>
      <c r="K622" t="s">
        <v>24</v>
      </c>
      <c r="L622" t="str">
        <f t="shared" si="75"/>
        <v>Neurology</v>
      </c>
      <c r="M622" t="s">
        <v>1839</v>
      </c>
      <c r="N622" t="str">
        <f t="shared" si="76"/>
        <v>EUR</v>
      </c>
      <c r="O622">
        <f t="shared" si="77"/>
        <v>79.41</v>
      </c>
      <c r="P622" cm="1">
        <f t="array" ref="P622">_xlfn.IFS(N622="USD",O622*1,N622="GBP",O622*1.27,N622="EUR",O622*1.09,N622="INR",O622*0.012,N622="N/A","N/A")</f>
        <v>86.556899999999999</v>
      </c>
      <c r="Q622">
        <v>0</v>
      </c>
      <c r="R622" t="str" cm="1">
        <f t="array" ref="R622">_xlfn.IFS(Q622="Y","Yes", Q622="Yes","Yes", Q622="N","No", Q622="No","No", Q622=1,"N/A", Q622=0,"N/A", TRUE,"")</f>
        <v>N/A</v>
      </c>
      <c r="S622">
        <f t="shared" si="78"/>
        <v>9</v>
      </c>
      <c r="T622">
        <f t="shared" si="79"/>
        <v>1</v>
      </c>
      <c r="U622" t="str" cm="1">
        <f t="array" ref="U622">_xlfn.IFS(D622&lt;40,"Young Adult",AND(D622&gt;=40,D622&lt;65),"Middle Aged", D622&gt;=65,"Elderly")</f>
        <v>Elderly</v>
      </c>
    </row>
    <row r="623" spans="1:21" x14ac:dyDescent="0.2">
      <c r="A623">
        <v>1032</v>
      </c>
      <c r="B623">
        <f t="shared" si="72"/>
        <v>622</v>
      </c>
      <c r="C623" t="s">
        <v>1840</v>
      </c>
      <c r="D623">
        <v>89</v>
      </c>
      <c r="E623" t="s">
        <v>71</v>
      </c>
      <c r="F623" t="str">
        <f t="shared" si="73"/>
        <v>Male</v>
      </c>
      <c r="G623" s="1">
        <v>46071</v>
      </c>
      <c r="H623" s="1">
        <v>45599</v>
      </c>
      <c r="I623" t="s">
        <v>1841</v>
      </c>
      <c r="J623" t="str">
        <f t="shared" si="74"/>
        <v>Barbara Owens</v>
      </c>
      <c r="K623" t="s">
        <v>18</v>
      </c>
      <c r="L623" t="str">
        <f t="shared" si="75"/>
        <v>Orthopedics</v>
      </c>
      <c r="M623" t="s">
        <v>1842</v>
      </c>
      <c r="N623" t="str">
        <f t="shared" si="76"/>
        <v>INR</v>
      </c>
      <c r="O623">
        <f t="shared" si="77"/>
        <v>224.61</v>
      </c>
      <c r="P623" cm="1">
        <f t="array" ref="P623">_xlfn.IFS(N623="USD",O623*1,N623="GBP",O623*1.27,N623="EUR",O623*1.09,N623="INR",O623*0.012,N623="N/A","N/A")</f>
        <v>2.6953200000000002</v>
      </c>
      <c r="Q623" t="s">
        <v>60</v>
      </c>
      <c r="R623" t="str" cm="1">
        <f t="array" ref="R623">_xlfn.IFS(Q623="Y","Yes", Q623="Yes","Yes", Q623="N","No", Q623="No","No", Q623=1,"N/A", Q623=0,"N/A", TRUE,"")</f>
        <v>No</v>
      </c>
      <c r="S623">
        <f t="shared" si="78"/>
        <v>7</v>
      </c>
      <c r="T623">
        <f t="shared" si="79"/>
        <v>1</v>
      </c>
      <c r="U623" t="str" cm="1">
        <f t="array" ref="U623">_xlfn.IFS(D623&lt;40,"Young Adult",AND(D623&gt;=40,D623&lt;65),"Middle Aged", D623&gt;=65,"Elderly")</f>
        <v>Elderly</v>
      </c>
    </row>
    <row r="624" spans="1:21" x14ac:dyDescent="0.2">
      <c r="A624">
        <v>1024</v>
      </c>
      <c r="B624">
        <f t="shared" si="72"/>
        <v>623</v>
      </c>
      <c r="C624" t="s">
        <v>1843</v>
      </c>
      <c r="D624">
        <v>20</v>
      </c>
      <c r="E624" t="s">
        <v>22</v>
      </c>
      <c r="F624" t="str">
        <f t="shared" si="73"/>
        <v>Male</v>
      </c>
      <c r="G624" s="1">
        <v>45977</v>
      </c>
      <c r="H624" s="1">
        <v>45615</v>
      </c>
      <c r="I624" t="s">
        <v>1844</v>
      </c>
      <c r="J624" t="str">
        <f t="shared" si="74"/>
        <v>Darren Jensen</v>
      </c>
      <c r="K624" t="s">
        <v>28</v>
      </c>
      <c r="L624" t="str">
        <f t="shared" si="75"/>
        <v>General</v>
      </c>
      <c r="M624" t="s">
        <v>1845</v>
      </c>
      <c r="N624" t="str">
        <f t="shared" si="76"/>
        <v>USD</v>
      </c>
      <c r="O624">
        <f t="shared" si="77"/>
        <v>190.44</v>
      </c>
      <c r="P624" cm="1">
        <f t="array" ref="P624">_xlfn.IFS(N624="USD",O624*1,N624="GBP",O624*1.27,N624="EUR",O624*1.09,N624="INR",O624*0.012,N624="N/A","N/A")</f>
        <v>190.44</v>
      </c>
      <c r="Q624" t="s">
        <v>60</v>
      </c>
      <c r="R624" t="str" cm="1">
        <f t="array" ref="R624">_xlfn.IFS(Q624="Y","Yes", Q624="Yes","Yes", Q624="N","No", Q624="No","No", Q624=1,"N/A", Q624=0,"N/A", TRUE,"")</f>
        <v>No</v>
      </c>
      <c r="S624">
        <f t="shared" si="78"/>
        <v>12</v>
      </c>
      <c r="T624">
        <f t="shared" si="79"/>
        <v>1</v>
      </c>
      <c r="U624" t="str" cm="1">
        <f t="array" ref="U624">_xlfn.IFS(D624&lt;40,"Young Adult",AND(D624&gt;=40,D624&lt;65),"Middle Aged", D624&gt;=65,"Elderly")</f>
        <v>Young Adult</v>
      </c>
    </row>
    <row r="625" spans="1:21" x14ac:dyDescent="0.2">
      <c r="A625">
        <v>1044</v>
      </c>
      <c r="B625">
        <f t="shared" si="72"/>
        <v>624</v>
      </c>
      <c r="C625" t="s">
        <v>1846</v>
      </c>
      <c r="D625">
        <v>25</v>
      </c>
      <c r="E625" t="s">
        <v>16</v>
      </c>
      <c r="F625" t="str">
        <f t="shared" si="73"/>
        <v>Female</v>
      </c>
      <c r="G625" s="1">
        <v>46089</v>
      </c>
      <c r="H625" s="1">
        <v>45972</v>
      </c>
      <c r="I625" t="s">
        <v>1847</v>
      </c>
      <c r="J625" t="str">
        <f t="shared" si="74"/>
        <v>Alexander Brown</v>
      </c>
      <c r="K625" t="s">
        <v>28</v>
      </c>
      <c r="L625" t="str">
        <f t="shared" si="75"/>
        <v>General</v>
      </c>
      <c r="M625" t="s">
        <v>1848</v>
      </c>
      <c r="N625" t="str">
        <f t="shared" si="76"/>
        <v>USD</v>
      </c>
      <c r="O625">
        <f t="shared" si="77"/>
        <v>316.64</v>
      </c>
      <c r="P625" cm="1">
        <f t="array" ref="P625">_xlfn.IFS(N625="USD",O625*1,N625="GBP",O625*1.27,N625="EUR",O625*1.09,N625="INR",O625*0.012,N625="N/A","N/A")</f>
        <v>316.64</v>
      </c>
      <c r="Q625" t="s">
        <v>20</v>
      </c>
      <c r="R625" t="str" cm="1">
        <f t="array" ref="R625">_xlfn.IFS(Q625="Y","Yes", Q625="Yes","Yes", Q625="N","No", Q625="No","No", Q625=1,"N/A", Q625=0,"N/A", TRUE,"")</f>
        <v>Yes</v>
      </c>
      <c r="S625">
        <f t="shared" si="78"/>
        <v>12</v>
      </c>
      <c r="T625">
        <f t="shared" si="79"/>
        <v>1</v>
      </c>
      <c r="U625" t="str" cm="1">
        <f t="array" ref="U625">_xlfn.IFS(D625&lt;40,"Young Adult",AND(D625&gt;=40,D625&lt;65),"Middle Aged", D625&gt;=65,"Elderly")</f>
        <v>Young Adult</v>
      </c>
    </row>
    <row r="626" spans="1:21" x14ac:dyDescent="0.2">
      <c r="A626">
        <v>1085</v>
      </c>
      <c r="B626">
        <f t="shared" si="72"/>
        <v>625</v>
      </c>
      <c r="C626" t="s">
        <v>1849</v>
      </c>
      <c r="D626">
        <v>67</v>
      </c>
      <c r="E626" t="s">
        <v>38</v>
      </c>
      <c r="F626" t="str">
        <f t="shared" si="73"/>
        <v>Female</v>
      </c>
      <c r="G626" s="1">
        <v>45797</v>
      </c>
      <c r="H626" s="1">
        <v>45736</v>
      </c>
      <c r="I626" t="s">
        <v>1850</v>
      </c>
      <c r="J626" t="str">
        <f t="shared" si="74"/>
        <v>Frederick Nielsen</v>
      </c>
      <c r="K626" t="s">
        <v>18</v>
      </c>
      <c r="L626" t="str">
        <f t="shared" si="75"/>
        <v>Orthopedics</v>
      </c>
      <c r="M626" t="s">
        <v>1851</v>
      </c>
      <c r="N626" t="str">
        <f t="shared" si="76"/>
        <v>INR</v>
      </c>
      <c r="O626">
        <f t="shared" si="77"/>
        <v>308.58999999999997</v>
      </c>
      <c r="P626" cm="1">
        <f t="array" ref="P626">_xlfn.IFS(N626="USD",O626*1,N626="GBP",O626*1.27,N626="EUR",O626*1.09,N626="INR",O626*0.012,N626="N/A","N/A")</f>
        <v>3.7030799999999999</v>
      </c>
      <c r="Q626" t="s">
        <v>60</v>
      </c>
      <c r="R626" t="str" cm="1">
        <f t="array" ref="R626">_xlfn.IFS(Q626="Y","Yes", Q626="Yes","Yes", Q626="N","No", Q626="No","No", Q626=1,"N/A", Q626=0,"N/A", TRUE,"")</f>
        <v>No</v>
      </c>
      <c r="S626">
        <f t="shared" si="78"/>
        <v>12</v>
      </c>
      <c r="T626">
        <f t="shared" si="79"/>
        <v>1</v>
      </c>
      <c r="U626" t="str" cm="1">
        <f t="array" ref="U626">_xlfn.IFS(D626&lt;40,"Young Adult",AND(D626&gt;=40,D626&lt;65),"Middle Aged", D626&gt;=65,"Elderly")</f>
        <v>Elderly</v>
      </c>
    </row>
    <row r="627" spans="1:21" x14ac:dyDescent="0.2">
      <c r="A627">
        <v>1089</v>
      </c>
      <c r="B627">
        <f t="shared" si="72"/>
        <v>626</v>
      </c>
      <c r="C627" t="s">
        <v>1852</v>
      </c>
      <c r="D627">
        <v>75</v>
      </c>
      <c r="E627" t="s">
        <v>38</v>
      </c>
      <c r="F627" t="str">
        <f t="shared" si="73"/>
        <v>Female</v>
      </c>
      <c r="G627" s="1">
        <v>45991</v>
      </c>
      <c r="H627" s="1">
        <v>45813</v>
      </c>
      <c r="I627" t="s">
        <v>1853</v>
      </c>
      <c r="J627" t="str">
        <f t="shared" si="74"/>
        <v>Cynthia Turner</v>
      </c>
      <c r="K627" t="s">
        <v>13</v>
      </c>
      <c r="L627" t="str">
        <f t="shared" si="75"/>
        <v>Cardiology</v>
      </c>
      <c r="M627" t="s">
        <v>1854</v>
      </c>
      <c r="N627" t="str">
        <f t="shared" si="76"/>
        <v>USD</v>
      </c>
      <c r="O627">
        <f t="shared" si="77"/>
        <v>414.58</v>
      </c>
      <c r="P627" cm="1">
        <f t="array" ref="P627">_xlfn.IFS(N627="USD",O627*1,N627="GBP",O627*1.27,N627="EUR",O627*1.09,N627="INR",O627*0.012,N627="N/A","N/A")</f>
        <v>414.58</v>
      </c>
      <c r="Q627" t="s">
        <v>36</v>
      </c>
      <c r="R627" t="str" cm="1">
        <f t="array" ref="R627">_xlfn.IFS(Q627="Y","Yes", Q627="Yes","Yes", Q627="N","No", Q627="No","No", Q627=1,"N/A", Q627=0,"N/A", TRUE,"")</f>
        <v>Yes</v>
      </c>
      <c r="S627">
        <f t="shared" si="78"/>
        <v>16</v>
      </c>
      <c r="T627">
        <f t="shared" si="79"/>
        <v>1</v>
      </c>
      <c r="U627" t="str" cm="1">
        <f t="array" ref="U627">_xlfn.IFS(D627&lt;40,"Young Adult",AND(D627&gt;=40,D627&lt;65),"Middle Aged", D627&gt;=65,"Elderly")</f>
        <v>Elderly</v>
      </c>
    </row>
    <row r="628" spans="1:21" x14ac:dyDescent="0.2">
      <c r="A628">
        <v>1064</v>
      </c>
      <c r="B628">
        <f t="shared" si="72"/>
        <v>627</v>
      </c>
      <c r="C628" t="s">
        <v>1855</v>
      </c>
      <c r="D628">
        <v>54</v>
      </c>
      <c r="E628" t="s">
        <v>2937</v>
      </c>
      <c r="F628" t="str">
        <f t="shared" si="73"/>
        <v>N/A</v>
      </c>
      <c r="G628" s="1">
        <v>45849</v>
      </c>
      <c r="H628" s="1">
        <v>45468</v>
      </c>
      <c r="I628" t="s">
        <v>1856</v>
      </c>
      <c r="J628" t="str">
        <f t="shared" si="74"/>
        <v>Theresa Parker</v>
      </c>
      <c r="K628" t="s">
        <v>13</v>
      </c>
      <c r="L628" t="str">
        <f t="shared" si="75"/>
        <v>Cardiology</v>
      </c>
      <c r="M628" t="s">
        <v>1857</v>
      </c>
      <c r="N628" t="str">
        <f t="shared" si="76"/>
        <v>EUR</v>
      </c>
      <c r="O628">
        <f t="shared" si="77"/>
        <v>338.24</v>
      </c>
      <c r="P628" cm="1">
        <f t="array" ref="P628">_xlfn.IFS(N628="USD",O628*1,N628="GBP",O628*1.27,N628="EUR",O628*1.09,N628="INR",O628*0.012,N628="N/A","N/A")</f>
        <v>368.68160000000006</v>
      </c>
      <c r="Q628" t="s">
        <v>20</v>
      </c>
      <c r="R628" t="str" cm="1">
        <f t="array" ref="R628">_xlfn.IFS(Q628="Y","Yes", Q628="Yes","Yes", Q628="N","No", Q628="No","No", Q628=1,"N/A", Q628=0,"N/A", TRUE,"")</f>
        <v>Yes</v>
      </c>
      <c r="S628">
        <f t="shared" si="78"/>
        <v>5</v>
      </c>
      <c r="T628">
        <f t="shared" si="79"/>
        <v>1</v>
      </c>
      <c r="U628" t="str" cm="1">
        <f t="array" ref="U628">_xlfn.IFS(D628&lt;40,"Young Adult",AND(D628&gt;=40,D628&lt;65),"Middle Aged", D628&gt;=65,"Elderly")</f>
        <v>Middle Aged</v>
      </c>
    </row>
    <row r="629" spans="1:21" x14ac:dyDescent="0.2">
      <c r="A629">
        <v>1077</v>
      </c>
      <c r="B629">
        <f t="shared" si="72"/>
        <v>628</v>
      </c>
      <c r="C629" t="s">
        <v>1858</v>
      </c>
      <c r="D629">
        <v>57</v>
      </c>
      <c r="E629" t="s">
        <v>16</v>
      </c>
      <c r="F629" t="str">
        <f t="shared" si="73"/>
        <v>Female</v>
      </c>
      <c r="G629" s="1">
        <v>45995</v>
      </c>
      <c r="H629" s="1">
        <v>45577</v>
      </c>
      <c r="I629" t="s">
        <v>1859</v>
      </c>
      <c r="J629" t="str">
        <f t="shared" si="74"/>
        <v>Joseph Gibbs</v>
      </c>
      <c r="K629" t="s">
        <v>24</v>
      </c>
      <c r="L629" t="str">
        <f t="shared" si="75"/>
        <v>Neurology</v>
      </c>
      <c r="M629" t="s">
        <v>1860</v>
      </c>
      <c r="N629" t="str">
        <f t="shared" si="76"/>
        <v>EUR</v>
      </c>
      <c r="O629">
        <f t="shared" si="77"/>
        <v>53.35</v>
      </c>
      <c r="P629" cm="1">
        <f t="array" ref="P629">_xlfn.IFS(N629="USD",O629*1,N629="GBP",O629*1.27,N629="EUR",O629*1.09,N629="INR",O629*0.012,N629="N/A","N/A")</f>
        <v>58.151500000000006</v>
      </c>
      <c r="Q629" t="s">
        <v>60</v>
      </c>
      <c r="R629" t="str" cm="1">
        <f t="array" ref="R629">_xlfn.IFS(Q629="Y","Yes", Q629="Yes","Yes", Q629="N","No", Q629="No","No", Q629=1,"N/A", Q629=0,"N/A", TRUE,"")</f>
        <v>No</v>
      </c>
      <c r="S629">
        <f t="shared" si="78"/>
        <v>10</v>
      </c>
      <c r="T629">
        <f t="shared" si="79"/>
        <v>1</v>
      </c>
      <c r="U629" t="str" cm="1">
        <f t="array" ref="U629">_xlfn.IFS(D629&lt;40,"Young Adult",AND(D629&gt;=40,D629&lt;65),"Middle Aged", D629&gt;=65,"Elderly")</f>
        <v>Middle Aged</v>
      </c>
    </row>
    <row r="630" spans="1:21" x14ac:dyDescent="0.2">
      <c r="A630">
        <v>1092</v>
      </c>
      <c r="B630">
        <f t="shared" si="72"/>
        <v>629</v>
      </c>
      <c r="C630" t="s">
        <v>1861</v>
      </c>
      <c r="D630">
        <v>89</v>
      </c>
      <c r="E630" t="s">
        <v>16</v>
      </c>
      <c r="F630" t="str">
        <f t="shared" si="73"/>
        <v>Female</v>
      </c>
      <c r="G630" s="1">
        <v>45840</v>
      </c>
      <c r="H630" s="1">
        <v>45755</v>
      </c>
      <c r="I630" t="s">
        <v>1862</v>
      </c>
      <c r="J630" t="str">
        <f t="shared" si="74"/>
        <v>Jackie Brooks</v>
      </c>
      <c r="K630" t="s">
        <v>28</v>
      </c>
      <c r="L630" t="str">
        <f t="shared" si="75"/>
        <v>General</v>
      </c>
      <c r="M630" t="s">
        <v>1863</v>
      </c>
      <c r="N630" t="str">
        <f t="shared" si="76"/>
        <v>USD</v>
      </c>
      <c r="O630">
        <f t="shared" si="77"/>
        <v>186.43</v>
      </c>
      <c r="P630" cm="1">
        <f t="array" ref="P630">_xlfn.IFS(N630="USD",O630*1,N630="GBP",O630*1.27,N630="EUR",O630*1.09,N630="INR",O630*0.012,N630="N/A","N/A")</f>
        <v>186.43</v>
      </c>
      <c r="Q630" t="s">
        <v>30</v>
      </c>
      <c r="R630" t="str" cm="1">
        <f t="array" ref="R630">_xlfn.IFS(Q630="Y","Yes", Q630="Yes","Yes", Q630="N","No", Q630="No","No", Q630=1,"N/A", Q630=0,"N/A", TRUE,"")</f>
        <v>No</v>
      </c>
      <c r="S630">
        <f t="shared" si="78"/>
        <v>11</v>
      </c>
      <c r="T630">
        <f t="shared" si="79"/>
        <v>1</v>
      </c>
      <c r="U630" t="str" cm="1">
        <f t="array" ref="U630">_xlfn.IFS(D630&lt;40,"Young Adult",AND(D630&gt;=40,D630&lt;65),"Middle Aged", D630&gt;=65,"Elderly")</f>
        <v>Elderly</v>
      </c>
    </row>
    <row r="631" spans="1:21" x14ac:dyDescent="0.2">
      <c r="A631">
        <v>1084</v>
      </c>
      <c r="B631">
        <f t="shared" si="72"/>
        <v>630</v>
      </c>
      <c r="C631" t="s">
        <v>1864</v>
      </c>
      <c r="D631">
        <v>42</v>
      </c>
      <c r="E631" t="s">
        <v>38</v>
      </c>
      <c r="F631" t="str">
        <f t="shared" si="73"/>
        <v>Female</v>
      </c>
      <c r="G631" s="1">
        <v>45796</v>
      </c>
      <c r="H631" s="1">
        <v>45603</v>
      </c>
      <c r="I631" t="s">
        <v>1865</v>
      </c>
      <c r="J631" t="str">
        <f t="shared" si="74"/>
        <v>Seth Benson</v>
      </c>
      <c r="K631" t="s">
        <v>28</v>
      </c>
      <c r="L631" t="str">
        <f t="shared" si="75"/>
        <v>General</v>
      </c>
      <c r="M631" t="s">
        <v>1866</v>
      </c>
      <c r="N631" t="str">
        <f t="shared" si="76"/>
        <v>INR</v>
      </c>
      <c r="O631">
        <f t="shared" si="77"/>
        <v>268.93</v>
      </c>
      <c r="P631" cm="1">
        <f t="array" ref="P631">_xlfn.IFS(N631="USD",O631*1,N631="GBP",O631*1.27,N631="EUR",O631*1.09,N631="INR",O631*0.012,N631="N/A","N/A")</f>
        <v>3.22716</v>
      </c>
      <c r="Q631">
        <v>0</v>
      </c>
      <c r="R631" t="str" cm="1">
        <f t="array" ref="R631">_xlfn.IFS(Q631="Y","Yes", Q631="Yes","Yes", Q631="N","No", Q631="No","No", Q631=1,"N/A", Q631=0,"N/A", TRUE,"")</f>
        <v>N/A</v>
      </c>
      <c r="S631">
        <f t="shared" si="78"/>
        <v>15</v>
      </c>
      <c r="T631">
        <f t="shared" si="79"/>
        <v>1</v>
      </c>
      <c r="U631" t="str" cm="1">
        <f t="array" ref="U631">_xlfn.IFS(D631&lt;40,"Young Adult",AND(D631&gt;=40,D631&lt;65),"Middle Aged", D631&gt;=65,"Elderly")</f>
        <v>Middle Aged</v>
      </c>
    </row>
    <row r="632" spans="1:21" x14ac:dyDescent="0.2">
      <c r="A632">
        <v>1044</v>
      </c>
      <c r="B632">
        <f t="shared" si="72"/>
        <v>631</v>
      </c>
      <c r="C632" t="s">
        <v>1867</v>
      </c>
      <c r="D632">
        <v>79</v>
      </c>
      <c r="E632" t="s">
        <v>2937</v>
      </c>
      <c r="F632" t="str">
        <f t="shared" si="73"/>
        <v>N/A</v>
      </c>
      <c r="G632" s="1">
        <v>46014</v>
      </c>
      <c r="H632" s="1">
        <v>45707</v>
      </c>
      <c r="I632" t="s">
        <v>1868</v>
      </c>
      <c r="J632" t="str">
        <f t="shared" si="74"/>
        <v>Cheryl Adams</v>
      </c>
      <c r="K632" t="s">
        <v>28</v>
      </c>
      <c r="L632" t="str">
        <f t="shared" si="75"/>
        <v>General</v>
      </c>
      <c r="M632" t="s">
        <v>1869</v>
      </c>
      <c r="N632" t="str">
        <f t="shared" si="76"/>
        <v>EUR</v>
      </c>
      <c r="O632">
        <f t="shared" si="77"/>
        <v>322</v>
      </c>
      <c r="P632" cm="1">
        <f t="array" ref="P632">_xlfn.IFS(N632="USD",O632*1,N632="GBP",O632*1.27,N632="EUR",O632*1.09,N632="INR",O632*0.012,N632="N/A","N/A")</f>
        <v>350.98</v>
      </c>
      <c r="Q632">
        <v>1</v>
      </c>
      <c r="R632" t="str" cm="1">
        <f t="array" ref="R632">_xlfn.IFS(Q632="Y","Yes", Q632="Yes","Yes", Q632="N","No", Q632="No","No", Q632=1,"N/A", Q632=0,"N/A", TRUE,"")</f>
        <v>N/A</v>
      </c>
      <c r="S632">
        <f t="shared" si="78"/>
        <v>12</v>
      </c>
      <c r="T632">
        <f t="shared" si="79"/>
        <v>1</v>
      </c>
      <c r="U632" t="str" cm="1">
        <f t="array" ref="U632">_xlfn.IFS(D632&lt;40,"Young Adult",AND(D632&gt;=40,D632&lt;65),"Middle Aged", D632&gt;=65,"Elderly")</f>
        <v>Elderly</v>
      </c>
    </row>
    <row r="633" spans="1:21" x14ac:dyDescent="0.2">
      <c r="A633">
        <v>1080</v>
      </c>
      <c r="B633">
        <f t="shared" si="72"/>
        <v>632</v>
      </c>
      <c r="C633" t="s">
        <v>1870</v>
      </c>
      <c r="D633">
        <v>80</v>
      </c>
      <c r="E633" t="s">
        <v>22</v>
      </c>
      <c r="F633" t="str">
        <f t="shared" si="73"/>
        <v>Male</v>
      </c>
      <c r="G633" s="1">
        <v>46026</v>
      </c>
      <c r="H633" s="1">
        <v>45948</v>
      </c>
      <c r="I633" t="s">
        <v>1871</v>
      </c>
      <c r="J633" t="str">
        <f t="shared" si="74"/>
        <v>Emily Barnes</v>
      </c>
      <c r="K633" t="s">
        <v>28</v>
      </c>
      <c r="L633" t="str">
        <f t="shared" si="75"/>
        <v>General</v>
      </c>
      <c r="M633" t="s">
        <v>1872</v>
      </c>
      <c r="N633" t="str">
        <f t="shared" si="76"/>
        <v>USD</v>
      </c>
      <c r="O633">
        <f t="shared" si="77"/>
        <v>498.84</v>
      </c>
      <c r="P633" cm="1">
        <f t="array" ref="P633">_xlfn.IFS(N633="USD",O633*1,N633="GBP",O633*1.27,N633="EUR",O633*1.09,N633="INR",O633*0.012,N633="N/A","N/A")</f>
        <v>498.84</v>
      </c>
      <c r="Q633" t="s">
        <v>60</v>
      </c>
      <c r="R633" t="str" cm="1">
        <f t="array" ref="R633">_xlfn.IFS(Q633="Y","Yes", Q633="Yes","Yes", Q633="N","No", Q633="No","No", Q633=1,"N/A", Q633=0,"N/A", TRUE,"")</f>
        <v>No</v>
      </c>
      <c r="S633">
        <f t="shared" si="78"/>
        <v>11</v>
      </c>
      <c r="T633">
        <f t="shared" si="79"/>
        <v>1</v>
      </c>
      <c r="U633" t="str" cm="1">
        <f t="array" ref="U633">_xlfn.IFS(D633&lt;40,"Young Adult",AND(D633&gt;=40,D633&lt;65),"Middle Aged", D633&gt;=65,"Elderly")</f>
        <v>Elderly</v>
      </c>
    </row>
    <row r="634" spans="1:21" x14ac:dyDescent="0.2">
      <c r="A634">
        <v>1097</v>
      </c>
      <c r="B634">
        <f t="shared" si="72"/>
        <v>633</v>
      </c>
      <c r="C634" t="s">
        <v>1873</v>
      </c>
      <c r="D634">
        <v>86</v>
      </c>
      <c r="E634" t="s">
        <v>2937</v>
      </c>
      <c r="F634" t="str">
        <f t="shared" si="73"/>
        <v>N/A</v>
      </c>
      <c r="G634" s="1">
        <v>45778</v>
      </c>
      <c r="H634" s="1">
        <v>45523</v>
      </c>
      <c r="I634" t="s">
        <v>1874</v>
      </c>
      <c r="J634" t="str">
        <f t="shared" si="74"/>
        <v>Robert Moreno</v>
      </c>
      <c r="K634" t="s">
        <v>13</v>
      </c>
      <c r="L634" t="str">
        <f t="shared" si="75"/>
        <v>Cardiology</v>
      </c>
      <c r="M634" t="s">
        <v>1875</v>
      </c>
      <c r="N634" t="str">
        <f t="shared" si="76"/>
        <v>INR</v>
      </c>
      <c r="O634">
        <f t="shared" si="77"/>
        <v>415.78</v>
      </c>
      <c r="P634" cm="1">
        <f t="array" ref="P634">_xlfn.IFS(N634="USD",O634*1,N634="GBP",O634*1.27,N634="EUR",O634*1.09,N634="INR",O634*0.012,N634="N/A","N/A")</f>
        <v>4.9893599999999996</v>
      </c>
      <c r="Q634" t="s">
        <v>36</v>
      </c>
      <c r="R634" t="str" cm="1">
        <f t="array" ref="R634">_xlfn.IFS(Q634="Y","Yes", Q634="Yes","Yes", Q634="N","No", Q634="No","No", Q634=1,"N/A", Q634=0,"N/A", TRUE,"")</f>
        <v>Yes</v>
      </c>
      <c r="S634">
        <f t="shared" si="78"/>
        <v>10</v>
      </c>
      <c r="T634">
        <f t="shared" si="79"/>
        <v>1</v>
      </c>
      <c r="U634" t="str" cm="1">
        <f t="array" ref="U634">_xlfn.IFS(D634&lt;40,"Young Adult",AND(D634&gt;=40,D634&lt;65),"Middle Aged", D634&gt;=65,"Elderly")</f>
        <v>Elderly</v>
      </c>
    </row>
    <row r="635" spans="1:21" x14ac:dyDescent="0.2">
      <c r="A635">
        <v>1035</v>
      </c>
      <c r="B635">
        <f t="shared" si="72"/>
        <v>634</v>
      </c>
      <c r="C635" t="s">
        <v>1876</v>
      </c>
      <c r="D635">
        <v>75</v>
      </c>
      <c r="E635" t="s">
        <v>51</v>
      </c>
      <c r="F635" t="str">
        <f t="shared" si="73"/>
        <v>Male</v>
      </c>
      <c r="G635" s="1">
        <v>45982</v>
      </c>
      <c r="H635" s="1">
        <v>45659</v>
      </c>
      <c r="I635" t="s">
        <v>1877</v>
      </c>
      <c r="J635" t="str">
        <f t="shared" si="74"/>
        <v>Christina Mitchell</v>
      </c>
      <c r="K635" t="s">
        <v>28</v>
      </c>
      <c r="L635" t="str">
        <f t="shared" si="75"/>
        <v>General</v>
      </c>
      <c r="M635" t="s">
        <v>1878</v>
      </c>
      <c r="N635" t="str">
        <f t="shared" si="76"/>
        <v>INR</v>
      </c>
      <c r="O635">
        <f t="shared" si="77"/>
        <v>274.5</v>
      </c>
      <c r="P635" cm="1">
        <f t="array" ref="P635">_xlfn.IFS(N635="USD",O635*1,N635="GBP",O635*1.27,N635="EUR",O635*1.09,N635="INR",O635*0.012,N635="N/A","N/A")</f>
        <v>3.294</v>
      </c>
      <c r="Q635" t="s">
        <v>36</v>
      </c>
      <c r="R635" t="str" cm="1">
        <f t="array" ref="R635">_xlfn.IFS(Q635="Y","Yes", Q635="Yes","Yes", Q635="N","No", Q635="No","No", Q635=1,"N/A", Q635=0,"N/A", TRUE,"")</f>
        <v>Yes</v>
      </c>
      <c r="S635">
        <f t="shared" si="78"/>
        <v>9</v>
      </c>
      <c r="T635">
        <f t="shared" si="79"/>
        <v>1</v>
      </c>
      <c r="U635" t="str" cm="1">
        <f t="array" ref="U635">_xlfn.IFS(D635&lt;40,"Young Adult",AND(D635&gt;=40,D635&lt;65),"Middle Aged", D635&gt;=65,"Elderly")</f>
        <v>Elderly</v>
      </c>
    </row>
    <row r="636" spans="1:21" x14ac:dyDescent="0.2">
      <c r="A636">
        <v>1069</v>
      </c>
      <c r="B636">
        <f t="shared" si="72"/>
        <v>635</v>
      </c>
      <c r="C636" t="s">
        <v>1879</v>
      </c>
      <c r="D636">
        <v>23</v>
      </c>
      <c r="E636" t="s">
        <v>2937</v>
      </c>
      <c r="F636" t="str">
        <f t="shared" si="73"/>
        <v>N/A</v>
      </c>
      <c r="G636" s="1">
        <v>45944</v>
      </c>
      <c r="H636" s="1">
        <v>45696</v>
      </c>
      <c r="I636" t="s">
        <v>1880</v>
      </c>
      <c r="J636" t="str">
        <f t="shared" si="74"/>
        <v>Donald Jacobson</v>
      </c>
      <c r="K636" t="s">
        <v>24</v>
      </c>
      <c r="L636" t="str">
        <f t="shared" si="75"/>
        <v>Neurology</v>
      </c>
      <c r="M636" t="s">
        <v>1881</v>
      </c>
      <c r="N636" t="str">
        <f t="shared" si="76"/>
        <v>GBP</v>
      </c>
      <c r="O636">
        <f t="shared" si="77"/>
        <v>368.24</v>
      </c>
      <c r="P636" cm="1">
        <f t="array" ref="P636">_xlfn.IFS(N636="USD",O636*1,N636="GBP",O636*1.27,N636="EUR",O636*1.09,N636="INR",O636*0.012,N636="N/A","N/A")</f>
        <v>467.66480000000001</v>
      </c>
      <c r="Q636">
        <v>1</v>
      </c>
      <c r="R636" t="str" cm="1">
        <f t="array" ref="R636">_xlfn.IFS(Q636="Y","Yes", Q636="Yes","Yes", Q636="N","No", Q636="No","No", Q636=1,"N/A", Q636=0,"N/A", TRUE,"")</f>
        <v>N/A</v>
      </c>
      <c r="S636">
        <f t="shared" si="78"/>
        <v>10</v>
      </c>
      <c r="T636">
        <f t="shared" si="79"/>
        <v>1</v>
      </c>
      <c r="U636" t="str" cm="1">
        <f t="array" ref="U636">_xlfn.IFS(D636&lt;40,"Young Adult",AND(D636&gt;=40,D636&lt;65),"Middle Aged", D636&gt;=65,"Elderly")</f>
        <v>Young Adult</v>
      </c>
    </row>
    <row r="637" spans="1:21" x14ac:dyDescent="0.2">
      <c r="A637">
        <v>1016</v>
      </c>
      <c r="B637">
        <f t="shared" si="72"/>
        <v>636</v>
      </c>
      <c r="C637" t="s">
        <v>1882</v>
      </c>
      <c r="D637">
        <v>46</v>
      </c>
      <c r="E637" t="s">
        <v>22</v>
      </c>
      <c r="F637" t="str">
        <f t="shared" si="73"/>
        <v>Male</v>
      </c>
      <c r="G637" s="1">
        <v>45826</v>
      </c>
      <c r="H637" s="1">
        <v>45584</v>
      </c>
      <c r="I637" t="s">
        <v>1883</v>
      </c>
      <c r="J637" t="str">
        <f t="shared" si="74"/>
        <v>Kimberly Wilcox</v>
      </c>
      <c r="K637" t="s">
        <v>18</v>
      </c>
      <c r="L637" t="str">
        <f t="shared" si="75"/>
        <v>Orthopedics</v>
      </c>
      <c r="M637" t="s">
        <v>1884</v>
      </c>
      <c r="N637" t="str">
        <f t="shared" si="76"/>
        <v>INR</v>
      </c>
      <c r="O637">
        <f t="shared" si="77"/>
        <v>353.07</v>
      </c>
      <c r="P637" cm="1">
        <f t="array" ref="P637">_xlfn.IFS(N637="USD",O637*1,N637="GBP",O637*1.27,N637="EUR",O637*1.09,N637="INR",O637*0.012,N637="N/A","N/A")</f>
        <v>4.2368399999999999</v>
      </c>
      <c r="Q637">
        <v>1</v>
      </c>
      <c r="R637" t="str" cm="1">
        <f t="array" ref="R637">_xlfn.IFS(Q637="Y","Yes", Q637="Yes","Yes", Q637="N","No", Q637="No","No", Q637=1,"N/A", Q637=0,"N/A", TRUE,"")</f>
        <v>N/A</v>
      </c>
      <c r="S637">
        <f t="shared" si="78"/>
        <v>15</v>
      </c>
      <c r="T637">
        <f t="shared" si="79"/>
        <v>1</v>
      </c>
      <c r="U637" t="str" cm="1">
        <f t="array" ref="U637">_xlfn.IFS(D637&lt;40,"Young Adult",AND(D637&gt;=40,D637&lt;65),"Middle Aged", D637&gt;=65,"Elderly")</f>
        <v>Middle Aged</v>
      </c>
    </row>
    <row r="638" spans="1:21" x14ac:dyDescent="0.2">
      <c r="A638">
        <v>1098</v>
      </c>
      <c r="B638">
        <f t="shared" si="72"/>
        <v>637</v>
      </c>
      <c r="C638" t="s">
        <v>1885</v>
      </c>
      <c r="D638">
        <v>29</v>
      </c>
      <c r="E638" t="s">
        <v>16</v>
      </c>
      <c r="F638" t="str">
        <f t="shared" si="73"/>
        <v>Female</v>
      </c>
      <c r="G638" s="1">
        <v>45970</v>
      </c>
      <c r="H638" s="1">
        <v>45854</v>
      </c>
      <c r="I638" t="s">
        <v>1886</v>
      </c>
      <c r="J638" t="str">
        <f t="shared" si="74"/>
        <v>Monica Torres</v>
      </c>
      <c r="K638" t="s">
        <v>13</v>
      </c>
      <c r="L638" t="str">
        <f t="shared" si="75"/>
        <v>Cardiology</v>
      </c>
      <c r="M638" t="s">
        <v>1887</v>
      </c>
      <c r="N638" t="str">
        <f t="shared" si="76"/>
        <v>GBP</v>
      </c>
      <c r="O638">
        <f t="shared" si="77"/>
        <v>358.68</v>
      </c>
      <c r="P638" cm="1">
        <f t="array" ref="P638">_xlfn.IFS(N638="USD",O638*1,N638="GBP",O638*1.27,N638="EUR",O638*1.09,N638="INR",O638*0.012,N638="N/A","N/A")</f>
        <v>455.52359999999999</v>
      </c>
      <c r="Q638">
        <v>0</v>
      </c>
      <c r="R638" t="str" cm="1">
        <f t="array" ref="R638">_xlfn.IFS(Q638="Y","Yes", Q638="Yes","Yes", Q638="N","No", Q638="No","No", Q638=1,"N/A", Q638=0,"N/A", TRUE,"")</f>
        <v>N/A</v>
      </c>
      <c r="S638">
        <f t="shared" si="78"/>
        <v>12</v>
      </c>
      <c r="T638">
        <f t="shared" si="79"/>
        <v>1</v>
      </c>
      <c r="U638" t="str" cm="1">
        <f t="array" ref="U638">_xlfn.IFS(D638&lt;40,"Young Adult",AND(D638&gt;=40,D638&lt;65),"Middle Aged", D638&gt;=65,"Elderly")</f>
        <v>Young Adult</v>
      </c>
    </row>
    <row r="639" spans="1:21" x14ac:dyDescent="0.2">
      <c r="A639">
        <v>1012</v>
      </c>
      <c r="B639">
        <f t="shared" si="72"/>
        <v>638</v>
      </c>
      <c r="C639" t="s">
        <v>1888</v>
      </c>
      <c r="D639">
        <v>38</v>
      </c>
      <c r="E639" t="s">
        <v>22</v>
      </c>
      <c r="F639" t="str">
        <f t="shared" si="73"/>
        <v>Male</v>
      </c>
      <c r="G639" s="1">
        <v>46054</v>
      </c>
      <c r="H639" s="1">
        <v>45398</v>
      </c>
      <c r="I639" t="s">
        <v>1889</v>
      </c>
      <c r="J639" t="str">
        <f t="shared" si="74"/>
        <v>Debra Fields</v>
      </c>
      <c r="K639" t="s">
        <v>18</v>
      </c>
      <c r="L639" t="str">
        <f t="shared" si="75"/>
        <v>Orthopedics</v>
      </c>
      <c r="M639" t="s">
        <v>1890</v>
      </c>
      <c r="N639" t="str">
        <f t="shared" si="76"/>
        <v>USD</v>
      </c>
      <c r="O639">
        <f t="shared" si="77"/>
        <v>427.54</v>
      </c>
      <c r="P639" cm="1">
        <f t="array" ref="P639">_xlfn.IFS(N639="USD",O639*1,N639="GBP",O639*1.27,N639="EUR",O639*1.09,N639="INR",O639*0.012,N639="N/A","N/A")</f>
        <v>427.54</v>
      </c>
      <c r="Q639" t="s">
        <v>60</v>
      </c>
      <c r="R639" t="str" cm="1">
        <f t="array" ref="R639">_xlfn.IFS(Q639="Y","Yes", Q639="Yes","Yes", Q639="N","No", Q639="No","No", Q639=1,"N/A", Q639=0,"N/A", TRUE,"")</f>
        <v>No</v>
      </c>
      <c r="S639">
        <f t="shared" si="78"/>
        <v>9</v>
      </c>
      <c r="T639">
        <f t="shared" si="79"/>
        <v>1</v>
      </c>
      <c r="U639" t="str" cm="1">
        <f t="array" ref="U639">_xlfn.IFS(D639&lt;40,"Young Adult",AND(D639&gt;=40,D639&lt;65),"Middle Aged", D639&gt;=65,"Elderly")</f>
        <v>Young Adult</v>
      </c>
    </row>
    <row r="640" spans="1:21" x14ac:dyDescent="0.2">
      <c r="A640">
        <v>1100</v>
      </c>
      <c r="B640">
        <f t="shared" si="72"/>
        <v>639</v>
      </c>
      <c r="C640" t="s">
        <v>1891</v>
      </c>
      <c r="D640">
        <v>60</v>
      </c>
      <c r="E640" t="s">
        <v>38</v>
      </c>
      <c r="F640" t="str">
        <f t="shared" si="73"/>
        <v>Female</v>
      </c>
      <c r="G640" s="1">
        <v>45907</v>
      </c>
      <c r="H640" s="1">
        <v>45395</v>
      </c>
      <c r="I640" t="s">
        <v>1892</v>
      </c>
      <c r="J640" t="str">
        <f t="shared" si="74"/>
        <v>Adam Carlson</v>
      </c>
      <c r="K640" t="s">
        <v>18</v>
      </c>
      <c r="L640" t="str">
        <f t="shared" si="75"/>
        <v>Orthopedics</v>
      </c>
      <c r="M640" t="s">
        <v>1893</v>
      </c>
      <c r="N640" t="str">
        <f t="shared" si="76"/>
        <v>INR</v>
      </c>
      <c r="O640">
        <f t="shared" si="77"/>
        <v>433.05</v>
      </c>
      <c r="P640" cm="1">
        <f t="array" ref="P640">_xlfn.IFS(N640="USD",O640*1,N640="GBP",O640*1.27,N640="EUR",O640*1.09,N640="INR",O640*0.012,N640="N/A","N/A")</f>
        <v>5.1966000000000001</v>
      </c>
      <c r="Q640" t="s">
        <v>36</v>
      </c>
      <c r="R640" t="str" cm="1">
        <f t="array" ref="R640">_xlfn.IFS(Q640="Y","Yes", Q640="Yes","Yes", Q640="N","No", Q640="No","No", Q640=1,"N/A", Q640=0,"N/A", TRUE,"")</f>
        <v>Yes</v>
      </c>
      <c r="S640">
        <f t="shared" si="78"/>
        <v>8</v>
      </c>
      <c r="T640">
        <f t="shared" si="79"/>
        <v>1</v>
      </c>
      <c r="U640" t="str" cm="1">
        <f t="array" ref="U640">_xlfn.IFS(D640&lt;40,"Young Adult",AND(D640&gt;=40,D640&lt;65),"Middle Aged", D640&gt;=65,"Elderly")</f>
        <v>Middle Aged</v>
      </c>
    </row>
    <row r="641" spans="1:21" x14ac:dyDescent="0.2">
      <c r="A641">
        <v>1021</v>
      </c>
      <c r="B641">
        <f t="shared" si="72"/>
        <v>640</v>
      </c>
      <c r="C641" t="s">
        <v>1894</v>
      </c>
      <c r="D641">
        <v>37</v>
      </c>
      <c r="E641" t="s">
        <v>2937</v>
      </c>
      <c r="F641" t="str">
        <f t="shared" si="73"/>
        <v>N/A</v>
      </c>
      <c r="G641" s="1">
        <v>45918</v>
      </c>
      <c r="H641" s="1">
        <v>45613</v>
      </c>
      <c r="I641" t="s">
        <v>1895</v>
      </c>
      <c r="J641" t="str">
        <f t="shared" si="74"/>
        <v>Bryan Newton</v>
      </c>
      <c r="K641" t="s">
        <v>13</v>
      </c>
      <c r="L641" t="str">
        <f t="shared" si="75"/>
        <v>Cardiology</v>
      </c>
      <c r="M641" t="s">
        <v>1896</v>
      </c>
      <c r="N641" t="str">
        <f t="shared" si="76"/>
        <v>EUR</v>
      </c>
      <c r="O641">
        <f t="shared" si="77"/>
        <v>436.91</v>
      </c>
      <c r="P641" cm="1">
        <f t="array" ref="P641">_xlfn.IFS(N641="USD",O641*1,N641="GBP",O641*1.27,N641="EUR",O641*1.09,N641="INR",O641*0.012,N641="N/A","N/A")</f>
        <v>476.23190000000005</v>
      </c>
      <c r="Q641" t="s">
        <v>30</v>
      </c>
      <c r="R641" t="str" cm="1">
        <f t="array" ref="R641">_xlfn.IFS(Q641="Y","Yes", Q641="Yes","Yes", Q641="N","No", Q641="No","No", Q641=1,"N/A", Q641=0,"N/A", TRUE,"")</f>
        <v>No</v>
      </c>
      <c r="S641">
        <f t="shared" si="78"/>
        <v>16</v>
      </c>
      <c r="T641">
        <f t="shared" si="79"/>
        <v>1</v>
      </c>
      <c r="U641" t="str" cm="1">
        <f t="array" ref="U641">_xlfn.IFS(D641&lt;40,"Young Adult",AND(D641&gt;=40,D641&lt;65),"Middle Aged", D641&gt;=65,"Elderly")</f>
        <v>Young Adult</v>
      </c>
    </row>
    <row r="642" spans="1:21" x14ac:dyDescent="0.2">
      <c r="A642">
        <v>1078</v>
      </c>
      <c r="B642">
        <f t="shared" si="72"/>
        <v>641</v>
      </c>
      <c r="C642" t="s">
        <v>1897</v>
      </c>
      <c r="D642">
        <v>82</v>
      </c>
      <c r="E642" t="s">
        <v>2937</v>
      </c>
      <c r="F642" t="str">
        <f t="shared" si="73"/>
        <v>N/A</v>
      </c>
      <c r="G642" s="1">
        <v>46046</v>
      </c>
      <c r="H642" s="1">
        <v>45568</v>
      </c>
      <c r="I642" t="s">
        <v>1898</v>
      </c>
      <c r="J642" t="str">
        <f t="shared" si="74"/>
        <v>Kelly Hardin</v>
      </c>
      <c r="K642" t="s">
        <v>18</v>
      </c>
      <c r="L642" t="str">
        <f t="shared" si="75"/>
        <v>Orthopedics</v>
      </c>
      <c r="M642" t="s">
        <v>1899</v>
      </c>
      <c r="N642" t="str">
        <f t="shared" si="76"/>
        <v>EUR</v>
      </c>
      <c r="O642">
        <f t="shared" si="77"/>
        <v>252.53</v>
      </c>
      <c r="P642" cm="1">
        <f t="array" ref="P642">_xlfn.IFS(N642="USD",O642*1,N642="GBP",O642*1.27,N642="EUR",O642*1.09,N642="INR",O642*0.012,N642="N/A","N/A")</f>
        <v>275.2577</v>
      </c>
      <c r="Q642">
        <v>0</v>
      </c>
      <c r="R642" t="str" cm="1">
        <f t="array" ref="R642">_xlfn.IFS(Q642="Y","Yes", Q642="Yes","Yes", Q642="N","No", Q642="No","No", Q642=1,"N/A", Q642=0,"N/A", TRUE,"")</f>
        <v>N/A</v>
      </c>
      <c r="S642">
        <f t="shared" si="78"/>
        <v>8</v>
      </c>
      <c r="T642">
        <f t="shared" si="79"/>
        <v>1</v>
      </c>
      <c r="U642" t="str" cm="1">
        <f t="array" ref="U642">_xlfn.IFS(D642&lt;40,"Young Adult",AND(D642&gt;=40,D642&lt;65),"Middle Aged", D642&gt;=65,"Elderly")</f>
        <v>Elderly</v>
      </c>
    </row>
    <row r="643" spans="1:21" x14ac:dyDescent="0.2">
      <c r="A643">
        <v>1094</v>
      </c>
      <c r="B643">
        <f t="shared" ref="B643:B706" si="80">ROW()-1</f>
        <v>642</v>
      </c>
      <c r="C643" t="s">
        <v>1900</v>
      </c>
      <c r="D643">
        <v>60</v>
      </c>
      <c r="E643" t="s">
        <v>2937</v>
      </c>
      <c r="F643" t="str">
        <f t="shared" ref="F643:F706" si="81">IF(E643="male","Male",IF(E643="female","Female",IF(E643="F","Female",IF(E643="M","Male",IF(E643="N/A","N/A")))))</f>
        <v>N/A</v>
      </c>
      <c r="G643" s="1">
        <v>45888</v>
      </c>
      <c r="H643" s="1">
        <v>45680</v>
      </c>
      <c r="I643" t="s">
        <v>1901</v>
      </c>
      <c r="J643" t="str">
        <f t="shared" ref="J643:J706" si="82">PROPER(I643)</f>
        <v>Harold Gray</v>
      </c>
      <c r="K643" t="s">
        <v>24</v>
      </c>
      <c r="L643" t="str">
        <f t="shared" ref="L643:L706" si="83">PROPER(K643)</f>
        <v>Neurology</v>
      </c>
      <c r="M643" t="s">
        <v>1902</v>
      </c>
      <c r="N643" t="str">
        <f t="shared" ref="N643:N706" si="84">IF(LEFT(M643,1)="$","USD",IF(LEFT(M643,2)="Rs","INR",IF(LEFT(M643,2)="¬£","GBP",IF(LEFT(M643,3)="‚Ç¨","EUR","N/A"))))</f>
        <v>USD</v>
      </c>
      <c r="O643">
        <f t="shared" ref="O643:O706" si="85">IFERROR(VALUE(SUBSTITUTE(SUBSTITUTE(SUBSTITUTE(SUBSTITUTE(M643,"$",""), "Rs",""),"¬£",""),"‚Ç¨","")), "")</f>
        <v>421.74</v>
      </c>
      <c r="P643" cm="1">
        <f t="array" ref="P643">_xlfn.IFS(N643="USD",O643*1,N643="GBP",O643*1.27,N643="EUR",O643*1.09,N643="INR",O643*0.012,N643="N/A","N/A")</f>
        <v>421.74</v>
      </c>
      <c r="Q643" t="s">
        <v>20</v>
      </c>
      <c r="R643" t="str" cm="1">
        <f t="array" ref="R643">_xlfn.IFS(Q643="Y","Yes", Q643="Yes","Yes", Q643="N","No", Q643="No","No", Q643=1,"N/A", Q643=0,"N/A", TRUE,"")</f>
        <v>Yes</v>
      </c>
      <c r="S643">
        <f t="shared" ref="S643:S706" si="86">COUNTIF($A$2:$A$1001, A643)</f>
        <v>8</v>
      </c>
      <c r="T643">
        <f t="shared" ref="T643:T706" si="87">COUNTIFS($A$2:$A$1001, A643, $C$2:$C$1001, C643)</f>
        <v>1</v>
      </c>
      <c r="U643" t="str" cm="1">
        <f t="array" ref="U643">_xlfn.IFS(D643&lt;40,"Young Adult",AND(D643&gt;=40,D643&lt;65),"Middle Aged", D643&gt;=65,"Elderly")</f>
        <v>Middle Aged</v>
      </c>
    </row>
    <row r="644" spans="1:21" x14ac:dyDescent="0.2">
      <c r="A644">
        <v>1022</v>
      </c>
      <c r="B644">
        <f t="shared" si="80"/>
        <v>643</v>
      </c>
      <c r="C644" t="s">
        <v>1903</v>
      </c>
      <c r="D644">
        <v>83</v>
      </c>
      <c r="E644" t="s">
        <v>71</v>
      </c>
      <c r="F644" t="str">
        <f t="shared" si="81"/>
        <v>Male</v>
      </c>
      <c r="G644" s="1">
        <v>45915</v>
      </c>
      <c r="H644" s="1">
        <v>45649</v>
      </c>
      <c r="I644" t="s">
        <v>1904</v>
      </c>
      <c r="J644" t="str">
        <f t="shared" si="82"/>
        <v>Jose Thomas</v>
      </c>
      <c r="K644" t="s">
        <v>18</v>
      </c>
      <c r="L644" t="str">
        <f t="shared" si="83"/>
        <v>Orthopedics</v>
      </c>
      <c r="M644" t="s">
        <v>1905</v>
      </c>
      <c r="N644" t="str">
        <f t="shared" si="84"/>
        <v>GBP</v>
      </c>
      <c r="O644">
        <f t="shared" si="85"/>
        <v>175.6</v>
      </c>
      <c r="P644" cm="1">
        <f t="array" ref="P644">_xlfn.IFS(N644="USD",O644*1,N644="GBP",O644*1.27,N644="EUR",O644*1.09,N644="INR",O644*0.012,N644="N/A","N/A")</f>
        <v>223.012</v>
      </c>
      <c r="Q644" t="s">
        <v>30</v>
      </c>
      <c r="R644" t="str" cm="1">
        <f t="array" ref="R644">_xlfn.IFS(Q644="Y","Yes", Q644="Yes","Yes", Q644="N","No", Q644="No","No", Q644=1,"N/A", Q644=0,"N/A", TRUE,"")</f>
        <v>No</v>
      </c>
      <c r="S644">
        <f t="shared" si="86"/>
        <v>9</v>
      </c>
      <c r="T644">
        <f t="shared" si="87"/>
        <v>1</v>
      </c>
      <c r="U644" t="str" cm="1">
        <f t="array" ref="U644">_xlfn.IFS(D644&lt;40,"Young Adult",AND(D644&gt;=40,D644&lt;65),"Middle Aged", D644&gt;=65,"Elderly")</f>
        <v>Elderly</v>
      </c>
    </row>
    <row r="645" spans="1:21" x14ac:dyDescent="0.2">
      <c r="A645">
        <v>1056</v>
      </c>
      <c r="B645">
        <f t="shared" si="80"/>
        <v>644</v>
      </c>
      <c r="C645" t="s">
        <v>1906</v>
      </c>
      <c r="D645">
        <v>82</v>
      </c>
      <c r="E645" t="s">
        <v>22</v>
      </c>
      <c r="F645" t="str">
        <f t="shared" si="81"/>
        <v>Male</v>
      </c>
      <c r="G645" s="1">
        <v>46026</v>
      </c>
      <c r="H645" s="1">
        <v>45763</v>
      </c>
      <c r="I645" t="s">
        <v>1907</v>
      </c>
      <c r="J645" t="str">
        <f t="shared" si="82"/>
        <v>Jose Jackson</v>
      </c>
      <c r="K645" t="s">
        <v>24</v>
      </c>
      <c r="L645" t="str">
        <f t="shared" si="83"/>
        <v>Neurology</v>
      </c>
      <c r="M645" t="s">
        <v>1908</v>
      </c>
      <c r="N645" t="str">
        <f t="shared" si="84"/>
        <v>INR</v>
      </c>
      <c r="O645">
        <f t="shared" si="85"/>
        <v>203.05</v>
      </c>
      <c r="P645" cm="1">
        <f t="array" ref="P645">_xlfn.IFS(N645="USD",O645*1,N645="GBP",O645*1.27,N645="EUR",O645*1.09,N645="INR",O645*0.012,N645="N/A","N/A")</f>
        <v>2.4366000000000003</v>
      </c>
      <c r="Q645">
        <v>0</v>
      </c>
      <c r="R645" t="str" cm="1">
        <f t="array" ref="R645">_xlfn.IFS(Q645="Y","Yes", Q645="Yes","Yes", Q645="N","No", Q645="No","No", Q645=1,"N/A", Q645=0,"N/A", TRUE,"")</f>
        <v>N/A</v>
      </c>
      <c r="S645">
        <f t="shared" si="86"/>
        <v>13</v>
      </c>
      <c r="T645">
        <f t="shared" si="87"/>
        <v>1</v>
      </c>
      <c r="U645" t="str" cm="1">
        <f t="array" ref="U645">_xlfn.IFS(D645&lt;40,"Young Adult",AND(D645&gt;=40,D645&lt;65),"Middle Aged", D645&gt;=65,"Elderly")</f>
        <v>Elderly</v>
      </c>
    </row>
    <row r="646" spans="1:21" x14ac:dyDescent="0.2">
      <c r="A646">
        <v>1066</v>
      </c>
      <c r="B646">
        <f t="shared" si="80"/>
        <v>645</v>
      </c>
      <c r="C646" t="s">
        <v>1909</v>
      </c>
      <c r="D646">
        <v>76</v>
      </c>
      <c r="E646" t="s">
        <v>51</v>
      </c>
      <c r="F646" t="str">
        <f t="shared" si="81"/>
        <v>Male</v>
      </c>
      <c r="G646" s="1">
        <v>45961</v>
      </c>
      <c r="H646" s="1">
        <v>45470</v>
      </c>
      <c r="I646" t="s">
        <v>1910</v>
      </c>
      <c r="J646" t="str">
        <f t="shared" si="82"/>
        <v>Sandra Johns</v>
      </c>
      <c r="K646" t="s">
        <v>28</v>
      </c>
      <c r="L646" t="str">
        <f t="shared" si="83"/>
        <v>General</v>
      </c>
      <c r="M646" t="s">
        <v>1911</v>
      </c>
      <c r="N646" t="str">
        <f t="shared" si="84"/>
        <v>GBP</v>
      </c>
      <c r="O646">
        <f t="shared" si="85"/>
        <v>123.13</v>
      </c>
      <c r="P646" cm="1">
        <f t="array" ref="P646">_xlfn.IFS(N646="USD",O646*1,N646="GBP",O646*1.27,N646="EUR",O646*1.09,N646="INR",O646*0.012,N646="N/A","N/A")</f>
        <v>156.3751</v>
      </c>
      <c r="Q646">
        <v>1</v>
      </c>
      <c r="R646" t="str" cm="1">
        <f t="array" ref="R646">_xlfn.IFS(Q646="Y","Yes", Q646="Yes","Yes", Q646="N","No", Q646="No","No", Q646=1,"N/A", Q646=0,"N/A", TRUE,"")</f>
        <v>N/A</v>
      </c>
      <c r="S646">
        <f t="shared" si="86"/>
        <v>11</v>
      </c>
      <c r="T646">
        <f t="shared" si="87"/>
        <v>1</v>
      </c>
      <c r="U646" t="str" cm="1">
        <f t="array" ref="U646">_xlfn.IFS(D646&lt;40,"Young Adult",AND(D646&gt;=40,D646&lt;65),"Middle Aged", D646&gt;=65,"Elderly")</f>
        <v>Elderly</v>
      </c>
    </row>
    <row r="647" spans="1:21" x14ac:dyDescent="0.2">
      <c r="A647">
        <v>1088</v>
      </c>
      <c r="B647">
        <f t="shared" si="80"/>
        <v>646</v>
      </c>
      <c r="C647" t="s">
        <v>1912</v>
      </c>
      <c r="D647">
        <v>79</v>
      </c>
      <c r="E647" t="s">
        <v>2937</v>
      </c>
      <c r="F647" t="str">
        <f t="shared" si="81"/>
        <v>N/A</v>
      </c>
      <c r="G647" s="1">
        <v>45982</v>
      </c>
      <c r="H647" s="1">
        <v>45911</v>
      </c>
      <c r="I647" t="s">
        <v>1913</v>
      </c>
      <c r="J647" t="str">
        <f t="shared" si="82"/>
        <v>Courtney Yang</v>
      </c>
      <c r="K647" t="s">
        <v>18</v>
      </c>
      <c r="L647" t="str">
        <f t="shared" si="83"/>
        <v>Orthopedics</v>
      </c>
      <c r="M647" t="s">
        <v>1914</v>
      </c>
      <c r="N647" t="str">
        <f t="shared" si="84"/>
        <v>USD</v>
      </c>
      <c r="O647">
        <f t="shared" si="85"/>
        <v>337.15</v>
      </c>
      <c r="P647" cm="1">
        <f t="array" ref="P647">_xlfn.IFS(N647="USD",O647*1,N647="GBP",O647*1.27,N647="EUR",O647*1.09,N647="INR",O647*0.012,N647="N/A","N/A")</f>
        <v>337.15</v>
      </c>
      <c r="Q647" t="s">
        <v>30</v>
      </c>
      <c r="R647" t="str" cm="1">
        <f t="array" ref="R647">_xlfn.IFS(Q647="Y","Yes", Q647="Yes","Yes", Q647="N","No", Q647="No","No", Q647=1,"N/A", Q647=0,"N/A", TRUE,"")</f>
        <v>No</v>
      </c>
      <c r="S647">
        <f t="shared" si="86"/>
        <v>16</v>
      </c>
      <c r="T647">
        <f t="shared" si="87"/>
        <v>1</v>
      </c>
      <c r="U647" t="str" cm="1">
        <f t="array" ref="U647">_xlfn.IFS(D647&lt;40,"Young Adult",AND(D647&gt;=40,D647&lt;65),"Middle Aged", D647&gt;=65,"Elderly")</f>
        <v>Elderly</v>
      </c>
    </row>
    <row r="648" spans="1:21" x14ac:dyDescent="0.2">
      <c r="A648">
        <v>1001</v>
      </c>
      <c r="B648">
        <f t="shared" si="80"/>
        <v>647</v>
      </c>
      <c r="C648" t="s">
        <v>1915</v>
      </c>
      <c r="D648">
        <v>27</v>
      </c>
      <c r="E648" t="s">
        <v>38</v>
      </c>
      <c r="F648" t="str">
        <f t="shared" si="81"/>
        <v>Female</v>
      </c>
      <c r="G648" s="1">
        <v>45887</v>
      </c>
      <c r="H648" s="1">
        <v>45800</v>
      </c>
      <c r="I648" t="s">
        <v>1916</v>
      </c>
      <c r="J648" t="str">
        <f t="shared" si="82"/>
        <v>Henry Kelley</v>
      </c>
      <c r="K648" t="s">
        <v>24</v>
      </c>
      <c r="L648" t="str">
        <f t="shared" si="83"/>
        <v>Neurology</v>
      </c>
      <c r="M648" t="s">
        <v>1917</v>
      </c>
      <c r="N648" t="str">
        <f t="shared" si="84"/>
        <v>EUR</v>
      </c>
      <c r="O648">
        <f t="shared" si="85"/>
        <v>180.76</v>
      </c>
      <c r="P648" cm="1">
        <f t="array" ref="P648">_xlfn.IFS(N648="USD",O648*1,N648="GBP",O648*1.27,N648="EUR",O648*1.09,N648="INR",O648*0.012,N648="N/A","N/A")</f>
        <v>197.0284</v>
      </c>
      <c r="Q648">
        <v>0</v>
      </c>
      <c r="R648" t="str" cm="1">
        <f t="array" ref="R648">_xlfn.IFS(Q648="Y","Yes", Q648="Yes","Yes", Q648="N","No", Q648="No","No", Q648=1,"N/A", Q648=0,"N/A", TRUE,"")</f>
        <v>N/A</v>
      </c>
      <c r="S648">
        <f t="shared" si="86"/>
        <v>12</v>
      </c>
      <c r="T648">
        <f t="shared" si="87"/>
        <v>1</v>
      </c>
      <c r="U648" t="str" cm="1">
        <f t="array" ref="U648">_xlfn.IFS(D648&lt;40,"Young Adult",AND(D648&gt;=40,D648&lt;65),"Middle Aged", D648&gt;=65,"Elderly")</f>
        <v>Young Adult</v>
      </c>
    </row>
    <row r="649" spans="1:21" x14ac:dyDescent="0.2">
      <c r="A649">
        <v>1076</v>
      </c>
      <c r="B649">
        <f t="shared" si="80"/>
        <v>648</v>
      </c>
      <c r="C649" t="s">
        <v>1918</v>
      </c>
      <c r="D649">
        <v>19</v>
      </c>
      <c r="E649" t="s">
        <v>2937</v>
      </c>
      <c r="F649" t="str">
        <f t="shared" si="81"/>
        <v>N/A</v>
      </c>
      <c r="G649" s="1">
        <v>46075</v>
      </c>
      <c r="H649" s="1">
        <v>45820</v>
      </c>
      <c r="I649" t="s">
        <v>1919</v>
      </c>
      <c r="J649" t="str">
        <f t="shared" si="82"/>
        <v>Adam Anderson</v>
      </c>
      <c r="K649" t="s">
        <v>18</v>
      </c>
      <c r="L649" t="str">
        <f t="shared" si="83"/>
        <v>Orthopedics</v>
      </c>
      <c r="M649" t="s">
        <v>1920</v>
      </c>
      <c r="N649" t="str">
        <f t="shared" si="84"/>
        <v>USD</v>
      </c>
      <c r="O649">
        <f t="shared" si="85"/>
        <v>445.97</v>
      </c>
      <c r="P649" cm="1">
        <f t="array" ref="P649">_xlfn.IFS(N649="USD",O649*1,N649="GBP",O649*1.27,N649="EUR",O649*1.09,N649="INR",O649*0.012,N649="N/A","N/A")</f>
        <v>445.97</v>
      </c>
      <c r="Q649" t="s">
        <v>20</v>
      </c>
      <c r="R649" t="str" cm="1">
        <f t="array" ref="R649">_xlfn.IFS(Q649="Y","Yes", Q649="Yes","Yes", Q649="N","No", Q649="No","No", Q649=1,"N/A", Q649=0,"N/A", TRUE,"")</f>
        <v>Yes</v>
      </c>
      <c r="S649">
        <f t="shared" si="86"/>
        <v>6</v>
      </c>
      <c r="T649">
        <f t="shared" si="87"/>
        <v>1</v>
      </c>
      <c r="U649" t="str" cm="1">
        <f t="array" ref="U649">_xlfn.IFS(D649&lt;40,"Young Adult",AND(D649&gt;=40,D649&lt;65),"Middle Aged", D649&gt;=65,"Elderly")</f>
        <v>Young Adult</v>
      </c>
    </row>
    <row r="650" spans="1:21" x14ac:dyDescent="0.2">
      <c r="A650">
        <v>1019</v>
      </c>
      <c r="B650">
        <f t="shared" si="80"/>
        <v>649</v>
      </c>
      <c r="C650" t="s">
        <v>1921</v>
      </c>
      <c r="D650">
        <v>41</v>
      </c>
      <c r="E650" t="s">
        <v>51</v>
      </c>
      <c r="F650" t="str">
        <f t="shared" si="81"/>
        <v>Male</v>
      </c>
      <c r="G650" s="1">
        <v>45961</v>
      </c>
      <c r="H650" s="1">
        <v>45483</v>
      </c>
      <c r="I650" t="s">
        <v>1922</v>
      </c>
      <c r="J650" t="str">
        <f t="shared" si="82"/>
        <v>Justin Thomas</v>
      </c>
      <c r="K650" t="s">
        <v>24</v>
      </c>
      <c r="L650" t="str">
        <f t="shared" si="83"/>
        <v>Neurology</v>
      </c>
      <c r="M650" t="s">
        <v>1923</v>
      </c>
      <c r="N650" t="str">
        <f t="shared" si="84"/>
        <v>GBP</v>
      </c>
      <c r="O650">
        <f t="shared" si="85"/>
        <v>236.58</v>
      </c>
      <c r="P650" cm="1">
        <f t="array" ref="P650">_xlfn.IFS(N650="USD",O650*1,N650="GBP",O650*1.27,N650="EUR",O650*1.09,N650="INR",O650*0.012,N650="N/A","N/A")</f>
        <v>300.45660000000004</v>
      </c>
      <c r="Q650">
        <v>0</v>
      </c>
      <c r="R650" t="str" cm="1">
        <f t="array" ref="R650">_xlfn.IFS(Q650="Y","Yes", Q650="Yes","Yes", Q650="N","No", Q650="No","No", Q650=1,"N/A", Q650=0,"N/A", TRUE,"")</f>
        <v>N/A</v>
      </c>
      <c r="S650">
        <f t="shared" si="86"/>
        <v>6</v>
      </c>
      <c r="T650">
        <f t="shared" si="87"/>
        <v>1</v>
      </c>
      <c r="U650" t="str" cm="1">
        <f t="array" ref="U650">_xlfn.IFS(D650&lt;40,"Young Adult",AND(D650&gt;=40,D650&lt;65),"Middle Aged", D650&gt;=65,"Elderly")</f>
        <v>Middle Aged</v>
      </c>
    </row>
    <row r="651" spans="1:21" x14ac:dyDescent="0.2">
      <c r="A651">
        <v>1005</v>
      </c>
      <c r="B651">
        <f t="shared" si="80"/>
        <v>650</v>
      </c>
      <c r="C651" t="s">
        <v>1924</v>
      </c>
      <c r="D651">
        <v>55</v>
      </c>
      <c r="E651" t="s">
        <v>16</v>
      </c>
      <c r="F651" t="str">
        <f t="shared" si="81"/>
        <v>Female</v>
      </c>
      <c r="G651" s="1">
        <v>45876</v>
      </c>
      <c r="H651" s="1">
        <v>45388</v>
      </c>
      <c r="I651" t="s">
        <v>1925</v>
      </c>
      <c r="J651" t="str">
        <f t="shared" si="82"/>
        <v>Guy Vaughn</v>
      </c>
      <c r="K651" t="s">
        <v>13</v>
      </c>
      <c r="L651" t="str">
        <f t="shared" si="83"/>
        <v>Cardiology</v>
      </c>
      <c r="M651" t="s">
        <v>1926</v>
      </c>
      <c r="N651" t="str">
        <f t="shared" si="84"/>
        <v>USD</v>
      </c>
      <c r="O651">
        <f t="shared" si="85"/>
        <v>125.33</v>
      </c>
      <c r="P651" cm="1">
        <f t="array" ref="P651">_xlfn.IFS(N651="USD",O651*1,N651="GBP",O651*1.27,N651="EUR",O651*1.09,N651="INR",O651*0.012,N651="N/A","N/A")</f>
        <v>125.33</v>
      </c>
      <c r="Q651">
        <v>0</v>
      </c>
      <c r="R651" t="str" cm="1">
        <f t="array" ref="R651">_xlfn.IFS(Q651="Y","Yes", Q651="Yes","Yes", Q651="N","No", Q651="No","No", Q651=1,"N/A", Q651=0,"N/A", TRUE,"")</f>
        <v>N/A</v>
      </c>
      <c r="S651">
        <f t="shared" si="86"/>
        <v>13</v>
      </c>
      <c r="T651">
        <f t="shared" si="87"/>
        <v>1</v>
      </c>
      <c r="U651" t="str" cm="1">
        <f t="array" ref="U651">_xlfn.IFS(D651&lt;40,"Young Adult",AND(D651&gt;=40,D651&lt;65),"Middle Aged", D651&gt;=65,"Elderly")</f>
        <v>Middle Aged</v>
      </c>
    </row>
    <row r="652" spans="1:21" x14ac:dyDescent="0.2">
      <c r="A652">
        <v>1030</v>
      </c>
      <c r="B652">
        <f t="shared" si="80"/>
        <v>651</v>
      </c>
      <c r="C652" t="s">
        <v>1927</v>
      </c>
      <c r="D652">
        <v>59</v>
      </c>
      <c r="E652" t="s">
        <v>71</v>
      </c>
      <c r="F652" t="str">
        <f t="shared" si="81"/>
        <v>Male</v>
      </c>
      <c r="G652" s="1">
        <v>45991</v>
      </c>
      <c r="H652" s="1">
        <v>45870</v>
      </c>
      <c r="I652" t="s">
        <v>1928</v>
      </c>
      <c r="J652" t="str">
        <f t="shared" si="82"/>
        <v>Andrew Terry</v>
      </c>
      <c r="K652" t="s">
        <v>18</v>
      </c>
      <c r="L652" t="str">
        <f t="shared" si="83"/>
        <v>Orthopedics</v>
      </c>
      <c r="M652" t="s">
        <v>1929</v>
      </c>
      <c r="N652" t="str">
        <f t="shared" si="84"/>
        <v>EUR</v>
      </c>
      <c r="O652">
        <f t="shared" si="85"/>
        <v>394.58</v>
      </c>
      <c r="P652" cm="1">
        <f t="array" ref="P652">_xlfn.IFS(N652="USD",O652*1,N652="GBP",O652*1.27,N652="EUR",O652*1.09,N652="INR",O652*0.012,N652="N/A","N/A")</f>
        <v>430.09219999999999</v>
      </c>
      <c r="Q652">
        <v>1</v>
      </c>
      <c r="R652" t="str" cm="1">
        <f t="array" ref="R652">_xlfn.IFS(Q652="Y","Yes", Q652="Yes","Yes", Q652="N","No", Q652="No","No", Q652=1,"N/A", Q652=0,"N/A", TRUE,"")</f>
        <v>N/A</v>
      </c>
      <c r="S652">
        <f t="shared" si="86"/>
        <v>11</v>
      </c>
      <c r="T652">
        <f t="shared" si="87"/>
        <v>1</v>
      </c>
      <c r="U652" t="str" cm="1">
        <f t="array" ref="U652">_xlfn.IFS(D652&lt;40,"Young Adult",AND(D652&gt;=40,D652&lt;65),"Middle Aged", D652&gt;=65,"Elderly")</f>
        <v>Middle Aged</v>
      </c>
    </row>
    <row r="653" spans="1:21" x14ac:dyDescent="0.2">
      <c r="A653">
        <v>1088</v>
      </c>
      <c r="B653">
        <f t="shared" si="80"/>
        <v>652</v>
      </c>
      <c r="C653" t="s">
        <v>1930</v>
      </c>
      <c r="D653">
        <v>55</v>
      </c>
      <c r="E653" t="s">
        <v>16</v>
      </c>
      <c r="F653" t="str">
        <f t="shared" si="81"/>
        <v>Female</v>
      </c>
      <c r="G653" s="1">
        <v>45983</v>
      </c>
      <c r="H653" s="1">
        <v>45544</v>
      </c>
      <c r="I653" t="s">
        <v>1931</v>
      </c>
      <c r="J653" t="str">
        <f t="shared" si="82"/>
        <v>Michael Murphy</v>
      </c>
      <c r="K653" t="s">
        <v>18</v>
      </c>
      <c r="L653" t="str">
        <f t="shared" si="83"/>
        <v>Orthopedics</v>
      </c>
      <c r="M653" t="s">
        <v>1932</v>
      </c>
      <c r="N653" t="str">
        <f t="shared" si="84"/>
        <v>EUR</v>
      </c>
      <c r="O653">
        <f t="shared" si="85"/>
        <v>96.12</v>
      </c>
      <c r="P653" cm="1">
        <f t="array" ref="P653">_xlfn.IFS(N653="USD",O653*1,N653="GBP",O653*1.27,N653="EUR",O653*1.09,N653="INR",O653*0.012,N653="N/A","N/A")</f>
        <v>104.77080000000001</v>
      </c>
      <c r="Q653">
        <v>0</v>
      </c>
      <c r="R653" t="str" cm="1">
        <f t="array" ref="R653">_xlfn.IFS(Q653="Y","Yes", Q653="Yes","Yes", Q653="N","No", Q653="No","No", Q653=1,"N/A", Q653=0,"N/A", TRUE,"")</f>
        <v>N/A</v>
      </c>
      <c r="S653">
        <f t="shared" si="86"/>
        <v>16</v>
      </c>
      <c r="T653">
        <f t="shared" si="87"/>
        <v>1</v>
      </c>
      <c r="U653" t="str" cm="1">
        <f t="array" ref="U653">_xlfn.IFS(D653&lt;40,"Young Adult",AND(D653&gt;=40,D653&lt;65),"Middle Aged", D653&gt;=65,"Elderly")</f>
        <v>Middle Aged</v>
      </c>
    </row>
    <row r="654" spans="1:21" x14ac:dyDescent="0.2">
      <c r="A654">
        <v>1018</v>
      </c>
      <c r="B654">
        <f t="shared" si="80"/>
        <v>653</v>
      </c>
      <c r="C654" t="s">
        <v>1933</v>
      </c>
      <c r="D654">
        <v>68</v>
      </c>
      <c r="E654" t="s">
        <v>71</v>
      </c>
      <c r="F654" t="str">
        <f t="shared" si="81"/>
        <v>Male</v>
      </c>
      <c r="G654" s="1">
        <v>45769</v>
      </c>
      <c r="H654" s="1">
        <v>45750</v>
      </c>
      <c r="I654" t="s">
        <v>1934</v>
      </c>
      <c r="J654" t="str">
        <f t="shared" si="82"/>
        <v>Robert Escobar</v>
      </c>
      <c r="K654" t="s">
        <v>24</v>
      </c>
      <c r="L654" t="str">
        <f t="shared" si="83"/>
        <v>Neurology</v>
      </c>
      <c r="M654" t="s">
        <v>1935</v>
      </c>
      <c r="N654" t="str">
        <f t="shared" si="84"/>
        <v>INR</v>
      </c>
      <c r="O654">
        <f t="shared" si="85"/>
        <v>305.01</v>
      </c>
      <c r="P654" cm="1">
        <f t="array" ref="P654">_xlfn.IFS(N654="USD",O654*1,N654="GBP",O654*1.27,N654="EUR",O654*1.09,N654="INR",O654*0.012,N654="N/A","N/A")</f>
        <v>3.66012</v>
      </c>
      <c r="Q654">
        <v>0</v>
      </c>
      <c r="R654" t="str" cm="1">
        <f t="array" ref="R654">_xlfn.IFS(Q654="Y","Yes", Q654="Yes","Yes", Q654="N","No", Q654="No","No", Q654=1,"N/A", Q654=0,"N/A", TRUE,"")</f>
        <v>N/A</v>
      </c>
      <c r="S654">
        <f t="shared" si="86"/>
        <v>14</v>
      </c>
      <c r="T654">
        <f t="shared" si="87"/>
        <v>1</v>
      </c>
      <c r="U654" t="str" cm="1">
        <f t="array" ref="U654">_xlfn.IFS(D654&lt;40,"Young Adult",AND(D654&gt;=40,D654&lt;65),"Middle Aged", D654&gt;=65,"Elderly")</f>
        <v>Elderly</v>
      </c>
    </row>
    <row r="655" spans="1:21" x14ac:dyDescent="0.2">
      <c r="A655">
        <v>1092</v>
      </c>
      <c r="B655">
        <f t="shared" si="80"/>
        <v>654</v>
      </c>
      <c r="C655" t="s">
        <v>1936</v>
      </c>
      <c r="D655">
        <v>68</v>
      </c>
      <c r="E655" t="s">
        <v>38</v>
      </c>
      <c r="F655" t="str">
        <f t="shared" si="81"/>
        <v>Female</v>
      </c>
      <c r="G655" s="1">
        <v>45831</v>
      </c>
      <c r="H655" s="1">
        <v>45589</v>
      </c>
      <c r="I655" t="s">
        <v>1937</v>
      </c>
      <c r="J655" t="str">
        <f t="shared" si="82"/>
        <v>Mia Boyd</v>
      </c>
      <c r="K655" t="s">
        <v>13</v>
      </c>
      <c r="L655" t="str">
        <f t="shared" si="83"/>
        <v>Cardiology</v>
      </c>
      <c r="M655" t="s">
        <v>1938</v>
      </c>
      <c r="N655" t="str">
        <f t="shared" si="84"/>
        <v>USD</v>
      </c>
      <c r="O655">
        <f t="shared" si="85"/>
        <v>169.01</v>
      </c>
      <c r="P655" cm="1">
        <f t="array" ref="P655">_xlfn.IFS(N655="USD",O655*1,N655="GBP",O655*1.27,N655="EUR",O655*1.09,N655="INR",O655*0.012,N655="N/A","N/A")</f>
        <v>169.01</v>
      </c>
      <c r="Q655" t="s">
        <v>60</v>
      </c>
      <c r="R655" t="str" cm="1">
        <f t="array" ref="R655">_xlfn.IFS(Q655="Y","Yes", Q655="Yes","Yes", Q655="N","No", Q655="No","No", Q655=1,"N/A", Q655=0,"N/A", TRUE,"")</f>
        <v>No</v>
      </c>
      <c r="S655">
        <f t="shared" si="86"/>
        <v>11</v>
      </c>
      <c r="T655">
        <f t="shared" si="87"/>
        <v>1</v>
      </c>
      <c r="U655" t="str" cm="1">
        <f t="array" ref="U655">_xlfn.IFS(D655&lt;40,"Young Adult",AND(D655&gt;=40,D655&lt;65),"Middle Aged", D655&gt;=65,"Elderly")</f>
        <v>Elderly</v>
      </c>
    </row>
    <row r="656" spans="1:21" x14ac:dyDescent="0.2">
      <c r="A656">
        <v>1030</v>
      </c>
      <c r="B656">
        <f t="shared" si="80"/>
        <v>655</v>
      </c>
      <c r="C656" t="s">
        <v>1939</v>
      </c>
      <c r="D656">
        <v>39</v>
      </c>
      <c r="E656" t="s">
        <v>51</v>
      </c>
      <c r="F656" t="str">
        <f t="shared" si="81"/>
        <v>Male</v>
      </c>
      <c r="G656" s="1">
        <v>45979</v>
      </c>
      <c r="H656" s="1">
        <v>45965</v>
      </c>
      <c r="I656" t="s">
        <v>1940</v>
      </c>
      <c r="J656" t="str">
        <f t="shared" si="82"/>
        <v>Paula Mann</v>
      </c>
      <c r="K656" t="s">
        <v>24</v>
      </c>
      <c r="L656" t="str">
        <f t="shared" si="83"/>
        <v>Neurology</v>
      </c>
      <c r="M656" t="s">
        <v>1941</v>
      </c>
      <c r="N656" t="str">
        <f t="shared" si="84"/>
        <v>EUR</v>
      </c>
      <c r="O656">
        <f t="shared" si="85"/>
        <v>304.86</v>
      </c>
      <c r="P656" cm="1">
        <f t="array" ref="P656">_xlfn.IFS(N656="USD",O656*1,N656="GBP",O656*1.27,N656="EUR",O656*1.09,N656="INR",O656*0.012,N656="N/A","N/A")</f>
        <v>332.29740000000004</v>
      </c>
      <c r="Q656">
        <v>0</v>
      </c>
      <c r="R656" t="str" cm="1">
        <f t="array" ref="R656">_xlfn.IFS(Q656="Y","Yes", Q656="Yes","Yes", Q656="N","No", Q656="No","No", Q656=1,"N/A", Q656=0,"N/A", TRUE,"")</f>
        <v>N/A</v>
      </c>
      <c r="S656">
        <f t="shared" si="86"/>
        <v>11</v>
      </c>
      <c r="T656">
        <f t="shared" si="87"/>
        <v>1</v>
      </c>
      <c r="U656" t="str" cm="1">
        <f t="array" ref="U656">_xlfn.IFS(D656&lt;40,"Young Adult",AND(D656&gt;=40,D656&lt;65),"Middle Aged", D656&gt;=65,"Elderly")</f>
        <v>Young Adult</v>
      </c>
    </row>
    <row r="657" spans="1:21" x14ac:dyDescent="0.2">
      <c r="A657">
        <v>1089</v>
      </c>
      <c r="B657">
        <f t="shared" si="80"/>
        <v>656</v>
      </c>
      <c r="C657" t="s">
        <v>1942</v>
      </c>
      <c r="D657">
        <v>63</v>
      </c>
      <c r="E657" t="s">
        <v>22</v>
      </c>
      <c r="F657" t="str">
        <f t="shared" si="81"/>
        <v>Male</v>
      </c>
      <c r="G657" s="1">
        <v>45970</v>
      </c>
      <c r="H657" s="1">
        <v>45634</v>
      </c>
      <c r="I657" t="s">
        <v>1943</v>
      </c>
      <c r="J657" t="str">
        <f t="shared" si="82"/>
        <v>Mark Barrett</v>
      </c>
      <c r="K657" t="s">
        <v>24</v>
      </c>
      <c r="L657" t="str">
        <f t="shared" si="83"/>
        <v>Neurology</v>
      </c>
      <c r="M657" t="s">
        <v>1944</v>
      </c>
      <c r="N657" t="str">
        <f t="shared" si="84"/>
        <v>INR</v>
      </c>
      <c r="O657">
        <f t="shared" si="85"/>
        <v>426.51</v>
      </c>
      <c r="P657" cm="1">
        <f t="array" ref="P657">_xlfn.IFS(N657="USD",O657*1,N657="GBP",O657*1.27,N657="EUR",O657*1.09,N657="INR",O657*0.012,N657="N/A","N/A")</f>
        <v>5.1181200000000002</v>
      </c>
      <c r="Q657">
        <v>1</v>
      </c>
      <c r="R657" t="str" cm="1">
        <f t="array" ref="R657">_xlfn.IFS(Q657="Y","Yes", Q657="Yes","Yes", Q657="N","No", Q657="No","No", Q657=1,"N/A", Q657=0,"N/A", TRUE,"")</f>
        <v>N/A</v>
      </c>
      <c r="S657">
        <f t="shared" si="86"/>
        <v>16</v>
      </c>
      <c r="T657">
        <f t="shared" si="87"/>
        <v>1</v>
      </c>
      <c r="U657" t="str" cm="1">
        <f t="array" ref="U657">_xlfn.IFS(D657&lt;40,"Young Adult",AND(D657&gt;=40,D657&lt;65),"Middle Aged", D657&gt;=65,"Elderly")</f>
        <v>Middle Aged</v>
      </c>
    </row>
    <row r="658" spans="1:21" x14ac:dyDescent="0.2">
      <c r="A658">
        <v>1043</v>
      </c>
      <c r="B658">
        <f t="shared" si="80"/>
        <v>657</v>
      </c>
      <c r="C658" t="s">
        <v>1945</v>
      </c>
      <c r="D658">
        <v>82</v>
      </c>
      <c r="E658" t="s">
        <v>2937</v>
      </c>
      <c r="F658" t="str">
        <f t="shared" si="81"/>
        <v>N/A</v>
      </c>
      <c r="G658" s="1">
        <v>45800</v>
      </c>
      <c r="H658" s="1">
        <v>45583</v>
      </c>
      <c r="I658" t="s">
        <v>1946</v>
      </c>
      <c r="J658" t="str">
        <f t="shared" si="82"/>
        <v>Jeremy Burton</v>
      </c>
      <c r="K658" t="s">
        <v>13</v>
      </c>
      <c r="L658" t="str">
        <f t="shared" si="83"/>
        <v>Cardiology</v>
      </c>
      <c r="M658" t="s">
        <v>1947</v>
      </c>
      <c r="N658" t="str">
        <f t="shared" si="84"/>
        <v>USD</v>
      </c>
      <c r="O658">
        <f t="shared" si="85"/>
        <v>215.76</v>
      </c>
      <c r="P658" cm="1">
        <f t="array" ref="P658">_xlfn.IFS(N658="USD",O658*1,N658="GBP",O658*1.27,N658="EUR",O658*1.09,N658="INR",O658*0.012,N658="N/A","N/A")</f>
        <v>215.76</v>
      </c>
      <c r="Q658" t="s">
        <v>60</v>
      </c>
      <c r="R658" t="str" cm="1">
        <f t="array" ref="R658">_xlfn.IFS(Q658="Y","Yes", Q658="Yes","Yes", Q658="N","No", Q658="No","No", Q658=1,"N/A", Q658=0,"N/A", TRUE,"")</f>
        <v>No</v>
      </c>
      <c r="S658">
        <f t="shared" si="86"/>
        <v>12</v>
      </c>
      <c r="T658">
        <f t="shared" si="87"/>
        <v>1</v>
      </c>
      <c r="U658" t="str" cm="1">
        <f t="array" ref="U658">_xlfn.IFS(D658&lt;40,"Young Adult",AND(D658&gt;=40,D658&lt;65),"Middle Aged", D658&gt;=65,"Elderly")</f>
        <v>Elderly</v>
      </c>
    </row>
    <row r="659" spans="1:21" x14ac:dyDescent="0.2">
      <c r="A659">
        <v>1021</v>
      </c>
      <c r="B659">
        <f t="shared" si="80"/>
        <v>658</v>
      </c>
      <c r="C659" t="s">
        <v>1948</v>
      </c>
      <c r="D659">
        <v>25</v>
      </c>
      <c r="E659" t="s">
        <v>38</v>
      </c>
      <c r="F659" t="str">
        <f t="shared" si="81"/>
        <v>Female</v>
      </c>
      <c r="G659" s="1">
        <v>45931</v>
      </c>
      <c r="H659" s="1">
        <v>45536</v>
      </c>
      <c r="I659" t="s">
        <v>1949</v>
      </c>
      <c r="J659" t="str">
        <f t="shared" si="82"/>
        <v>Christy Lewis</v>
      </c>
      <c r="K659" t="s">
        <v>13</v>
      </c>
      <c r="L659" t="str">
        <f t="shared" si="83"/>
        <v>Cardiology</v>
      </c>
      <c r="M659" t="s">
        <v>1950</v>
      </c>
      <c r="N659" t="str">
        <f t="shared" si="84"/>
        <v>USD</v>
      </c>
      <c r="O659">
        <f t="shared" si="85"/>
        <v>184.11</v>
      </c>
      <c r="P659" cm="1">
        <f t="array" ref="P659">_xlfn.IFS(N659="USD",O659*1,N659="GBP",O659*1.27,N659="EUR",O659*1.09,N659="INR",O659*0.012,N659="N/A","N/A")</f>
        <v>184.11</v>
      </c>
      <c r="Q659" t="s">
        <v>20</v>
      </c>
      <c r="R659" t="str" cm="1">
        <f t="array" ref="R659">_xlfn.IFS(Q659="Y","Yes", Q659="Yes","Yes", Q659="N","No", Q659="No","No", Q659=1,"N/A", Q659=0,"N/A", TRUE,"")</f>
        <v>Yes</v>
      </c>
      <c r="S659">
        <f t="shared" si="86"/>
        <v>16</v>
      </c>
      <c r="T659">
        <f t="shared" si="87"/>
        <v>1</v>
      </c>
      <c r="U659" t="str" cm="1">
        <f t="array" ref="U659">_xlfn.IFS(D659&lt;40,"Young Adult",AND(D659&gt;=40,D659&lt;65),"Middle Aged", D659&gt;=65,"Elderly")</f>
        <v>Young Adult</v>
      </c>
    </row>
    <row r="660" spans="1:21" x14ac:dyDescent="0.2">
      <c r="A660">
        <v>1086</v>
      </c>
      <c r="B660">
        <f t="shared" si="80"/>
        <v>659</v>
      </c>
      <c r="C660" t="s">
        <v>1951</v>
      </c>
      <c r="D660">
        <v>80</v>
      </c>
      <c r="E660" t="s">
        <v>2937</v>
      </c>
      <c r="F660" t="str">
        <f t="shared" si="81"/>
        <v>N/A</v>
      </c>
      <c r="G660" s="1">
        <v>45985</v>
      </c>
      <c r="H660" s="1">
        <v>45655</v>
      </c>
      <c r="I660" t="s">
        <v>1952</v>
      </c>
      <c r="J660" t="str">
        <f t="shared" si="82"/>
        <v>Robin Hebert</v>
      </c>
      <c r="K660" t="s">
        <v>13</v>
      </c>
      <c r="L660" t="str">
        <f t="shared" si="83"/>
        <v>Cardiology</v>
      </c>
      <c r="M660" t="s">
        <v>1953</v>
      </c>
      <c r="N660" t="str">
        <f t="shared" si="84"/>
        <v>INR</v>
      </c>
      <c r="O660">
        <f t="shared" si="85"/>
        <v>226.12</v>
      </c>
      <c r="P660" cm="1">
        <f t="array" ref="P660">_xlfn.IFS(N660="USD",O660*1,N660="GBP",O660*1.27,N660="EUR",O660*1.09,N660="INR",O660*0.012,N660="N/A","N/A")</f>
        <v>2.7134400000000003</v>
      </c>
      <c r="Q660">
        <v>1</v>
      </c>
      <c r="R660" t="str" cm="1">
        <f t="array" ref="R660">_xlfn.IFS(Q660="Y","Yes", Q660="Yes","Yes", Q660="N","No", Q660="No","No", Q660=1,"N/A", Q660=0,"N/A", TRUE,"")</f>
        <v>N/A</v>
      </c>
      <c r="S660">
        <f t="shared" si="86"/>
        <v>9</v>
      </c>
      <c r="T660">
        <f t="shared" si="87"/>
        <v>1</v>
      </c>
      <c r="U660" t="str" cm="1">
        <f t="array" ref="U660">_xlfn.IFS(D660&lt;40,"Young Adult",AND(D660&gt;=40,D660&lt;65),"Middle Aged", D660&gt;=65,"Elderly")</f>
        <v>Elderly</v>
      </c>
    </row>
    <row r="661" spans="1:21" x14ac:dyDescent="0.2">
      <c r="A661">
        <v>1016</v>
      </c>
      <c r="B661">
        <f t="shared" si="80"/>
        <v>660</v>
      </c>
      <c r="C661" t="s">
        <v>1954</v>
      </c>
      <c r="D661">
        <v>53</v>
      </c>
      <c r="E661" t="s">
        <v>38</v>
      </c>
      <c r="F661" t="str">
        <f t="shared" si="81"/>
        <v>Female</v>
      </c>
      <c r="G661" s="1">
        <v>45806</v>
      </c>
      <c r="H661" s="1">
        <v>45710</v>
      </c>
      <c r="I661" t="s">
        <v>1955</v>
      </c>
      <c r="J661" t="str">
        <f t="shared" si="82"/>
        <v>Eric Kennedy</v>
      </c>
      <c r="K661" t="s">
        <v>18</v>
      </c>
      <c r="L661" t="str">
        <f t="shared" si="83"/>
        <v>Orthopedics</v>
      </c>
      <c r="M661" t="s">
        <v>1956</v>
      </c>
      <c r="N661" t="str">
        <f t="shared" si="84"/>
        <v>INR</v>
      </c>
      <c r="O661">
        <f t="shared" si="85"/>
        <v>277.5</v>
      </c>
      <c r="P661" cm="1">
        <f t="array" ref="P661">_xlfn.IFS(N661="USD",O661*1,N661="GBP",O661*1.27,N661="EUR",O661*1.09,N661="INR",O661*0.012,N661="N/A","N/A")</f>
        <v>3.33</v>
      </c>
      <c r="Q661" t="s">
        <v>36</v>
      </c>
      <c r="R661" t="str" cm="1">
        <f t="array" ref="R661">_xlfn.IFS(Q661="Y","Yes", Q661="Yes","Yes", Q661="N","No", Q661="No","No", Q661=1,"N/A", Q661=0,"N/A", TRUE,"")</f>
        <v>Yes</v>
      </c>
      <c r="S661">
        <f t="shared" si="86"/>
        <v>15</v>
      </c>
      <c r="T661">
        <f t="shared" si="87"/>
        <v>1</v>
      </c>
      <c r="U661" t="str" cm="1">
        <f t="array" ref="U661">_xlfn.IFS(D661&lt;40,"Young Adult",AND(D661&gt;=40,D661&lt;65),"Middle Aged", D661&gt;=65,"Elderly")</f>
        <v>Middle Aged</v>
      </c>
    </row>
    <row r="662" spans="1:21" x14ac:dyDescent="0.2">
      <c r="A662">
        <v>1050</v>
      </c>
      <c r="B662">
        <f t="shared" si="80"/>
        <v>661</v>
      </c>
      <c r="C662" t="s">
        <v>1957</v>
      </c>
      <c r="D662">
        <v>83</v>
      </c>
      <c r="E662" t="s">
        <v>22</v>
      </c>
      <c r="F662" t="str">
        <f t="shared" si="81"/>
        <v>Male</v>
      </c>
      <c r="G662" s="1">
        <v>45911</v>
      </c>
      <c r="H662" s="1">
        <v>45538</v>
      </c>
      <c r="I662" t="s">
        <v>1958</v>
      </c>
      <c r="J662" t="str">
        <f t="shared" si="82"/>
        <v>David Riley</v>
      </c>
      <c r="K662" t="s">
        <v>24</v>
      </c>
      <c r="L662" t="str">
        <f t="shared" si="83"/>
        <v>Neurology</v>
      </c>
      <c r="M662" t="s">
        <v>1959</v>
      </c>
      <c r="N662" t="str">
        <f t="shared" si="84"/>
        <v>INR</v>
      </c>
      <c r="O662">
        <f t="shared" si="85"/>
        <v>63.99</v>
      </c>
      <c r="P662" cm="1">
        <f t="array" ref="P662">_xlfn.IFS(N662="USD",O662*1,N662="GBP",O662*1.27,N662="EUR",O662*1.09,N662="INR",O662*0.012,N662="N/A","N/A")</f>
        <v>0.76788000000000001</v>
      </c>
      <c r="Q662" t="s">
        <v>60</v>
      </c>
      <c r="R662" t="str" cm="1">
        <f t="array" ref="R662">_xlfn.IFS(Q662="Y","Yes", Q662="Yes","Yes", Q662="N","No", Q662="No","No", Q662=1,"N/A", Q662=0,"N/A", TRUE,"")</f>
        <v>No</v>
      </c>
      <c r="S662">
        <f t="shared" si="86"/>
        <v>12</v>
      </c>
      <c r="T662">
        <f t="shared" si="87"/>
        <v>1</v>
      </c>
      <c r="U662" t="str" cm="1">
        <f t="array" ref="U662">_xlfn.IFS(D662&lt;40,"Young Adult",AND(D662&gt;=40,D662&lt;65),"Middle Aged", D662&gt;=65,"Elderly")</f>
        <v>Elderly</v>
      </c>
    </row>
    <row r="663" spans="1:21" x14ac:dyDescent="0.2">
      <c r="A663">
        <v>1079</v>
      </c>
      <c r="B663">
        <f t="shared" si="80"/>
        <v>662</v>
      </c>
      <c r="C663" t="s">
        <v>1960</v>
      </c>
      <c r="D663">
        <v>85</v>
      </c>
      <c r="E663" t="s">
        <v>38</v>
      </c>
      <c r="F663" t="str">
        <f t="shared" si="81"/>
        <v>Female</v>
      </c>
      <c r="G663" s="1">
        <v>46101</v>
      </c>
      <c r="H663" s="1">
        <v>45938</v>
      </c>
      <c r="I663" t="s">
        <v>1961</v>
      </c>
      <c r="J663" t="str">
        <f t="shared" si="82"/>
        <v>Erin Chandler</v>
      </c>
      <c r="K663" t="s">
        <v>18</v>
      </c>
      <c r="L663" t="str">
        <f t="shared" si="83"/>
        <v>Orthopedics</v>
      </c>
      <c r="M663" t="s">
        <v>1962</v>
      </c>
      <c r="N663" t="str">
        <f t="shared" si="84"/>
        <v>INR</v>
      </c>
      <c r="O663">
        <f t="shared" si="85"/>
        <v>85.56</v>
      </c>
      <c r="P663" cm="1">
        <f t="array" ref="P663">_xlfn.IFS(N663="USD",O663*1,N663="GBP",O663*1.27,N663="EUR",O663*1.09,N663="INR",O663*0.012,N663="N/A","N/A")</f>
        <v>1.0267200000000001</v>
      </c>
      <c r="Q663" t="s">
        <v>60</v>
      </c>
      <c r="R663" t="str" cm="1">
        <f t="array" ref="R663">_xlfn.IFS(Q663="Y","Yes", Q663="Yes","Yes", Q663="N","No", Q663="No","No", Q663=1,"N/A", Q663=0,"N/A", TRUE,"")</f>
        <v>No</v>
      </c>
      <c r="S663">
        <f t="shared" si="86"/>
        <v>4</v>
      </c>
      <c r="T663">
        <f t="shared" si="87"/>
        <v>1</v>
      </c>
      <c r="U663" t="str" cm="1">
        <f t="array" ref="U663">_xlfn.IFS(D663&lt;40,"Young Adult",AND(D663&gt;=40,D663&lt;65),"Middle Aged", D663&gt;=65,"Elderly")</f>
        <v>Elderly</v>
      </c>
    </row>
    <row r="664" spans="1:21" x14ac:dyDescent="0.2">
      <c r="A664">
        <v>1027</v>
      </c>
      <c r="B664">
        <f t="shared" si="80"/>
        <v>663</v>
      </c>
      <c r="C664" t="s">
        <v>1963</v>
      </c>
      <c r="D664">
        <v>26</v>
      </c>
      <c r="E664" t="s">
        <v>2937</v>
      </c>
      <c r="F664" t="str">
        <f t="shared" si="81"/>
        <v>N/A</v>
      </c>
      <c r="G664" s="1">
        <v>46104</v>
      </c>
      <c r="H664" s="1">
        <v>45668</v>
      </c>
      <c r="I664" t="s">
        <v>1964</v>
      </c>
      <c r="J664" t="str">
        <f t="shared" si="82"/>
        <v>Zachary Hamilton</v>
      </c>
      <c r="K664" t="s">
        <v>18</v>
      </c>
      <c r="L664" t="str">
        <f t="shared" si="83"/>
        <v>Orthopedics</v>
      </c>
      <c r="M664" t="s">
        <v>1965</v>
      </c>
      <c r="N664" t="str">
        <f t="shared" si="84"/>
        <v>EUR</v>
      </c>
      <c r="O664">
        <f t="shared" si="85"/>
        <v>237.1</v>
      </c>
      <c r="P664" cm="1">
        <f t="array" ref="P664">_xlfn.IFS(N664="USD",O664*1,N664="GBP",O664*1.27,N664="EUR",O664*1.09,N664="INR",O664*0.012,N664="N/A","N/A")</f>
        <v>258.43900000000002</v>
      </c>
      <c r="Q664" t="s">
        <v>60</v>
      </c>
      <c r="R664" t="str" cm="1">
        <f t="array" ref="R664">_xlfn.IFS(Q664="Y","Yes", Q664="Yes","Yes", Q664="N","No", Q664="No","No", Q664=1,"N/A", Q664=0,"N/A", TRUE,"")</f>
        <v>No</v>
      </c>
      <c r="S664">
        <f t="shared" si="86"/>
        <v>12</v>
      </c>
      <c r="T664">
        <f t="shared" si="87"/>
        <v>1</v>
      </c>
      <c r="U664" t="str" cm="1">
        <f t="array" ref="U664">_xlfn.IFS(D664&lt;40,"Young Adult",AND(D664&gt;=40,D664&lt;65),"Middle Aged", D664&gt;=65,"Elderly")</f>
        <v>Young Adult</v>
      </c>
    </row>
    <row r="665" spans="1:21" x14ac:dyDescent="0.2">
      <c r="A665">
        <v>1070</v>
      </c>
      <c r="B665">
        <f t="shared" si="80"/>
        <v>664</v>
      </c>
      <c r="C665" t="s">
        <v>1966</v>
      </c>
      <c r="D665">
        <v>30</v>
      </c>
      <c r="E665" t="s">
        <v>16</v>
      </c>
      <c r="F665" t="str">
        <f t="shared" si="81"/>
        <v>Female</v>
      </c>
      <c r="G665" s="1">
        <v>45992</v>
      </c>
      <c r="H665" s="1">
        <v>45489</v>
      </c>
      <c r="I665" t="s">
        <v>1967</v>
      </c>
      <c r="J665" t="str">
        <f t="shared" si="82"/>
        <v>Robin Medina</v>
      </c>
      <c r="K665" t="s">
        <v>18</v>
      </c>
      <c r="L665" t="str">
        <f t="shared" si="83"/>
        <v>Orthopedics</v>
      </c>
      <c r="M665" t="s">
        <v>1968</v>
      </c>
      <c r="N665" t="str">
        <f t="shared" si="84"/>
        <v>EUR</v>
      </c>
      <c r="O665">
        <f t="shared" si="85"/>
        <v>250.69</v>
      </c>
      <c r="P665" cm="1">
        <f t="array" ref="P665">_xlfn.IFS(N665="USD",O665*1,N665="GBP",O665*1.27,N665="EUR",O665*1.09,N665="INR",O665*0.012,N665="N/A","N/A")</f>
        <v>273.25210000000004</v>
      </c>
      <c r="Q665" t="s">
        <v>30</v>
      </c>
      <c r="R665" t="str" cm="1">
        <f t="array" ref="R665">_xlfn.IFS(Q665="Y","Yes", Q665="Yes","Yes", Q665="N","No", Q665="No","No", Q665=1,"N/A", Q665=0,"N/A", TRUE,"")</f>
        <v>No</v>
      </c>
      <c r="S665">
        <f t="shared" si="86"/>
        <v>13</v>
      </c>
      <c r="T665">
        <f t="shared" si="87"/>
        <v>1</v>
      </c>
      <c r="U665" t="str" cm="1">
        <f t="array" ref="U665">_xlfn.IFS(D665&lt;40,"Young Adult",AND(D665&gt;=40,D665&lt;65),"Middle Aged", D665&gt;=65,"Elderly")</f>
        <v>Young Adult</v>
      </c>
    </row>
    <row r="666" spans="1:21" x14ac:dyDescent="0.2">
      <c r="A666">
        <v>1013</v>
      </c>
      <c r="B666">
        <f t="shared" si="80"/>
        <v>665</v>
      </c>
      <c r="C666" t="s">
        <v>1969</v>
      </c>
      <c r="D666">
        <v>21</v>
      </c>
      <c r="E666" t="s">
        <v>38</v>
      </c>
      <c r="F666" t="str">
        <f t="shared" si="81"/>
        <v>Female</v>
      </c>
      <c r="G666" s="1">
        <v>46077</v>
      </c>
      <c r="H666" s="1">
        <v>45812</v>
      </c>
      <c r="I666" t="s">
        <v>1970</v>
      </c>
      <c r="J666" t="str">
        <f t="shared" si="82"/>
        <v>Justin Smith</v>
      </c>
      <c r="K666" t="s">
        <v>24</v>
      </c>
      <c r="L666" t="str">
        <f t="shared" si="83"/>
        <v>Neurology</v>
      </c>
      <c r="N666" t="str">
        <f t="shared" si="84"/>
        <v>N/A</v>
      </c>
      <c r="O666" t="str">
        <f t="shared" si="85"/>
        <v/>
      </c>
      <c r="P666" t="str" cm="1">
        <f t="array" ref="P666">_xlfn.IFS(N666="USD",O666*1,N666="GBP",O666*1.27,N666="EUR",O666*1.09,N666="INR",O666*0.012,N666="N/A","N/A")</f>
        <v>N/A</v>
      </c>
      <c r="Q666" t="s">
        <v>36</v>
      </c>
      <c r="R666" t="str" cm="1">
        <f t="array" ref="R666">_xlfn.IFS(Q666="Y","Yes", Q666="Yes","Yes", Q666="N","No", Q666="No","No", Q666=1,"N/A", Q666=0,"N/A", TRUE,"")</f>
        <v>Yes</v>
      </c>
      <c r="S666">
        <f t="shared" si="86"/>
        <v>10</v>
      </c>
      <c r="T666">
        <f t="shared" si="87"/>
        <v>1</v>
      </c>
      <c r="U666" t="str" cm="1">
        <f t="array" ref="U666">_xlfn.IFS(D666&lt;40,"Young Adult",AND(D666&gt;=40,D666&lt;65),"Middle Aged", D666&gt;=65,"Elderly")</f>
        <v>Young Adult</v>
      </c>
    </row>
    <row r="667" spans="1:21" x14ac:dyDescent="0.2">
      <c r="A667">
        <v>1027</v>
      </c>
      <c r="B667">
        <f t="shared" si="80"/>
        <v>666</v>
      </c>
      <c r="C667" t="s">
        <v>1971</v>
      </c>
      <c r="D667">
        <v>27</v>
      </c>
      <c r="E667" t="s">
        <v>38</v>
      </c>
      <c r="F667" t="str">
        <f t="shared" si="81"/>
        <v>Female</v>
      </c>
      <c r="G667" s="1">
        <v>45842</v>
      </c>
      <c r="H667" s="1">
        <v>45733</v>
      </c>
      <c r="I667" t="s">
        <v>1972</v>
      </c>
      <c r="J667" t="str">
        <f t="shared" si="82"/>
        <v>Misty Higgins</v>
      </c>
      <c r="K667" t="s">
        <v>18</v>
      </c>
      <c r="L667" t="str">
        <f t="shared" si="83"/>
        <v>Orthopedics</v>
      </c>
      <c r="M667" t="s">
        <v>1973</v>
      </c>
      <c r="N667" t="str">
        <f t="shared" si="84"/>
        <v>USD</v>
      </c>
      <c r="O667">
        <f t="shared" si="85"/>
        <v>421.57</v>
      </c>
      <c r="P667" cm="1">
        <f t="array" ref="P667">_xlfn.IFS(N667="USD",O667*1,N667="GBP",O667*1.27,N667="EUR",O667*1.09,N667="INR",O667*0.012,N667="N/A","N/A")</f>
        <v>421.57</v>
      </c>
      <c r="Q667">
        <v>1</v>
      </c>
      <c r="R667" t="str" cm="1">
        <f t="array" ref="R667">_xlfn.IFS(Q667="Y","Yes", Q667="Yes","Yes", Q667="N","No", Q667="No","No", Q667=1,"N/A", Q667=0,"N/A", TRUE,"")</f>
        <v>N/A</v>
      </c>
      <c r="S667">
        <f t="shared" si="86"/>
        <v>12</v>
      </c>
      <c r="T667">
        <f t="shared" si="87"/>
        <v>1</v>
      </c>
      <c r="U667" t="str" cm="1">
        <f t="array" ref="U667">_xlfn.IFS(D667&lt;40,"Young Adult",AND(D667&gt;=40,D667&lt;65),"Middle Aged", D667&gt;=65,"Elderly")</f>
        <v>Young Adult</v>
      </c>
    </row>
    <row r="668" spans="1:21" x14ac:dyDescent="0.2">
      <c r="A668">
        <v>1087</v>
      </c>
      <c r="B668">
        <f t="shared" si="80"/>
        <v>667</v>
      </c>
      <c r="C668" t="s">
        <v>1974</v>
      </c>
      <c r="D668">
        <v>28</v>
      </c>
      <c r="E668" t="s">
        <v>2937</v>
      </c>
      <c r="F668" t="str">
        <f t="shared" si="81"/>
        <v>N/A</v>
      </c>
      <c r="G668" s="1">
        <v>46104</v>
      </c>
      <c r="H668" s="1">
        <v>45383</v>
      </c>
      <c r="I668" t="s">
        <v>1975</v>
      </c>
      <c r="J668" t="str">
        <f t="shared" si="82"/>
        <v>Mr. Ricky Le</v>
      </c>
      <c r="K668" t="s">
        <v>13</v>
      </c>
      <c r="L668" t="str">
        <f t="shared" si="83"/>
        <v>Cardiology</v>
      </c>
      <c r="M668" t="s">
        <v>1976</v>
      </c>
      <c r="N668" t="str">
        <f t="shared" si="84"/>
        <v>EUR</v>
      </c>
      <c r="O668">
        <f t="shared" si="85"/>
        <v>77.790000000000006</v>
      </c>
      <c r="P668" cm="1">
        <f t="array" ref="P668">_xlfn.IFS(N668="USD",O668*1,N668="GBP",O668*1.27,N668="EUR",O668*1.09,N668="INR",O668*0.012,N668="N/A","N/A")</f>
        <v>84.791100000000014</v>
      </c>
      <c r="Q668">
        <v>1</v>
      </c>
      <c r="R668" t="str" cm="1">
        <f t="array" ref="R668">_xlfn.IFS(Q668="Y","Yes", Q668="Yes","Yes", Q668="N","No", Q668="No","No", Q668=1,"N/A", Q668=0,"N/A", TRUE,"")</f>
        <v>N/A</v>
      </c>
      <c r="S668">
        <f t="shared" si="86"/>
        <v>8</v>
      </c>
      <c r="T668">
        <f t="shared" si="87"/>
        <v>1</v>
      </c>
      <c r="U668" t="str" cm="1">
        <f t="array" ref="U668">_xlfn.IFS(D668&lt;40,"Young Adult",AND(D668&gt;=40,D668&lt;65),"Middle Aged", D668&gt;=65,"Elderly")</f>
        <v>Young Adult</v>
      </c>
    </row>
    <row r="669" spans="1:21" x14ac:dyDescent="0.2">
      <c r="A669">
        <v>1081</v>
      </c>
      <c r="B669">
        <f t="shared" si="80"/>
        <v>668</v>
      </c>
      <c r="C669" t="s">
        <v>1977</v>
      </c>
      <c r="D669">
        <v>32</v>
      </c>
      <c r="E669" t="s">
        <v>16</v>
      </c>
      <c r="F669" t="str">
        <f t="shared" si="81"/>
        <v>Female</v>
      </c>
      <c r="G669" s="1">
        <v>45844</v>
      </c>
      <c r="H669" s="1">
        <v>45757</v>
      </c>
      <c r="I669" t="s">
        <v>1978</v>
      </c>
      <c r="J669" t="str">
        <f t="shared" si="82"/>
        <v>Kenneth Johnson</v>
      </c>
      <c r="K669" t="s">
        <v>24</v>
      </c>
      <c r="L669" t="str">
        <f t="shared" si="83"/>
        <v>Neurology</v>
      </c>
      <c r="M669" t="s">
        <v>1979</v>
      </c>
      <c r="N669" t="str">
        <f t="shared" si="84"/>
        <v>EUR</v>
      </c>
      <c r="O669">
        <f t="shared" si="85"/>
        <v>156.32</v>
      </c>
      <c r="P669" cm="1">
        <f t="array" ref="P669">_xlfn.IFS(N669="USD",O669*1,N669="GBP",O669*1.27,N669="EUR",O669*1.09,N669="INR",O669*0.012,N669="N/A","N/A")</f>
        <v>170.3888</v>
      </c>
      <c r="Q669" t="s">
        <v>20</v>
      </c>
      <c r="R669" t="str" cm="1">
        <f t="array" ref="R669">_xlfn.IFS(Q669="Y","Yes", Q669="Yes","Yes", Q669="N","No", Q669="No","No", Q669=1,"N/A", Q669=0,"N/A", TRUE,"")</f>
        <v>Yes</v>
      </c>
      <c r="S669">
        <f t="shared" si="86"/>
        <v>9</v>
      </c>
      <c r="T669">
        <f t="shared" si="87"/>
        <v>1</v>
      </c>
      <c r="U669" t="str" cm="1">
        <f t="array" ref="U669">_xlfn.IFS(D669&lt;40,"Young Adult",AND(D669&gt;=40,D669&lt;65),"Middle Aged", D669&gt;=65,"Elderly")</f>
        <v>Young Adult</v>
      </c>
    </row>
    <row r="670" spans="1:21" x14ac:dyDescent="0.2">
      <c r="A670">
        <v>1053</v>
      </c>
      <c r="B670">
        <f t="shared" si="80"/>
        <v>669</v>
      </c>
      <c r="C670" t="s">
        <v>1980</v>
      </c>
      <c r="D670">
        <v>87</v>
      </c>
      <c r="E670" t="s">
        <v>51</v>
      </c>
      <c r="F670" t="str">
        <f t="shared" si="81"/>
        <v>Male</v>
      </c>
      <c r="G670" s="1">
        <v>46060</v>
      </c>
      <c r="H670" s="1">
        <v>45484</v>
      </c>
      <c r="I670" t="s">
        <v>1981</v>
      </c>
      <c r="J670" t="str">
        <f t="shared" si="82"/>
        <v>Phillip Shelton</v>
      </c>
      <c r="K670" t="s">
        <v>18</v>
      </c>
      <c r="L670" t="str">
        <f t="shared" si="83"/>
        <v>Orthopedics</v>
      </c>
      <c r="M670" t="s">
        <v>1982</v>
      </c>
      <c r="N670" t="str">
        <f t="shared" si="84"/>
        <v>USD</v>
      </c>
      <c r="O670">
        <f t="shared" si="85"/>
        <v>249.74</v>
      </c>
      <c r="P670" cm="1">
        <f t="array" ref="P670">_xlfn.IFS(N670="USD",O670*1,N670="GBP",O670*1.27,N670="EUR",O670*1.09,N670="INR",O670*0.012,N670="N/A","N/A")</f>
        <v>249.74</v>
      </c>
      <c r="Q670" t="s">
        <v>20</v>
      </c>
      <c r="R670" t="str" cm="1">
        <f t="array" ref="R670">_xlfn.IFS(Q670="Y","Yes", Q670="Yes","Yes", Q670="N","No", Q670="No","No", Q670=1,"N/A", Q670=0,"N/A", TRUE,"")</f>
        <v>Yes</v>
      </c>
      <c r="S670">
        <f t="shared" si="86"/>
        <v>14</v>
      </c>
      <c r="T670">
        <f t="shared" si="87"/>
        <v>1</v>
      </c>
      <c r="U670" t="str" cm="1">
        <f t="array" ref="U670">_xlfn.IFS(D670&lt;40,"Young Adult",AND(D670&gt;=40,D670&lt;65),"Middle Aged", D670&gt;=65,"Elderly")</f>
        <v>Elderly</v>
      </c>
    </row>
    <row r="671" spans="1:21" x14ac:dyDescent="0.2">
      <c r="A671">
        <v>1051</v>
      </c>
      <c r="B671">
        <f t="shared" si="80"/>
        <v>670</v>
      </c>
      <c r="C671" t="s">
        <v>1983</v>
      </c>
      <c r="D671">
        <v>72</v>
      </c>
      <c r="E671" t="s">
        <v>38</v>
      </c>
      <c r="F671" t="str">
        <f t="shared" si="81"/>
        <v>Female</v>
      </c>
      <c r="G671" s="1">
        <v>46086</v>
      </c>
      <c r="H671" s="1">
        <v>45742</v>
      </c>
      <c r="I671" t="s">
        <v>1984</v>
      </c>
      <c r="J671" t="str">
        <f t="shared" si="82"/>
        <v>John Stewart</v>
      </c>
      <c r="K671" t="s">
        <v>28</v>
      </c>
      <c r="L671" t="str">
        <f t="shared" si="83"/>
        <v>General</v>
      </c>
      <c r="M671" t="s">
        <v>1985</v>
      </c>
      <c r="N671" t="str">
        <f t="shared" si="84"/>
        <v>USD</v>
      </c>
      <c r="O671">
        <f t="shared" si="85"/>
        <v>126.56</v>
      </c>
      <c r="P671" cm="1">
        <f t="array" ref="P671">_xlfn.IFS(N671="USD",O671*1,N671="GBP",O671*1.27,N671="EUR",O671*1.09,N671="INR",O671*0.012,N671="N/A","N/A")</f>
        <v>126.56</v>
      </c>
      <c r="Q671" t="s">
        <v>36</v>
      </c>
      <c r="R671" t="str" cm="1">
        <f t="array" ref="R671">_xlfn.IFS(Q671="Y","Yes", Q671="Yes","Yes", Q671="N","No", Q671="No","No", Q671=1,"N/A", Q671=0,"N/A", TRUE,"")</f>
        <v>Yes</v>
      </c>
      <c r="S671">
        <f t="shared" si="86"/>
        <v>9</v>
      </c>
      <c r="T671">
        <f t="shared" si="87"/>
        <v>1</v>
      </c>
      <c r="U671" t="str" cm="1">
        <f t="array" ref="U671">_xlfn.IFS(D671&lt;40,"Young Adult",AND(D671&gt;=40,D671&lt;65),"Middle Aged", D671&gt;=65,"Elderly")</f>
        <v>Elderly</v>
      </c>
    </row>
    <row r="672" spans="1:21" x14ac:dyDescent="0.2">
      <c r="A672">
        <v>1098</v>
      </c>
      <c r="B672">
        <f t="shared" si="80"/>
        <v>671</v>
      </c>
      <c r="C672" t="s">
        <v>1986</v>
      </c>
      <c r="D672">
        <v>59</v>
      </c>
      <c r="E672" t="s">
        <v>2937</v>
      </c>
      <c r="F672" t="str">
        <f t="shared" si="81"/>
        <v>N/A</v>
      </c>
      <c r="G672" s="1">
        <v>45940</v>
      </c>
      <c r="H672" s="1">
        <v>45522</v>
      </c>
      <c r="I672" t="s">
        <v>1987</v>
      </c>
      <c r="J672" t="str">
        <f t="shared" si="82"/>
        <v>Mr. James Brown</v>
      </c>
      <c r="K672" t="s">
        <v>28</v>
      </c>
      <c r="L672" t="str">
        <f t="shared" si="83"/>
        <v>General</v>
      </c>
      <c r="M672" t="s">
        <v>1988</v>
      </c>
      <c r="N672" t="str">
        <f t="shared" si="84"/>
        <v>USD</v>
      </c>
      <c r="O672">
        <f t="shared" si="85"/>
        <v>143.32</v>
      </c>
      <c r="P672" cm="1">
        <f t="array" ref="P672">_xlfn.IFS(N672="USD",O672*1,N672="GBP",O672*1.27,N672="EUR",O672*1.09,N672="INR",O672*0.012,N672="N/A","N/A")</f>
        <v>143.32</v>
      </c>
      <c r="Q672" t="s">
        <v>60</v>
      </c>
      <c r="R672" t="str" cm="1">
        <f t="array" ref="R672">_xlfn.IFS(Q672="Y","Yes", Q672="Yes","Yes", Q672="N","No", Q672="No","No", Q672=1,"N/A", Q672=0,"N/A", TRUE,"")</f>
        <v>No</v>
      </c>
      <c r="S672">
        <f t="shared" si="86"/>
        <v>12</v>
      </c>
      <c r="T672">
        <f t="shared" si="87"/>
        <v>1</v>
      </c>
      <c r="U672" t="str" cm="1">
        <f t="array" ref="U672">_xlfn.IFS(D672&lt;40,"Young Adult",AND(D672&gt;=40,D672&lt;65),"Middle Aged", D672&gt;=65,"Elderly")</f>
        <v>Middle Aged</v>
      </c>
    </row>
    <row r="673" spans="1:21" x14ac:dyDescent="0.2">
      <c r="A673">
        <v>1009</v>
      </c>
      <c r="B673">
        <f t="shared" si="80"/>
        <v>672</v>
      </c>
      <c r="C673" t="s">
        <v>1989</v>
      </c>
      <c r="D673">
        <v>64</v>
      </c>
      <c r="E673" t="s">
        <v>22</v>
      </c>
      <c r="F673" t="str">
        <f t="shared" si="81"/>
        <v>Male</v>
      </c>
      <c r="G673" s="1">
        <v>45869</v>
      </c>
      <c r="H673" s="1">
        <v>45527</v>
      </c>
      <c r="I673" t="s">
        <v>1990</v>
      </c>
      <c r="J673" t="str">
        <f t="shared" si="82"/>
        <v>Debra Booker</v>
      </c>
      <c r="K673" t="s">
        <v>24</v>
      </c>
      <c r="L673" t="str">
        <f t="shared" si="83"/>
        <v>Neurology</v>
      </c>
      <c r="M673" t="s">
        <v>1991</v>
      </c>
      <c r="N673" t="str">
        <f t="shared" si="84"/>
        <v>GBP</v>
      </c>
      <c r="O673">
        <f t="shared" si="85"/>
        <v>353.8</v>
      </c>
      <c r="P673" cm="1">
        <f t="array" ref="P673">_xlfn.IFS(N673="USD",O673*1,N673="GBP",O673*1.27,N673="EUR",O673*1.09,N673="INR",O673*0.012,N673="N/A","N/A")</f>
        <v>449.32600000000002</v>
      </c>
      <c r="Q673" t="s">
        <v>20</v>
      </c>
      <c r="R673" t="str" cm="1">
        <f t="array" ref="R673">_xlfn.IFS(Q673="Y","Yes", Q673="Yes","Yes", Q673="N","No", Q673="No","No", Q673=1,"N/A", Q673=0,"N/A", TRUE,"")</f>
        <v>Yes</v>
      </c>
      <c r="S673">
        <f t="shared" si="86"/>
        <v>9</v>
      </c>
      <c r="T673">
        <f t="shared" si="87"/>
        <v>1</v>
      </c>
      <c r="U673" t="str" cm="1">
        <f t="array" ref="U673">_xlfn.IFS(D673&lt;40,"Young Adult",AND(D673&gt;=40,D673&lt;65),"Middle Aged", D673&gt;=65,"Elderly")</f>
        <v>Middle Aged</v>
      </c>
    </row>
    <row r="674" spans="1:21" x14ac:dyDescent="0.2">
      <c r="A674">
        <v>1021</v>
      </c>
      <c r="B674">
        <f t="shared" si="80"/>
        <v>673</v>
      </c>
      <c r="C674" t="s">
        <v>1992</v>
      </c>
      <c r="D674">
        <v>28</v>
      </c>
      <c r="E674" t="s">
        <v>38</v>
      </c>
      <c r="F674" t="str">
        <f t="shared" si="81"/>
        <v>Female</v>
      </c>
      <c r="G674" s="1">
        <v>45884</v>
      </c>
      <c r="H674" s="1">
        <v>45613</v>
      </c>
      <c r="I674" t="s">
        <v>1993</v>
      </c>
      <c r="J674" t="str">
        <f t="shared" si="82"/>
        <v>David Schmidt</v>
      </c>
      <c r="K674" t="s">
        <v>13</v>
      </c>
      <c r="L674" t="str">
        <f t="shared" si="83"/>
        <v>Cardiology</v>
      </c>
      <c r="M674" t="s">
        <v>1994</v>
      </c>
      <c r="N674" t="str">
        <f t="shared" si="84"/>
        <v>GBP</v>
      </c>
      <c r="O674">
        <f t="shared" si="85"/>
        <v>174.54</v>
      </c>
      <c r="P674" cm="1">
        <f t="array" ref="P674">_xlfn.IFS(N674="USD",O674*1,N674="GBP",O674*1.27,N674="EUR",O674*1.09,N674="INR",O674*0.012,N674="N/A","N/A")</f>
        <v>221.66579999999999</v>
      </c>
      <c r="Q674" t="s">
        <v>36</v>
      </c>
      <c r="R674" t="str" cm="1">
        <f t="array" ref="R674">_xlfn.IFS(Q674="Y","Yes", Q674="Yes","Yes", Q674="N","No", Q674="No","No", Q674=1,"N/A", Q674=0,"N/A", TRUE,"")</f>
        <v>Yes</v>
      </c>
      <c r="S674">
        <f t="shared" si="86"/>
        <v>16</v>
      </c>
      <c r="T674">
        <f t="shared" si="87"/>
        <v>1</v>
      </c>
      <c r="U674" t="str" cm="1">
        <f t="array" ref="U674">_xlfn.IFS(D674&lt;40,"Young Adult",AND(D674&gt;=40,D674&lt;65),"Middle Aged", D674&gt;=65,"Elderly")</f>
        <v>Young Adult</v>
      </c>
    </row>
    <row r="675" spans="1:21" x14ac:dyDescent="0.2">
      <c r="A675">
        <v>1046</v>
      </c>
      <c r="B675">
        <f t="shared" si="80"/>
        <v>674</v>
      </c>
      <c r="C675" t="s">
        <v>1995</v>
      </c>
      <c r="D675">
        <v>68</v>
      </c>
      <c r="E675" t="s">
        <v>51</v>
      </c>
      <c r="F675" t="str">
        <f t="shared" si="81"/>
        <v>Male</v>
      </c>
      <c r="G675" s="1">
        <v>46097</v>
      </c>
      <c r="H675" s="1">
        <v>45418</v>
      </c>
      <c r="I675" t="s">
        <v>1996</v>
      </c>
      <c r="J675" t="str">
        <f t="shared" si="82"/>
        <v>Donald Ferguson</v>
      </c>
      <c r="K675" t="s">
        <v>18</v>
      </c>
      <c r="L675" t="str">
        <f t="shared" si="83"/>
        <v>Orthopedics</v>
      </c>
      <c r="M675" t="s">
        <v>1997</v>
      </c>
      <c r="N675" t="str">
        <f t="shared" si="84"/>
        <v>GBP</v>
      </c>
      <c r="O675">
        <f t="shared" si="85"/>
        <v>217.77</v>
      </c>
      <c r="P675" cm="1">
        <f t="array" ref="P675">_xlfn.IFS(N675="USD",O675*1,N675="GBP",O675*1.27,N675="EUR",O675*1.09,N675="INR",O675*0.012,N675="N/A","N/A")</f>
        <v>276.56790000000001</v>
      </c>
      <c r="Q675" t="s">
        <v>20</v>
      </c>
      <c r="R675" t="str" cm="1">
        <f t="array" ref="R675">_xlfn.IFS(Q675="Y","Yes", Q675="Yes","Yes", Q675="N","No", Q675="No","No", Q675=1,"N/A", Q675=0,"N/A", TRUE,"")</f>
        <v>Yes</v>
      </c>
      <c r="S675">
        <f t="shared" si="86"/>
        <v>8</v>
      </c>
      <c r="T675">
        <f t="shared" si="87"/>
        <v>1</v>
      </c>
      <c r="U675" t="str" cm="1">
        <f t="array" ref="U675">_xlfn.IFS(D675&lt;40,"Young Adult",AND(D675&gt;=40,D675&lt;65),"Middle Aged", D675&gt;=65,"Elderly")</f>
        <v>Elderly</v>
      </c>
    </row>
    <row r="676" spans="1:21" x14ac:dyDescent="0.2">
      <c r="A676">
        <v>1044</v>
      </c>
      <c r="B676">
        <f t="shared" si="80"/>
        <v>675</v>
      </c>
      <c r="C676" t="s">
        <v>1998</v>
      </c>
      <c r="D676">
        <v>67</v>
      </c>
      <c r="E676" t="s">
        <v>51</v>
      </c>
      <c r="F676" t="str">
        <f t="shared" si="81"/>
        <v>Male</v>
      </c>
      <c r="G676" s="1">
        <v>45759</v>
      </c>
      <c r="H676" s="1">
        <v>45486</v>
      </c>
      <c r="I676" t="s">
        <v>1999</v>
      </c>
      <c r="J676" t="str">
        <f t="shared" si="82"/>
        <v>Chad Johnson</v>
      </c>
      <c r="K676" t="s">
        <v>24</v>
      </c>
      <c r="L676" t="str">
        <f t="shared" si="83"/>
        <v>Neurology</v>
      </c>
      <c r="M676" t="s">
        <v>2000</v>
      </c>
      <c r="N676" t="str">
        <f t="shared" si="84"/>
        <v>INR</v>
      </c>
      <c r="O676">
        <f t="shared" si="85"/>
        <v>277.51</v>
      </c>
      <c r="P676" cm="1">
        <f t="array" ref="P676">_xlfn.IFS(N676="USD",O676*1,N676="GBP",O676*1.27,N676="EUR",O676*1.09,N676="INR",O676*0.012,N676="N/A","N/A")</f>
        <v>3.33012</v>
      </c>
      <c r="Q676" t="s">
        <v>60</v>
      </c>
      <c r="R676" t="str" cm="1">
        <f t="array" ref="R676">_xlfn.IFS(Q676="Y","Yes", Q676="Yes","Yes", Q676="N","No", Q676="No","No", Q676=1,"N/A", Q676=0,"N/A", TRUE,"")</f>
        <v>No</v>
      </c>
      <c r="S676">
        <f t="shared" si="86"/>
        <v>12</v>
      </c>
      <c r="T676">
        <f t="shared" si="87"/>
        <v>1</v>
      </c>
      <c r="U676" t="str" cm="1">
        <f t="array" ref="U676">_xlfn.IFS(D676&lt;40,"Young Adult",AND(D676&gt;=40,D676&lt;65),"Middle Aged", D676&gt;=65,"Elderly")</f>
        <v>Elderly</v>
      </c>
    </row>
    <row r="677" spans="1:21" x14ac:dyDescent="0.2">
      <c r="A677">
        <v>1058</v>
      </c>
      <c r="B677">
        <f t="shared" si="80"/>
        <v>676</v>
      </c>
      <c r="C677" t="s">
        <v>2001</v>
      </c>
      <c r="D677">
        <v>37</v>
      </c>
      <c r="E677" t="s">
        <v>2937</v>
      </c>
      <c r="F677" t="str">
        <f t="shared" si="81"/>
        <v>N/A</v>
      </c>
      <c r="G677" s="1">
        <v>46057</v>
      </c>
      <c r="H677" s="1">
        <v>45971</v>
      </c>
      <c r="I677" t="s">
        <v>2002</v>
      </c>
      <c r="J677" t="str">
        <f t="shared" si="82"/>
        <v>Jonathan Daniels</v>
      </c>
      <c r="K677" t="s">
        <v>18</v>
      </c>
      <c r="L677" t="str">
        <f t="shared" si="83"/>
        <v>Orthopedics</v>
      </c>
      <c r="M677" t="s">
        <v>2003</v>
      </c>
      <c r="N677" t="str">
        <f t="shared" si="84"/>
        <v>GBP</v>
      </c>
      <c r="O677">
        <f t="shared" si="85"/>
        <v>259.19</v>
      </c>
      <c r="P677" cm="1">
        <f t="array" ref="P677">_xlfn.IFS(N677="USD",O677*1,N677="GBP",O677*1.27,N677="EUR",O677*1.09,N677="INR",O677*0.012,N677="N/A","N/A")</f>
        <v>329.17129999999997</v>
      </c>
      <c r="Q677" t="s">
        <v>20</v>
      </c>
      <c r="R677" t="str" cm="1">
        <f t="array" ref="R677">_xlfn.IFS(Q677="Y","Yes", Q677="Yes","Yes", Q677="N","No", Q677="No","No", Q677=1,"N/A", Q677=0,"N/A", TRUE,"")</f>
        <v>Yes</v>
      </c>
      <c r="S677">
        <f t="shared" si="86"/>
        <v>17</v>
      </c>
      <c r="T677">
        <f t="shared" si="87"/>
        <v>1</v>
      </c>
      <c r="U677" t="str" cm="1">
        <f t="array" ref="U677">_xlfn.IFS(D677&lt;40,"Young Adult",AND(D677&gt;=40,D677&lt;65),"Middle Aged", D677&gt;=65,"Elderly")</f>
        <v>Young Adult</v>
      </c>
    </row>
    <row r="678" spans="1:21" x14ac:dyDescent="0.2">
      <c r="A678">
        <v>1004</v>
      </c>
      <c r="B678">
        <f t="shared" si="80"/>
        <v>677</v>
      </c>
      <c r="C678" t="s">
        <v>2004</v>
      </c>
      <c r="D678">
        <v>53</v>
      </c>
      <c r="E678" t="s">
        <v>2937</v>
      </c>
      <c r="F678" t="str">
        <f t="shared" si="81"/>
        <v>N/A</v>
      </c>
      <c r="G678" s="1">
        <v>45878</v>
      </c>
      <c r="H678" s="1">
        <v>45479</v>
      </c>
      <c r="I678" t="s">
        <v>2005</v>
      </c>
      <c r="J678" t="str">
        <f t="shared" si="82"/>
        <v>Hunter Powell</v>
      </c>
      <c r="K678" t="s">
        <v>24</v>
      </c>
      <c r="L678" t="str">
        <f t="shared" si="83"/>
        <v>Neurology</v>
      </c>
      <c r="M678" t="s">
        <v>2006</v>
      </c>
      <c r="N678" t="str">
        <f t="shared" si="84"/>
        <v>INR</v>
      </c>
      <c r="O678">
        <f t="shared" si="85"/>
        <v>492.92</v>
      </c>
      <c r="P678" cm="1">
        <f t="array" ref="P678">_xlfn.IFS(N678="USD",O678*1,N678="GBP",O678*1.27,N678="EUR",O678*1.09,N678="INR",O678*0.012,N678="N/A","N/A")</f>
        <v>5.9150400000000003</v>
      </c>
      <c r="Q678" t="s">
        <v>36</v>
      </c>
      <c r="R678" t="str" cm="1">
        <f t="array" ref="R678">_xlfn.IFS(Q678="Y","Yes", Q678="Yes","Yes", Q678="N","No", Q678="No","No", Q678=1,"N/A", Q678=0,"N/A", TRUE,"")</f>
        <v>Yes</v>
      </c>
      <c r="S678">
        <f t="shared" si="86"/>
        <v>9</v>
      </c>
      <c r="T678">
        <f t="shared" si="87"/>
        <v>1</v>
      </c>
      <c r="U678" t="str" cm="1">
        <f t="array" ref="U678">_xlfn.IFS(D678&lt;40,"Young Adult",AND(D678&gt;=40,D678&lt;65),"Middle Aged", D678&gt;=65,"Elderly")</f>
        <v>Middle Aged</v>
      </c>
    </row>
    <row r="679" spans="1:21" x14ac:dyDescent="0.2">
      <c r="A679">
        <v>1088</v>
      </c>
      <c r="B679">
        <f t="shared" si="80"/>
        <v>678</v>
      </c>
      <c r="C679" t="s">
        <v>2007</v>
      </c>
      <c r="D679">
        <v>21</v>
      </c>
      <c r="E679" t="s">
        <v>22</v>
      </c>
      <c r="F679" t="str">
        <f t="shared" si="81"/>
        <v>Male</v>
      </c>
      <c r="G679" s="1">
        <v>45973</v>
      </c>
      <c r="H679" s="1">
        <v>45769</v>
      </c>
      <c r="I679" t="s">
        <v>2008</v>
      </c>
      <c r="J679" t="str">
        <f t="shared" si="82"/>
        <v>Kayla Woods</v>
      </c>
      <c r="K679" t="s">
        <v>24</v>
      </c>
      <c r="L679" t="str">
        <f t="shared" si="83"/>
        <v>Neurology</v>
      </c>
      <c r="M679" t="s">
        <v>2009</v>
      </c>
      <c r="N679" t="str">
        <f t="shared" si="84"/>
        <v>EUR</v>
      </c>
      <c r="O679">
        <f t="shared" si="85"/>
        <v>51.38</v>
      </c>
      <c r="P679" cm="1">
        <f t="array" ref="P679">_xlfn.IFS(N679="USD",O679*1,N679="GBP",O679*1.27,N679="EUR",O679*1.09,N679="INR",O679*0.012,N679="N/A","N/A")</f>
        <v>56.004200000000004</v>
      </c>
      <c r="Q679">
        <v>0</v>
      </c>
      <c r="R679" t="str" cm="1">
        <f t="array" ref="R679">_xlfn.IFS(Q679="Y","Yes", Q679="Yes","Yes", Q679="N","No", Q679="No","No", Q679=1,"N/A", Q679=0,"N/A", TRUE,"")</f>
        <v>N/A</v>
      </c>
      <c r="S679">
        <f t="shared" si="86"/>
        <v>16</v>
      </c>
      <c r="T679">
        <f t="shared" si="87"/>
        <v>1</v>
      </c>
      <c r="U679" t="str" cm="1">
        <f t="array" ref="U679">_xlfn.IFS(D679&lt;40,"Young Adult",AND(D679&gt;=40,D679&lt;65),"Middle Aged", D679&gt;=65,"Elderly")</f>
        <v>Young Adult</v>
      </c>
    </row>
    <row r="680" spans="1:21" x14ac:dyDescent="0.2">
      <c r="A680">
        <v>1035</v>
      </c>
      <c r="B680">
        <f t="shared" si="80"/>
        <v>679</v>
      </c>
      <c r="C680" t="s">
        <v>2010</v>
      </c>
      <c r="D680">
        <v>53</v>
      </c>
      <c r="E680" t="s">
        <v>22</v>
      </c>
      <c r="F680" t="str">
        <f t="shared" si="81"/>
        <v>Male</v>
      </c>
      <c r="G680" s="1">
        <v>46048</v>
      </c>
      <c r="H680" s="1">
        <v>45562</v>
      </c>
      <c r="I680" t="s">
        <v>2011</v>
      </c>
      <c r="J680" t="str">
        <f t="shared" si="82"/>
        <v>Paul Johnson</v>
      </c>
      <c r="K680" t="s">
        <v>24</v>
      </c>
      <c r="L680" t="str">
        <f t="shared" si="83"/>
        <v>Neurology</v>
      </c>
      <c r="M680" t="s">
        <v>2012</v>
      </c>
      <c r="N680" t="str">
        <f t="shared" si="84"/>
        <v>INR</v>
      </c>
      <c r="O680">
        <f t="shared" si="85"/>
        <v>374.03</v>
      </c>
      <c r="P680" cm="1">
        <f t="array" ref="P680">_xlfn.IFS(N680="USD",O680*1,N680="GBP",O680*1.27,N680="EUR",O680*1.09,N680="INR",O680*0.012,N680="N/A","N/A")</f>
        <v>4.4883600000000001</v>
      </c>
      <c r="Q680">
        <v>1</v>
      </c>
      <c r="R680" t="str" cm="1">
        <f t="array" ref="R680">_xlfn.IFS(Q680="Y","Yes", Q680="Yes","Yes", Q680="N","No", Q680="No","No", Q680=1,"N/A", Q680=0,"N/A", TRUE,"")</f>
        <v>N/A</v>
      </c>
      <c r="S680">
        <f t="shared" si="86"/>
        <v>9</v>
      </c>
      <c r="T680">
        <f t="shared" si="87"/>
        <v>1</v>
      </c>
      <c r="U680" t="str" cm="1">
        <f t="array" ref="U680">_xlfn.IFS(D680&lt;40,"Young Adult",AND(D680&gt;=40,D680&lt;65),"Middle Aged", D680&gt;=65,"Elderly")</f>
        <v>Middle Aged</v>
      </c>
    </row>
    <row r="681" spans="1:21" x14ac:dyDescent="0.2">
      <c r="A681">
        <v>1025</v>
      </c>
      <c r="B681">
        <f t="shared" si="80"/>
        <v>680</v>
      </c>
      <c r="C681" t="s">
        <v>2013</v>
      </c>
      <c r="D681">
        <v>69</v>
      </c>
      <c r="E681" t="s">
        <v>71</v>
      </c>
      <c r="F681" t="str">
        <f t="shared" si="81"/>
        <v>Male</v>
      </c>
      <c r="G681" s="1">
        <v>45753</v>
      </c>
      <c r="H681" s="1">
        <v>45501</v>
      </c>
      <c r="I681" t="s">
        <v>2014</v>
      </c>
      <c r="J681" t="str">
        <f t="shared" si="82"/>
        <v>Keith Smith</v>
      </c>
      <c r="K681" t="s">
        <v>18</v>
      </c>
      <c r="L681" t="str">
        <f t="shared" si="83"/>
        <v>Orthopedics</v>
      </c>
      <c r="M681" t="s">
        <v>2015</v>
      </c>
      <c r="N681" t="str">
        <f t="shared" si="84"/>
        <v>GBP</v>
      </c>
      <c r="O681">
        <f t="shared" si="85"/>
        <v>175.33</v>
      </c>
      <c r="P681" cm="1">
        <f t="array" ref="P681">_xlfn.IFS(N681="USD",O681*1,N681="GBP",O681*1.27,N681="EUR",O681*1.09,N681="INR",O681*0.012,N681="N/A","N/A")</f>
        <v>222.66910000000001</v>
      </c>
      <c r="Q681">
        <v>0</v>
      </c>
      <c r="R681" t="str" cm="1">
        <f t="array" ref="R681">_xlfn.IFS(Q681="Y","Yes", Q681="Yes","Yes", Q681="N","No", Q681="No","No", Q681=1,"N/A", Q681=0,"N/A", TRUE,"")</f>
        <v>N/A</v>
      </c>
      <c r="S681">
        <f t="shared" si="86"/>
        <v>9</v>
      </c>
      <c r="T681">
        <f t="shared" si="87"/>
        <v>1</v>
      </c>
      <c r="U681" t="str" cm="1">
        <f t="array" ref="U681">_xlfn.IFS(D681&lt;40,"Young Adult",AND(D681&gt;=40,D681&lt;65),"Middle Aged", D681&gt;=65,"Elderly")</f>
        <v>Elderly</v>
      </c>
    </row>
    <row r="682" spans="1:21" x14ac:dyDescent="0.2">
      <c r="A682">
        <v>1068</v>
      </c>
      <c r="B682">
        <f t="shared" si="80"/>
        <v>681</v>
      </c>
      <c r="C682" t="s">
        <v>2016</v>
      </c>
      <c r="D682">
        <v>25</v>
      </c>
      <c r="E682" t="s">
        <v>16</v>
      </c>
      <c r="F682" t="str">
        <f t="shared" si="81"/>
        <v>Female</v>
      </c>
      <c r="G682" s="1">
        <v>46064</v>
      </c>
      <c r="H682" s="1">
        <v>45828</v>
      </c>
      <c r="I682" t="s">
        <v>2017</v>
      </c>
      <c r="J682" t="str">
        <f t="shared" si="82"/>
        <v>Ruth Shaw</v>
      </c>
      <c r="K682" t="s">
        <v>24</v>
      </c>
      <c r="L682" t="str">
        <f t="shared" si="83"/>
        <v>Neurology</v>
      </c>
      <c r="M682" t="s">
        <v>2018</v>
      </c>
      <c r="N682" t="str">
        <f t="shared" si="84"/>
        <v>GBP</v>
      </c>
      <c r="O682">
        <f t="shared" si="85"/>
        <v>129.25</v>
      </c>
      <c r="P682" cm="1">
        <f t="array" ref="P682">_xlfn.IFS(N682="USD",O682*1,N682="GBP",O682*1.27,N682="EUR",O682*1.09,N682="INR",O682*0.012,N682="N/A","N/A")</f>
        <v>164.14750000000001</v>
      </c>
      <c r="Q682">
        <v>0</v>
      </c>
      <c r="R682" t="str" cm="1">
        <f t="array" ref="R682">_xlfn.IFS(Q682="Y","Yes", Q682="Yes","Yes", Q682="N","No", Q682="No","No", Q682=1,"N/A", Q682=0,"N/A", TRUE,"")</f>
        <v>N/A</v>
      </c>
      <c r="S682">
        <f t="shared" si="86"/>
        <v>14</v>
      </c>
      <c r="T682">
        <f t="shared" si="87"/>
        <v>1</v>
      </c>
      <c r="U682" t="str" cm="1">
        <f t="array" ref="U682">_xlfn.IFS(D682&lt;40,"Young Adult",AND(D682&gt;=40,D682&lt;65),"Middle Aged", D682&gt;=65,"Elderly")</f>
        <v>Young Adult</v>
      </c>
    </row>
    <row r="683" spans="1:21" x14ac:dyDescent="0.2">
      <c r="A683">
        <v>1014</v>
      </c>
      <c r="B683">
        <f t="shared" si="80"/>
        <v>682</v>
      </c>
      <c r="C683" t="s">
        <v>2019</v>
      </c>
      <c r="D683">
        <v>61</v>
      </c>
      <c r="E683" t="s">
        <v>2937</v>
      </c>
      <c r="F683" t="str">
        <f t="shared" si="81"/>
        <v>N/A</v>
      </c>
      <c r="G683" s="1">
        <v>45852</v>
      </c>
      <c r="H683" s="1">
        <v>45648</v>
      </c>
      <c r="I683" t="s">
        <v>2020</v>
      </c>
      <c r="J683" t="str">
        <f t="shared" si="82"/>
        <v>Douglas Patton</v>
      </c>
      <c r="K683" t="s">
        <v>13</v>
      </c>
      <c r="L683" t="str">
        <f t="shared" si="83"/>
        <v>Cardiology</v>
      </c>
      <c r="M683" t="s">
        <v>2021</v>
      </c>
      <c r="N683" t="str">
        <f t="shared" si="84"/>
        <v>INR</v>
      </c>
      <c r="O683">
        <f t="shared" si="85"/>
        <v>257.41000000000003</v>
      </c>
      <c r="P683" cm="1">
        <f t="array" ref="P683">_xlfn.IFS(N683="USD",O683*1,N683="GBP",O683*1.27,N683="EUR",O683*1.09,N683="INR",O683*0.012,N683="N/A","N/A")</f>
        <v>3.0889200000000003</v>
      </c>
      <c r="Q683">
        <v>1</v>
      </c>
      <c r="R683" t="str" cm="1">
        <f t="array" ref="R683">_xlfn.IFS(Q683="Y","Yes", Q683="Yes","Yes", Q683="N","No", Q683="No","No", Q683=1,"N/A", Q683=0,"N/A", TRUE,"")</f>
        <v>N/A</v>
      </c>
      <c r="S683">
        <f t="shared" si="86"/>
        <v>10</v>
      </c>
      <c r="T683">
        <f t="shared" si="87"/>
        <v>1</v>
      </c>
      <c r="U683" t="str" cm="1">
        <f t="array" ref="U683">_xlfn.IFS(D683&lt;40,"Young Adult",AND(D683&gt;=40,D683&lt;65),"Middle Aged", D683&gt;=65,"Elderly")</f>
        <v>Middle Aged</v>
      </c>
    </row>
    <row r="684" spans="1:21" x14ac:dyDescent="0.2">
      <c r="A684">
        <v>1059</v>
      </c>
      <c r="B684">
        <f t="shared" si="80"/>
        <v>683</v>
      </c>
      <c r="C684" t="s">
        <v>2022</v>
      </c>
      <c r="D684">
        <v>23</v>
      </c>
      <c r="E684" t="s">
        <v>71</v>
      </c>
      <c r="F684" t="str">
        <f t="shared" si="81"/>
        <v>Male</v>
      </c>
      <c r="G684" s="1">
        <v>45910</v>
      </c>
      <c r="H684" s="1">
        <v>45405</v>
      </c>
      <c r="I684" t="s">
        <v>2023</v>
      </c>
      <c r="J684" t="str">
        <f t="shared" si="82"/>
        <v>David Bradford</v>
      </c>
      <c r="K684" t="s">
        <v>28</v>
      </c>
      <c r="L684" t="str">
        <f t="shared" si="83"/>
        <v>General</v>
      </c>
      <c r="M684" t="s">
        <v>2024</v>
      </c>
      <c r="N684" t="str">
        <f t="shared" si="84"/>
        <v>EUR</v>
      </c>
      <c r="O684">
        <f t="shared" si="85"/>
        <v>337.48</v>
      </c>
      <c r="P684" cm="1">
        <f t="array" ref="P684">_xlfn.IFS(N684="USD",O684*1,N684="GBP",O684*1.27,N684="EUR",O684*1.09,N684="INR",O684*0.012,N684="N/A","N/A")</f>
        <v>367.85320000000007</v>
      </c>
      <c r="Q684" t="s">
        <v>20</v>
      </c>
      <c r="R684" t="str" cm="1">
        <f t="array" ref="R684">_xlfn.IFS(Q684="Y","Yes", Q684="Yes","Yes", Q684="N","No", Q684="No","No", Q684=1,"N/A", Q684=0,"N/A", TRUE,"")</f>
        <v>Yes</v>
      </c>
      <c r="S684">
        <f t="shared" si="86"/>
        <v>13</v>
      </c>
      <c r="T684">
        <f t="shared" si="87"/>
        <v>1</v>
      </c>
      <c r="U684" t="str" cm="1">
        <f t="array" ref="U684">_xlfn.IFS(D684&lt;40,"Young Adult",AND(D684&gt;=40,D684&lt;65),"Middle Aged", D684&gt;=65,"Elderly")</f>
        <v>Young Adult</v>
      </c>
    </row>
    <row r="685" spans="1:21" x14ac:dyDescent="0.2">
      <c r="A685">
        <v>1021</v>
      </c>
      <c r="B685">
        <f t="shared" si="80"/>
        <v>684</v>
      </c>
      <c r="C685" t="s">
        <v>2025</v>
      </c>
      <c r="D685">
        <v>61</v>
      </c>
      <c r="E685" t="s">
        <v>16</v>
      </c>
      <c r="F685" t="str">
        <f t="shared" si="81"/>
        <v>Female</v>
      </c>
      <c r="G685" s="1">
        <v>46085</v>
      </c>
      <c r="H685" s="1">
        <v>45879</v>
      </c>
      <c r="I685" t="s">
        <v>2026</v>
      </c>
      <c r="J685" t="str">
        <f t="shared" si="82"/>
        <v>Barbara Mack</v>
      </c>
      <c r="K685" t="s">
        <v>24</v>
      </c>
      <c r="L685" t="str">
        <f t="shared" si="83"/>
        <v>Neurology</v>
      </c>
      <c r="M685" t="s">
        <v>2027</v>
      </c>
      <c r="N685" t="str">
        <f t="shared" si="84"/>
        <v>EUR</v>
      </c>
      <c r="O685">
        <f t="shared" si="85"/>
        <v>310.14999999999998</v>
      </c>
      <c r="P685" cm="1">
        <f t="array" ref="P685">_xlfn.IFS(N685="USD",O685*1,N685="GBP",O685*1.27,N685="EUR",O685*1.09,N685="INR",O685*0.012,N685="N/A","N/A")</f>
        <v>338.06349999999998</v>
      </c>
      <c r="Q685" t="s">
        <v>36</v>
      </c>
      <c r="R685" t="str" cm="1">
        <f t="array" ref="R685">_xlfn.IFS(Q685="Y","Yes", Q685="Yes","Yes", Q685="N","No", Q685="No","No", Q685=1,"N/A", Q685=0,"N/A", TRUE,"")</f>
        <v>Yes</v>
      </c>
      <c r="S685">
        <f t="shared" si="86"/>
        <v>16</v>
      </c>
      <c r="T685">
        <f t="shared" si="87"/>
        <v>1</v>
      </c>
      <c r="U685" t="str" cm="1">
        <f t="array" ref="U685">_xlfn.IFS(D685&lt;40,"Young Adult",AND(D685&gt;=40,D685&lt;65),"Middle Aged", D685&gt;=65,"Elderly")</f>
        <v>Middle Aged</v>
      </c>
    </row>
    <row r="686" spans="1:21" x14ac:dyDescent="0.2">
      <c r="A686">
        <v>1029</v>
      </c>
      <c r="B686">
        <f t="shared" si="80"/>
        <v>685</v>
      </c>
      <c r="C686" t="s">
        <v>2028</v>
      </c>
      <c r="D686">
        <v>69</v>
      </c>
      <c r="E686" t="s">
        <v>51</v>
      </c>
      <c r="F686" t="str">
        <f t="shared" si="81"/>
        <v>Male</v>
      </c>
      <c r="G686" s="1">
        <v>45804</v>
      </c>
      <c r="H686" s="1">
        <v>45767</v>
      </c>
      <c r="I686" t="s">
        <v>2029</v>
      </c>
      <c r="J686" t="str">
        <f t="shared" si="82"/>
        <v>Amanda Cruz</v>
      </c>
      <c r="K686" t="s">
        <v>18</v>
      </c>
      <c r="L686" t="str">
        <f t="shared" si="83"/>
        <v>Orthopedics</v>
      </c>
      <c r="M686" t="s">
        <v>2030</v>
      </c>
      <c r="N686" t="str">
        <f t="shared" si="84"/>
        <v>EUR</v>
      </c>
      <c r="O686">
        <f t="shared" si="85"/>
        <v>63.14</v>
      </c>
      <c r="P686" cm="1">
        <f t="array" ref="P686">_xlfn.IFS(N686="USD",O686*1,N686="GBP",O686*1.27,N686="EUR",O686*1.09,N686="INR",O686*0.012,N686="N/A","N/A")</f>
        <v>68.822600000000008</v>
      </c>
      <c r="Q686" t="s">
        <v>60</v>
      </c>
      <c r="R686" t="str" cm="1">
        <f t="array" ref="R686">_xlfn.IFS(Q686="Y","Yes", Q686="Yes","Yes", Q686="N","No", Q686="No","No", Q686=1,"N/A", Q686=0,"N/A", TRUE,"")</f>
        <v>No</v>
      </c>
      <c r="S686">
        <f t="shared" si="86"/>
        <v>8</v>
      </c>
      <c r="T686">
        <f t="shared" si="87"/>
        <v>1</v>
      </c>
      <c r="U686" t="str" cm="1">
        <f t="array" ref="U686">_xlfn.IFS(D686&lt;40,"Young Adult",AND(D686&gt;=40,D686&lt;65),"Middle Aged", D686&gt;=65,"Elderly")</f>
        <v>Elderly</v>
      </c>
    </row>
    <row r="687" spans="1:21" x14ac:dyDescent="0.2">
      <c r="A687">
        <v>1005</v>
      </c>
      <c r="B687">
        <f t="shared" si="80"/>
        <v>686</v>
      </c>
      <c r="C687" t="s">
        <v>2031</v>
      </c>
      <c r="D687">
        <v>23</v>
      </c>
      <c r="E687" t="s">
        <v>2937</v>
      </c>
      <c r="F687" t="str">
        <f t="shared" si="81"/>
        <v>N/A</v>
      </c>
      <c r="G687" s="1">
        <v>46015</v>
      </c>
      <c r="H687" s="1">
        <v>45662</v>
      </c>
      <c r="I687" t="s">
        <v>2032</v>
      </c>
      <c r="J687" t="str">
        <f t="shared" si="82"/>
        <v>Elizabeth Foster</v>
      </c>
      <c r="K687" t="s">
        <v>18</v>
      </c>
      <c r="L687" t="str">
        <f t="shared" si="83"/>
        <v>Orthopedics</v>
      </c>
      <c r="M687" t="s">
        <v>2033</v>
      </c>
      <c r="N687" t="str">
        <f t="shared" si="84"/>
        <v>USD</v>
      </c>
      <c r="O687">
        <f t="shared" si="85"/>
        <v>265.67</v>
      </c>
      <c r="P687" cm="1">
        <f t="array" ref="P687">_xlfn.IFS(N687="USD",O687*1,N687="GBP",O687*1.27,N687="EUR",O687*1.09,N687="INR",O687*0.012,N687="N/A","N/A")</f>
        <v>265.67</v>
      </c>
      <c r="Q687" t="s">
        <v>60</v>
      </c>
      <c r="R687" t="str" cm="1">
        <f t="array" ref="R687">_xlfn.IFS(Q687="Y","Yes", Q687="Yes","Yes", Q687="N","No", Q687="No","No", Q687=1,"N/A", Q687=0,"N/A", TRUE,"")</f>
        <v>No</v>
      </c>
      <c r="S687">
        <f t="shared" si="86"/>
        <v>13</v>
      </c>
      <c r="T687">
        <f t="shared" si="87"/>
        <v>1</v>
      </c>
      <c r="U687" t="str" cm="1">
        <f t="array" ref="U687">_xlfn.IFS(D687&lt;40,"Young Adult",AND(D687&gt;=40,D687&lt;65),"Middle Aged", D687&gt;=65,"Elderly")</f>
        <v>Young Adult</v>
      </c>
    </row>
    <row r="688" spans="1:21" x14ac:dyDescent="0.2">
      <c r="A688">
        <v>1094</v>
      </c>
      <c r="B688">
        <f t="shared" si="80"/>
        <v>687</v>
      </c>
      <c r="C688" t="s">
        <v>2034</v>
      </c>
      <c r="D688">
        <v>59</v>
      </c>
      <c r="E688" t="s">
        <v>2937</v>
      </c>
      <c r="F688" t="str">
        <f t="shared" si="81"/>
        <v>N/A</v>
      </c>
      <c r="G688" s="1">
        <v>45816</v>
      </c>
      <c r="H688" s="1">
        <v>45652</v>
      </c>
      <c r="I688" t="s">
        <v>2035</v>
      </c>
      <c r="J688" t="str">
        <f t="shared" si="82"/>
        <v>Brittany Watson</v>
      </c>
      <c r="K688" t="s">
        <v>18</v>
      </c>
      <c r="L688" t="str">
        <f t="shared" si="83"/>
        <v>Orthopedics</v>
      </c>
      <c r="M688" t="s">
        <v>2036</v>
      </c>
      <c r="N688" t="str">
        <f t="shared" si="84"/>
        <v>USD</v>
      </c>
      <c r="O688">
        <f t="shared" si="85"/>
        <v>382.64</v>
      </c>
      <c r="P688" cm="1">
        <f t="array" ref="P688">_xlfn.IFS(N688="USD",O688*1,N688="GBP",O688*1.27,N688="EUR",O688*1.09,N688="INR",O688*0.012,N688="N/A","N/A")</f>
        <v>382.64</v>
      </c>
      <c r="Q688" t="s">
        <v>20</v>
      </c>
      <c r="R688" t="str" cm="1">
        <f t="array" ref="R688">_xlfn.IFS(Q688="Y","Yes", Q688="Yes","Yes", Q688="N","No", Q688="No","No", Q688=1,"N/A", Q688=0,"N/A", TRUE,"")</f>
        <v>Yes</v>
      </c>
      <c r="S688">
        <f t="shared" si="86"/>
        <v>8</v>
      </c>
      <c r="T688">
        <f t="shared" si="87"/>
        <v>1</v>
      </c>
      <c r="U688" t="str" cm="1">
        <f t="array" ref="U688">_xlfn.IFS(D688&lt;40,"Young Adult",AND(D688&gt;=40,D688&lt;65),"Middle Aged", D688&gt;=65,"Elderly")</f>
        <v>Middle Aged</v>
      </c>
    </row>
    <row r="689" spans="1:21" x14ac:dyDescent="0.2">
      <c r="A689">
        <v>1065</v>
      </c>
      <c r="B689">
        <f t="shared" si="80"/>
        <v>688</v>
      </c>
      <c r="C689" t="s">
        <v>2037</v>
      </c>
      <c r="D689">
        <v>80</v>
      </c>
      <c r="E689" t="s">
        <v>16</v>
      </c>
      <c r="F689" t="str">
        <f t="shared" si="81"/>
        <v>Female</v>
      </c>
      <c r="G689" s="1">
        <v>45788</v>
      </c>
      <c r="H689" s="1">
        <v>45587</v>
      </c>
      <c r="I689" t="s">
        <v>2038</v>
      </c>
      <c r="J689" t="str">
        <f t="shared" si="82"/>
        <v>Lindsey Mendoza</v>
      </c>
      <c r="K689" t="s">
        <v>13</v>
      </c>
      <c r="L689" t="str">
        <f t="shared" si="83"/>
        <v>Cardiology</v>
      </c>
      <c r="M689" t="s">
        <v>2039</v>
      </c>
      <c r="N689" t="str">
        <f t="shared" si="84"/>
        <v>INR</v>
      </c>
      <c r="O689">
        <f t="shared" si="85"/>
        <v>125.35</v>
      </c>
      <c r="P689" cm="1">
        <f t="array" ref="P689">_xlfn.IFS(N689="USD",O689*1,N689="GBP",O689*1.27,N689="EUR",O689*1.09,N689="INR",O689*0.012,N689="N/A","N/A")</f>
        <v>1.5042</v>
      </c>
      <c r="Q689">
        <v>0</v>
      </c>
      <c r="R689" t="str" cm="1">
        <f t="array" ref="R689">_xlfn.IFS(Q689="Y","Yes", Q689="Yes","Yes", Q689="N","No", Q689="No","No", Q689=1,"N/A", Q689=0,"N/A", TRUE,"")</f>
        <v>N/A</v>
      </c>
      <c r="S689">
        <f t="shared" si="86"/>
        <v>9</v>
      </c>
      <c r="T689">
        <f t="shared" si="87"/>
        <v>1</v>
      </c>
      <c r="U689" t="str" cm="1">
        <f t="array" ref="U689">_xlfn.IFS(D689&lt;40,"Young Adult",AND(D689&gt;=40,D689&lt;65),"Middle Aged", D689&gt;=65,"Elderly")</f>
        <v>Elderly</v>
      </c>
    </row>
    <row r="690" spans="1:21" x14ac:dyDescent="0.2">
      <c r="A690">
        <v>1058</v>
      </c>
      <c r="B690">
        <f t="shared" si="80"/>
        <v>689</v>
      </c>
      <c r="C690" t="s">
        <v>2040</v>
      </c>
      <c r="D690">
        <v>27</v>
      </c>
      <c r="E690" t="s">
        <v>71</v>
      </c>
      <c r="F690" t="str">
        <f t="shared" si="81"/>
        <v>Male</v>
      </c>
      <c r="G690" s="1">
        <v>45863</v>
      </c>
      <c r="H690" s="1">
        <v>45532</v>
      </c>
      <c r="I690" t="s">
        <v>2041</v>
      </c>
      <c r="J690" t="str">
        <f t="shared" si="82"/>
        <v>Karen Hancock</v>
      </c>
      <c r="K690" t="s">
        <v>18</v>
      </c>
      <c r="L690" t="str">
        <f t="shared" si="83"/>
        <v>Orthopedics</v>
      </c>
      <c r="M690" t="s">
        <v>2042</v>
      </c>
      <c r="N690" t="str">
        <f t="shared" si="84"/>
        <v>GBP</v>
      </c>
      <c r="O690">
        <f t="shared" si="85"/>
        <v>206.69</v>
      </c>
      <c r="P690" cm="1">
        <f t="array" ref="P690">_xlfn.IFS(N690="USD",O690*1,N690="GBP",O690*1.27,N690="EUR",O690*1.09,N690="INR",O690*0.012,N690="N/A","N/A")</f>
        <v>262.49630000000002</v>
      </c>
      <c r="Q690" t="s">
        <v>30</v>
      </c>
      <c r="R690" t="str" cm="1">
        <f t="array" ref="R690">_xlfn.IFS(Q690="Y","Yes", Q690="Yes","Yes", Q690="N","No", Q690="No","No", Q690=1,"N/A", Q690=0,"N/A", TRUE,"")</f>
        <v>No</v>
      </c>
      <c r="S690">
        <f t="shared" si="86"/>
        <v>17</v>
      </c>
      <c r="T690">
        <f t="shared" si="87"/>
        <v>1</v>
      </c>
      <c r="U690" t="str" cm="1">
        <f t="array" ref="U690">_xlfn.IFS(D690&lt;40,"Young Adult",AND(D690&gt;=40,D690&lt;65),"Middle Aged", D690&gt;=65,"Elderly")</f>
        <v>Young Adult</v>
      </c>
    </row>
    <row r="691" spans="1:21" x14ac:dyDescent="0.2">
      <c r="A691">
        <v>1076</v>
      </c>
      <c r="B691">
        <f t="shared" si="80"/>
        <v>690</v>
      </c>
      <c r="C691" t="s">
        <v>2043</v>
      </c>
      <c r="D691">
        <v>39</v>
      </c>
      <c r="E691" t="s">
        <v>38</v>
      </c>
      <c r="F691" t="str">
        <f t="shared" si="81"/>
        <v>Female</v>
      </c>
      <c r="G691" s="1">
        <v>45807</v>
      </c>
      <c r="H691" s="1">
        <v>45783</v>
      </c>
      <c r="I691" t="s">
        <v>2044</v>
      </c>
      <c r="J691" t="str">
        <f t="shared" si="82"/>
        <v>Kyle Mcintyre</v>
      </c>
      <c r="K691" t="s">
        <v>28</v>
      </c>
      <c r="L691" t="str">
        <f t="shared" si="83"/>
        <v>General</v>
      </c>
      <c r="M691" t="s">
        <v>2045</v>
      </c>
      <c r="N691" t="str">
        <f t="shared" si="84"/>
        <v>GBP</v>
      </c>
      <c r="O691">
        <f t="shared" si="85"/>
        <v>358.45</v>
      </c>
      <c r="P691" cm="1">
        <f t="array" ref="P691">_xlfn.IFS(N691="USD",O691*1,N691="GBP",O691*1.27,N691="EUR",O691*1.09,N691="INR",O691*0.012,N691="N/A","N/A")</f>
        <v>455.23149999999998</v>
      </c>
      <c r="Q691" t="s">
        <v>36</v>
      </c>
      <c r="R691" t="str" cm="1">
        <f t="array" ref="R691">_xlfn.IFS(Q691="Y","Yes", Q691="Yes","Yes", Q691="N","No", Q691="No","No", Q691=1,"N/A", Q691=0,"N/A", TRUE,"")</f>
        <v>Yes</v>
      </c>
      <c r="S691">
        <f t="shared" si="86"/>
        <v>6</v>
      </c>
      <c r="T691">
        <f t="shared" si="87"/>
        <v>1</v>
      </c>
      <c r="U691" t="str" cm="1">
        <f t="array" ref="U691">_xlfn.IFS(D691&lt;40,"Young Adult",AND(D691&gt;=40,D691&lt;65),"Middle Aged", D691&gt;=65,"Elderly")</f>
        <v>Young Adult</v>
      </c>
    </row>
    <row r="692" spans="1:21" x14ac:dyDescent="0.2">
      <c r="A692">
        <v>1073</v>
      </c>
      <c r="B692">
        <f t="shared" si="80"/>
        <v>691</v>
      </c>
      <c r="C692" t="s">
        <v>2046</v>
      </c>
      <c r="D692">
        <v>52</v>
      </c>
      <c r="E692" t="s">
        <v>71</v>
      </c>
      <c r="F692" t="str">
        <f t="shared" si="81"/>
        <v>Male</v>
      </c>
      <c r="G692" s="1">
        <v>45925</v>
      </c>
      <c r="H692" s="1">
        <v>45668</v>
      </c>
      <c r="I692" t="s">
        <v>2047</v>
      </c>
      <c r="J692" t="str">
        <f t="shared" si="82"/>
        <v>Katherine Martin</v>
      </c>
      <c r="K692" t="s">
        <v>13</v>
      </c>
      <c r="L692" t="str">
        <f t="shared" si="83"/>
        <v>Cardiology</v>
      </c>
      <c r="M692" t="s">
        <v>2048</v>
      </c>
      <c r="N692" t="str">
        <f t="shared" si="84"/>
        <v>EUR</v>
      </c>
      <c r="O692">
        <f t="shared" si="85"/>
        <v>496.62</v>
      </c>
      <c r="P692" cm="1">
        <f t="array" ref="P692">_xlfn.IFS(N692="USD",O692*1,N692="GBP",O692*1.27,N692="EUR",O692*1.09,N692="INR",O692*0.012,N692="N/A","N/A")</f>
        <v>541.31580000000008</v>
      </c>
      <c r="Q692">
        <v>0</v>
      </c>
      <c r="R692" t="str" cm="1">
        <f t="array" ref="R692">_xlfn.IFS(Q692="Y","Yes", Q692="Yes","Yes", Q692="N","No", Q692="No","No", Q692=1,"N/A", Q692=0,"N/A", TRUE,"")</f>
        <v>N/A</v>
      </c>
      <c r="S692">
        <f t="shared" si="86"/>
        <v>11</v>
      </c>
      <c r="T692">
        <f t="shared" si="87"/>
        <v>1</v>
      </c>
      <c r="U692" t="str" cm="1">
        <f t="array" ref="U692">_xlfn.IFS(D692&lt;40,"Young Adult",AND(D692&gt;=40,D692&lt;65),"Middle Aged", D692&gt;=65,"Elderly")</f>
        <v>Middle Aged</v>
      </c>
    </row>
    <row r="693" spans="1:21" x14ac:dyDescent="0.2">
      <c r="A693">
        <v>1054</v>
      </c>
      <c r="B693">
        <f t="shared" si="80"/>
        <v>692</v>
      </c>
      <c r="C693" t="s">
        <v>2049</v>
      </c>
      <c r="D693">
        <v>66</v>
      </c>
      <c r="E693" t="s">
        <v>71</v>
      </c>
      <c r="F693" t="str">
        <f t="shared" si="81"/>
        <v>Male</v>
      </c>
      <c r="G693" s="1">
        <v>45755</v>
      </c>
      <c r="H693" s="1">
        <v>45659</v>
      </c>
      <c r="I693" t="s">
        <v>2050</v>
      </c>
      <c r="J693" t="str">
        <f t="shared" si="82"/>
        <v>David Barnett</v>
      </c>
      <c r="K693" t="s">
        <v>18</v>
      </c>
      <c r="L693" t="str">
        <f t="shared" si="83"/>
        <v>Orthopedics</v>
      </c>
      <c r="M693" t="s">
        <v>2051</v>
      </c>
      <c r="N693" t="str">
        <f t="shared" si="84"/>
        <v>INR</v>
      </c>
      <c r="O693">
        <f t="shared" si="85"/>
        <v>290.47000000000003</v>
      </c>
      <c r="P693" cm="1">
        <f t="array" ref="P693">_xlfn.IFS(N693="USD",O693*1,N693="GBP",O693*1.27,N693="EUR",O693*1.09,N693="INR",O693*0.012,N693="N/A","N/A")</f>
        <v>3.4856400000000005</v>
      </c>
      <c r="Q693">
        <v>1</v>
      </c>
      <c r="R693" t="str" cm="1">
        <f t="array" ref="R693">_xlfn.IFS(Q693="Y","Yes", Q693="Yes","Yes", Q693="N","No", Q693="No","No", Q693=1,"N/A", Q693=0,"N/A", TRUE,"")</f>
        <v>N/A</v>
      </c>
      <c r="S693">
        <f t="shared" si="86"/>
        <v>12</v>
      </c>
      <c r="T693">
        <f t="shared" si="87"/>
        <v>1</v>
      </c>
      <c r="U693" t="str" cm="1">
        <f t="array" ref="U693">_xlfn.IFS(D693&lt;40,"Young Adult",AND(D693&gt;=40,D693&lt;65),"Middle Aged", D693&gt;=65,"Elderly")</f>
        <v>Elderly</v>
      </c>
    </row>
    <row r="694" spans="1:21" x14ac:dyDescent="0.2">
      <c r="A694">
        <v>1020</v>
      </c>
      <c r="B694">
        <f t="shared" si="80"/>
        <v>693</v>
      </c>
      <c r="C694" t="s">
        <v>2052</v>
      </c>
      <c r="D694">
        <v>52</v>
      </c>
      <c r="E694" t="s">
        <v>51</v>
      </c>
      <c r="F694" t="str">
        <f t="shared" si="81"/>
        <v>Male</v>
      </c>
      <c r="G694" s="1">
        <v>46069</v>
      </c>
      <c r="H694" s="1">
        <v>45730</v>
      </c>
      <c r="I694" t="s">
        <v>2053</v>
      </c>
      <c r="J694" t="str">
        <f t="shared" si="82"/>
        <v>Jacob Bernard</v>
      </c>
      <c r="K694" t="s">
        <v>28</v>
      </c>
      <c r="L694" t="str">
        <f t="shared" si="83"/>
        <v>General</v>
      </c>
      <c r="M694" t="s">
        <v>2054</v>
      </c>
      <c r="N694" t="str">
        <f t="shared" si="84"/>
        <v>EUR</v>
      </c>
      <c r="O694">
        <f t="shared" si="85"/>
        <v>346.4</v>
      </c>
      <c r="P694" cm="1">
        <f t="array" ref="P694">_xlfn.IFS(N694="USD",O694*1,N694="GBP",O694*1.27,N694="EUR",O694*1.09,N694="INR",O694*0.012,N694="N/A","N/A")</f>
        <v>377.57600000000002</v>
      </c>
      <c r="Q694">
        <v>0</v>
      </c>
      <c r="R694" t="str" cm="1">
        <f t="array" ref="R694">_xlfn.IFS(Q694="Y","Yes", Q694="Yes","Yes", Q694="N","No", Q694="No","No", Q694=1,"N/A", Q694=0,"N/A", TRUE,"")</f>
        <v>N/A</v>
      </c>
      <c r="S694">
        <f t="shared" si="86"/>
        <v>10</v>
      </c>
      <c r="T694">
        <f t="shared" si="87"/>
        <v>1</v>
      </c>
      <c r="U694" t="str" cm="1">
        <f t="array" ref="U694">_xlfn.IFS(D694&lt;40,"Young Adult",AND(D694&gt;=40,D694&lt;65),"Middle Aged", D694&gt;=65,"Elderly")</f>
        <v>Middle Aged</v>
      </c>
    </row>
    <row r="695" spans="1:21" x14ac:dyDescent="0.2">
      <c r="A695">
        <v>1087</v>
      </c>
      <c r="B695">
        <f t="shared" si="80"/>
        <v>694</v>
      </c>
      <c r="C695" t="s">
        <v>2055</v>
      </c>
      <c r="D695">
        <v>78</v>
      </c>
      <c r="E695" t="s">
        <v>71</v>
      </c>
      <c r="F695" t="str">
        <f t="shared" si="81"/>
        <v>Male</v>
      </c>
      <c r="G695" s="1">
        <v>46044</v>
      </c>
      <c r="H695" s="1">
        <v>45815</v>
      </c>
      <c r="I695" t="s">
        <v>2056</v>
      </c>
      <c r="J695" t="str">
        <f t="shared" si="82"/>
        <v>Brian Walker</v>
      </c>
      <c r="K695" t="s">
        <v>28</v>
      </c>
      <c r="L695" t="str">
        <f t="shared" si="83"/>
        <v>General</v>
      </c>
      <c r="M695" t="s">
        <v>2057</v>
      </c>
      <c r="N695" t="str">
        <f t="shared" si="84"/>
        <v>USD</v>
      </c>
      <c r="O695">
        <f t="shared" si="85"/>
        <v>123.28</v>
      </c>
      <c r="P695" cm="1">
        <f t="array" ref="P695">_xlfn.IFS(N695="USD",O695*1,N695="GBP",O695*1.27,N695="EUR",O695*1.09,N695="INR",O695*0.012,N695="N/A","N/A")</f>
        <v>123.28</v>
      </c>
      <c r="Q695" t="s">
        <v>30</v>
      </c>
      <c r="R695" t="str" cm="1">
        <f t="array" ref="R695">_xlfn.IFS(Q695="Y","Yes", Q695="Yes","Yes", Q695="N","No", Q695="No","No", Q695=1,"N/A", Q695=0,"N/A", TRUE,"")</f>
        <v>No</v>
      </c>
      <c r="S695">
        <f t="shared" si="86"/>
        <v>8</v>
      </c>
      <c r="T695">
        <f t="shared" si="87"/>
        <v>1</v>
      </c>
      <c r="U695" t="str" cm="1">
        <f t="array" ref="U695">_xlfn.IFS(D695&lt;40,"Young Adult",AND(D695&gt;=40,D695&lt;65),"Middle Aged", D695&gt;=65,"Elderly")</f>
        <v>Elderly</v>
      </c>
    </row>
    <row r="696" spans="1:21" x14ac:dyDescent="0.2">
      <c r="A696">
        <v>1012</v>
      </c>
      <c r="B696">
        <f t="shared" si="80"/>
        <v>695</v>
      </c>
      <c r="C696" t="s">
        <v>2058</v>
      </c>
      <c r="D696">
        <v>45</v>
      </c>
      <c r="E696" t="s">
        <v>2937</v>
      </c>
      <c r="F696" t="str">
        <f t="shared" si="81"/>
        <v>N/A</v>
      </c>
      <c r="G696" s="1">
        <v>45863</v>
      </c>
      <c r="H696" s="1">
        <v>45535</v>
      </c>
      <c r="I696" t="s">
        <v>2059</v>
      </c>
      <c r="J696" t="str">
        <f t="shared" si="82"/>
        <v>Christopher Simpson</v>
      </c>
      <c r="K696" t="s">
        <v>18</v>
      </c>
      <c r="L696" t="str">
        <f t="shared" si="83"/>
        <v>Orthopedics</v>
      </c>
      <c r="M696" t="s">
        <v>2060</v>
      </c>
      <c r="N696" t="str">
        <f t="shared" si="84"/>
        <v>USD</v>
      </c>
      <c r="O696">
        <f t="shared" si="85"/>
        <v>353.09</v>
      </c>
      <c r="P696" cm="1">
        <f t="array" ref="P696">_xlfn.IFS(N696="USD",O696*1,N696="GBP",O696*1.27,N696="EUR",O696*1.09,N696="INR",O696*0.012,N696="N/A","N/A")</f>
        <v>353.09</v>
      </c>
      <c r="Q696" t="s">
        <v>30</v>
      </c>
      <c r="R696" t="str" cm="1">
        <f t="array" ref="R696">_xlfn.IFS(Q696="Y","Yes", Q696="Yes","Yes", Q696="N","No", Q696="No","No", Q696=1,"N/A", Q696=0,"N/A", TRUE,"")</f>
        <v>No</v>
      </c>
      <c r="S696">
        <f t="shared" si="86"/>
        <v>9</v>
      </c>
      <c r="T696">
        <f t="shared" si="87"/>
        <v>1</v>
      </c>
      <c r="U696" t="str" cm="1">
        <f t="array" ref="U696">_xlfn.IFS(D696&lt;40,"Young Adult",AND(D696&gt;=40,D696&lt;65),"Middle Aged", D696&gt;=65,"Elderly")</f>
        <v>Middle Aged</v>
      </c>
    </row>
    <row r="697" spans="1:21" x14ac:dyDescent="0.2">
      <c r="A697">
        <v>1085</v>
      </c>
      <c r="B697">
        <f t="shared" si="80"/>
        <v>696</v>
      </c>
      <c r="C697" t="s">
        <v>2061</v>
      </c>
      <c r="D697">
        <v>30</v>
      </c>
      <c r="E697" t="s">
        <v>71</v>
      </c>
      <c r="F697" t="str">
        <f t="shared" si="81"/>
        <v>Male</v>
      </c>
      <c r="G697" s="1">
        <v>46014</v>
      </c>
      <c r="H697" s="1">
        <v>45455</v>
      </c>
      <c r="I697" t="s">
        <v>2062</v>
      </c>
      <c r="J697" t="str">
        <f t="shared" si="82"/>
        <v>Kent Cannon</v>
      </c>
      <c r="K697" t="s">
        <v>24</v>
      </c>
      <c r="L697" t="str">
        <f t="shared" si="83"/>
        <v>Neurology</v>
      </c>
      <c r="M697" t="s">
        <v>2063</v>
      </c>
      <c r="N697" t="str">
        <f t="shared" si="84"/>
        <v>INR</v>
      </c>
      <c r="O697">
        <f t="shared" si="85"/>
        <v>299.12</v>
      </c>
      <c r="P697" cm="1">
        <f t="array" ref="P697">_xlfn.IFS(N697="USD",O697*1,N697="GBP",O697*1.27,N697="EUR",O697*1.09,N697="INR",O697*0.012,N697="N/A","N/A")</f>
        <v>3.5894400000000002</v>
      </c>
      <c r="Q697">
        <v>1</v>
      </c>
      <c r="R697" t="str" cm="1">
        <f t="array" ref="R697">_xlfn.IFS(Q697="Y","Yes", Q697="Yes","Yes", Q697="N","No", Q697="No","No", Q697=1,"N/A", Q697=0,"N/A", TRUE,"")</f>
        <v>N/A</v>
      </c>
      <c r="S697">
        <f t="shared" si="86"/>
        <v>12</v>
      </c>
      <c r="T697">
        <f t="shared" si="87"/>
        <v>1</v>
      </c>
      <c r="U697" t="str" cm="1">
        <f t="array" ref="U697">_xlfn.IFS(D697&lt;40,"Young Adult",AND(D697&gt;=40,D697&lt;65),"Middle Aged", D697&gt;=65,"Elderly")</f>
        <v>Young Adult</v>
      </c>
    </row>
    <row r="698" spans="1:21" x14ac:dyDescent="0.2">
      <c r="A698">
        <v>1012</v>
      </c>
      <c r="B698">
        <f t="shared" si="80"/>
        <v>697</v>
      </c>
      <c r="C698" t="s">
        <v>2064</v>
      </c>
      <c r="D698">
        <v>30</v>
      </c>
      <c r="E698" t="s">
        <v>16</v>
      </c>
      <c r="F698" t="str">
        <f t="shared" si="81"/>
        <v>Female</v>
      </c>
      <c r="G698" s="1">
        <v>45994</v>
      </c>
      <c r="H698" s="1">
        <v>45430</v>
      </c>
      <c r="I698" t="s">
        <v>2065</v>
      </c>
      <c r="J698" t="str">
        <f t="shared" si="82"/>
        <v>Brian Rodriguez</v>
      </c>
      <c r="K698" t="s">
        <v>24</v>
      </c>
      <c r="L698" t="str">
        <f t="shared" si="83"/>
        <v>Neurology</v>
      </c>
      <c r="M698" t="s">
        <v>2066</v>
      </c>
      <c r="N698" t="str">
        <f t="shared" si="84"/>
        <v>EUR</v>
      </c>
      <c r="O698">
        <f t="shared" si="85"/>
        <v>286.79000000000002</v>
      </c>
      <c r="P698" cm="1">
        <f t="array" ref="P698">_xlfn.IFS(N698="USD",O698*1,N698="GBP",O698*1.27,N698="EUR",O698*1.09,N698="INR",O698*0.012,N698="N/A","N/A")</f>
        <v>312.60110000000003</v>
      </c>
      <c r="Q698">
        <v>1</v>
      </c>
      <c r="R698" t="str" cm="1">
        <f t="array" ref="R698">_xlfn.IFS(Q698="Y","Yes", Q698="Yes","Yes", Q698="N","No", Q698="No","No", Q698=1,"N/A", Q698=0,"N/A", TRUE,"")</f>
        <v>N/A</v>
      </c>
      <c r="S698">
        <f t="shared" si="86"/>
        <v>9</v>
      </c>
      <c r="T698">
        <f t="shared" si="87"/>
        <v>1</v>
      </c>
      <c r="U698" t="str" cm="1">
        <f t="array" ref="U698">_xlfn.IFS(D698&lt;40,"Young Adult",AND(D698&gt;=40,D698&lt;65),"Middle Aged", D698&gt;=65,"Elderly")</f>
        <v>Young Adult</v>
      </c>
    </row>
    <row r="699" spans="1:21" x14ac:dyDescent="0.2">
      <c r="A699">
        <v>1063</v>
      </c>
      <c r="B699">
        <f t="shared" si="80"/>
        <v>698</v>
      </c>
      <c r="C699" t="s">
        <v>2067</v>
      </c>
      <c r="D699">
        <v>46</v>
      </c>
      <c r="E699" t="s">
        <v>22</v>
      </c>
      <c r="F699" t="str">
        <f t="shared" si="81"/>
        <v>Male</v>
      </c>
      <c r="G699" s="1">
        <v>45948</v>
      </c>
      <c r="H699" s="1">
        <v>45568</v>
      </c>
      <c r="I699" t="s">
        <v>2068</v>
      </c>
      <c r="J699" t="str">
        <f t="shared" si="82"/>
        <v>Robert Fowler</v>
      </c>
      <c r="K699" t="s">
        <v>18</v>
      </c>
      <c r="L699" t="str">
        <f t="shared" si="83"/>
        <v>Orthopedics</v>
      </c>
      <c r="M699" t="s">
        <v>2069</v>
      </c>
      <c r="N699" t="str">
        <f t="shared" si="84"/>
        <v>EUR</v>
      </c>
      <c r="O699">
        <f t="shared" si="85"/>
        <v>330.76</v>
      </c>
      <c r="P699" cm="1">
        <f t="array" ref="P699">_xlfn.IFS(N699="USD",O699*1,N699="GBP",O699*1.27,N699="EUR",O699*1.09,N699="INR",O699*0.012,N699="N/A","N/A")</f>
        <v>360.52840000000003</v>
      </c>
      <c r="Q699" t="s">
        <v>60</v>
      </c>
      <c r="R699" t="str" cm="1">
        <f t="array" ref="R699">_xlfn.IFS(Q699="Y","Yes", Q699="Yes","Yes", Q699="N","No", Q699="No","No", Q699=1,"N/A", Q699=0,"N/A", TRUE,"")</f>
        <v>No</v>
      </c>
      <c r="S699">
        <f t="shared" si="86"/>
        <v>11</v>
      </c>
      <c r="T699">
        <f t="shared" si="87"/>
        <v>1</v>
      </c>
      <c r="U699" t="str" cm="1">
        <f t="array" ref="U699">_xlfn.IFS(D699&lt;40,"Young Adult",AND(D699&gt;=40,D699&lt;65),"Middle Aged", D699&gt;=65,"Elderly")</f>
        <v>Middle Aged</v>
      </c>
    </row>
    <row r="700" spans="1:21" x14ac:dyDescent="0.2">
      <c r="A700">
        <v>1046</v>
      </c>
      <c r="B700">
        <f t="shared" si="80"/>
        <v>699</v>
      </c>
      <c r="C700" t="s">
        <v>1145</v>
      </c>
      <c r="D700">
        <v>28</v>
      </c>
      <c r="E700" t="s">
        <v>2937</v>
      </c>
      <c r="F700" t="str">
        <f t="shared" si="81"/>
        <v>N/A</v>
      </c>
      <c r="G700" s="1">
        <v>45767</v>
      </c>
      <c r="H700" s="1">
        <v>45505</v>
      </c>
      <c r="I700" t="s">
        <v>2070</v>
      </c>
      <c r="J700" t="str">
        <f t="shared" si="82"/>
        <v>Bill Brown</v>
      </c>
      <c r="K700" t="s">
        <v>18</v>
      </c>
      <c r="L700" t="str">
        <f t="shared" si="83"/>
        <v>Orthopedics</v>
      </c>
      <c r="M700" t="s">
        <v>2071</v>
      </c>
      <c r="N700" t="str">
        <f t="shared" si="84"/>
        <v>EUR</v>
      </c>
      <c r="O700">
        <f t="shared" si="85"/>
        <v>69.760000000000005</v>
      </c>
      <c r="P700" cm="1">
        <f t="array" ref="P700">_xlfn.IFS(N700="USD",O700*1,N700="GBP",O700*1.27,N700="EUR",O700*1.09,N700="INR",O700*0.012,N700="N/A","N/A")</f>
        <v>76.03840000000001</v>
      </c>
      <c r="Q700" t="s">
        <v>20</v>
      </c>
      <c r="R700" t="str" cm="1">
        <f t="array" ref="R700">_xlfn.IFS(Q700="Y","Yes", Q700="Yes","Yes", Q700="N","No", Q700="No","No", Q700=1,"N/A", Q700=0,"N/A", TRUE,"")</f>
        <v>Yes</v>
      </c>
      <c r="S700">
        <f t="shared" si="86"/>
        <v>8</v>
      </c>
      <c r="T700">
        <f t="shared" si="87"/>
        <v>1</v>
      </c>
      <c r="U700" t="str" cm="1">
        <f t="array" ref="U700">_xlfn.IFS(D700&lt;40,"Young Adult",AND(D700&gt;=40,D700&lt;65),"Middle Aged", D700&gt;=65,"Elderly")</f>
        <v>Young Adult</v>
      </c>
    </row>
    <row r="701" spans="1:21" x14ac:dyDescent="0.2">
      <c r="A701">
        <v>1031</v>
      </c>
      <c r="B701">
        <f t="shared" si="80"/>
        <v>700</v>
      </c>
      <c r="C701" t="s">
        <v>2072</v>
      </c>
      <c r="D701">
        <v>57</v>
      </c>
      <c r="E701" t="s">
        <v>2937</v>
      </c>
      <c r="F701" t="str">
        <f t="shared" si="81"/>
        <v>N/A</v>
      </c>
      <c r="G701" s="1">
        <v>45808</v>
      </c>
      <c r="H701" s="1">
        <v>45702</v>
      </c>
      <c r="I701" t="s">
        <v>2073</v>
      </c>
      <c r="J701" t="str">
        <f t="shared" si="82"/>
        <v>Brian Caldwell</v>
      </c>
      <c r="K701" t="s">
        <v>18</v>
      </c>
      <c r="L701" t="str">
        <f t="shared" si="83"/>
        <v>Orthopedics</v>
      </c>
      <c r="M701" t="s">
        <v>2074</v>
      </c>
      <c r="N701" t="str">
        <f t="shared" si="84"/>
        <v>USD</v>
      </c>
      <c r="O701">
        <f t="shared" si="85"/>
        <v>341.11</v>
      </c>
      <c r="P701" cm="1">
        <f t="array" ref="P701">_xlfn.IFS(N701="USD",O701*1,N701="GBP",O701*1.27,N701="EUR",O701*1.09,N701="INR",O701*0.012,N701="N/A","N/A")</f>
        <v>341.11</v>
      </c>
      <c r="Q701" t="s">
        <v>30</v>
      </c>
      <c r="R701" t="str" cm="1">
        <f t="array" ref="R701">_xlfn.IFS(Q701="Y","Yes", Q701="Yes","Yes", Q701="N","No", Q701="No","No", Q701=1,"N/A", Q701=0,"N/A", TRUE,"")</f>
        <v>No</v>
      </c>
      <c r="S701">
        <f t="shared" si="86"/>
        <v>13</v>
      </c>
      <c r="T701">
        <f t="shared" si="87"/>
        <v>1</v>
      </c>
      <c r="U701" t="str" cm="1">
        <f t="array" ref="U701">_xlfn.IFS(D701&lt;40,"Young Adult",AND(D701&gt;=40,D701&lt;65),"Middle Aged", D701&gt;=65,"Elderly")</f>
        <v>Middle Aged</v>
      </c>
    </row>
    <row r="702" spans="1:21" x14ac:dyDescent="0.2">
      <c r="A702">
        <v>1098</v>
      </c>
      <c r="B702">
        <f t="shared" si="80"/>
        <v>701</v>
      </c>
      <c r="C702" t="s">
        <v>2075</v>
      </c>
      <c r="D702">
        <v>27</v>
      </c>
      <c r="E702" t="s">
        <v>2937</v>
      </c>
      <c r="F702" t="str">
        <f t="shared" si="81"/>
        <v>N/A</v>
      </c>
      <c r="G702" s="1">
        <v>46063</v>
      </c>
      <c r="H702" s="1">
        <v>45837</v>
      </c>
      <c r="I702" t="s">
        <v>2076</v>
      </c>
      <c r="J702" t="str">
        <f t="shared" si="82"/>
        <v>Michael Stanley</v>
      </c>
      <c r="K702" t="s">
        <v>28</v>
      </c>
      <c r="L702" t="str">
        <f t="shared" si="83"/>
        <v>General</v>
      </c>
      <c r="M702" t="s">
        <v>2077</v>
      </c>
      <c r="N702" t="str">
        <f t="shared" si="84"/>
        <v>USD</v>
      </c>
      <c r="O702">
        <f t="shared" si="85"/>
        <v>147.08000000000001</v>
      </c>
      <c r="P702" cm="1">
        <f t="array" ref="P702">_xlfn.IFS(N702="USD",O702*1,N702="GBP",O702*1.27,N702="EUR",O702*1.09,N702="INR",O702*0.012,N702="N/A","N/A")</f>
        <v>147.08000000000001</v>
      </c>
      <c r="Q702" t="s">
        <v>60</v>
      </c>
      <c r="R702" t="str" cm="1">
        <f t="array" ref="R702">_xlfn.IFS(Q702="Y","Yes", Q702="Yes","Yes", Q702="N","No", Q702="No","No", Q702=1,"N/A", Q702=0,"N/A", TRUE,"")</f>
        <v>No</v>
      </c>
      <c r="S702">
        <f t="shared" si="86"/>
        <v>12</v>
      </c>
      <c r="T702">
        <f t="shared" si="87"/>
        <v>1</v>
      </c>
      <c r="U702" t="str" cm="1">
        <f t="array" ref="U702">_xlfn.IFS(D702&lt;40,"Young Adult",AND(D702&gt;=40,D702&lt;65),"Middle Aged", D702&gt;=65,"Elderly")</f>
        <v>Young Adult</v>
      </c>
    </row>
    <row r="703" spans="1:21" x14ac:dyDescent="0.2">
      <c r="A703">
        <v>1021</v>
      </c>
      <c r="B703">
        <f t="shared" si="80"/>
        <v>702</v>
      </c>
      <c r="C703" t="s">
        <v>2078</v>
      </c>
      <c r="D703">
        <v>63</v>
      </c>
      <c r="E703" t="s">
        <v>51</v>
      </c>
      <c r="F703" t="str">
        <f t="shared" si="81"/>
        <v>Male</v>
      </c>
      <c r="G703" s="1">
        <v>45843</v>
      </c>
      <c r="H703" s="1">
        <v>45829</v>
      </c>
      <c r="I703" t="s">
        <v>2079</v>
      </c>
      <c r="J703" t="str">
        <f t="shared" si="82"/>
        <v>Veronica Chen</v>
      </c>
      <c r="K703" t="s">
        <v>24</v>
      </c>
      <c r="L703" t="str">
        <f t="shared" si="83"/>
        <v>Neurology</v>
      </c>
      <c r="M703" t="s">
        <v>2080</v>
      </c>
      <c r="N703" t="str">
        <f t="shared" si="84"/>
        <v>USD</v>
      </c>
      <c r="O703">
        <f t="shared" si="85"/>
        <v>462.6</v>
      </c>
      <c r="P703" cm="1">
        <f t="array" ref="P703">_xlfn.IFS(N703="USD",O703*1,N703="GBP",O703*1.27,N703="EUR",O703*1.09,N703="INR",O703*0.012,N703="N/A","N/A")</f>
        <v>462.6</v>
      </c>
      <c r="Q703">
        <v>1</v>
      </c>
      <c r="R703" t="str" cm="1">
        <f t="array" ref="R703">_xlfn.IFS(Q703="Y","Yes", Q703="Yes","Yes", Q703="N","No", Q703="No","No", Q703=1,"N/A", Q703=0,"N/A", TRUE,"")</f>
        <v>N/A</v>
      </c>
      <c r="S703">
        <f t="shared" si="86"/>
        <v>16</v>
      </c>
      <c r="T703">
        <f t="shared" si="87"/>
        <v>1</v>
      </c>
      <c r="U703" t="str" cm="1">
        <f t="array" ref="U703">_xlfn.IFS(D703&lt;40,"Young Adult",AND(D703&gt;=40,D703&lt;65),"Middle Aged", D703&gt;=65,"Elderly")</f>
        <v>Middle Aged</v>
      </c>
    </row>
    <row r="704" spans="1:21" x14ac:dyDescent="0.2">
      <c r="A704">
        <v>1085</v>
      </c>
      <c r="B704">
        <f t="shared" si="80"/>
        <v>703</v>
      </c>
      <c r="C704" t="s">
        <v>2081</v>
      </c>
      <c r="D704">
        <v>25</v>
      </c>
      <c r="E704" t="s">
        <v>16</v>
      </c>
      <c r="F704" t="str">
        <f t="shared" si="81"/>
        <v>Female</v>
      </c>
      <c r="G704" s="1">
        <v>45943</v>
      </c>
      <c r="H704" s="1">
        <v>45729</v>
      </c>
      <c r="I704" t="s">
        <v>2082</v>
      </c>
      <c r="J704" t="str">
        <f t="shared" si="82"/>
        <v>Krystal Krueger</v>
      </c>
      <c r="K704" t="s">
        <v>28</v>
      </c>
      <c r="L704" t="str">
        <f t="shared" si="83"/>
        <v>General</v>
      </c>
      <c r="M704" t="s">
        <v>2083</v>
      </c>
      <c r="N704" t="str">
        <f t="shared" si="84"/>
        <v>EUR</v>
      </c>
      <c r="O704">
        <f t="shared" si="85"/>
        <v>357.53</v>
      </c>
      <c r="P704" cm="1">
        <f t="array" ref="P704">_xlfn.IFS(N704="USD",O704*1,N704="GBP",O704*1.27,N704="EUR",O704*1.09,N704="INR",O704*0.012,N704="N/A","N/A")</f>
        <v>389.70769999999999</v>
      </c>
      <c r="Q704" t="s">
        <v>36</v>
      </c>
      <c r="R704" t="str" cm="1">
        <f t="array" ref="R704">_xlfn.IFS(Q704="Y","Yes", Q704="Yes","Yes", Q704="N","No", Q704="No","No", Q704=1,"N/A", Q704=0,"N/A", TRUE,"")</f>
        <v>Yes</v>
      </c>
      <c r="S704">
        <f t="shared" si="86"/>
        <v>12</v>
      </c>
      <c r="T704">
        <f t="shared" si="87"/>
        <v>1</v>
      </c>
      <c r="U704" t="str" cm="1">
        <f t="array" ref="U704">_xlfn.IFS(D704&lt;40,"Young Adult",AND(D704&gt;=40,D704&lt;65),"Middle Aged", D704&gt;=65,"Elderly")</f>
        <v>Young Adult</v>
      </c>
    </row>
    <row r="705" spans="1:21" x14ac:dyDescent="0.2">
      <c r="A705">
        <v>1015</v>
      </c>
      <c r="B705">
        <f t="shared" si="80"/>
        <v>704</v>
      </c>
      <c r="C705" t="s">
        <v>2084</v>
      </c>
      <c r="D705">
        <v>84</v>
      </c>
      <c r="E705" t="s">
        <v>2937</v>
      </c>
      <c r="F705" t="str">
        <f t="shared" si="81"/>
        <v>N/A</v>
      </c>
      <c r="G705" s="1">
        <v>46106</v>
      </c>
      <c r="H705" s="1">
        <v>45900</v>
      </c>
      <c r="I705" t="s">
        <v>2085</v>
      </c>
      <c r="J705" t="str">
        <f t="shared" si="82"/>
        <v>Gregory Riley</v>
      </c>
      <c r="K705" t="s">
        <v>13</v>
      </c>
      <c r="L705" t="str">
        <f t="shared" si="83"/>
        <v>Cardiology</v>
      </c>
      <c r="M705" t="s">
        <v>2086</v>
      </c>
      <c r="N705" t="str">
        <f t="shared" si="84"/>
        <v>INR</v>
      </c>
      <c r="O705">
        <f t="shared" si="85"/>
        <v>353.35</v>
      </c>
      <c r="P705" cm="1">
        <f t="array" ref="P705">_xlfn.IFS(N705="USD",O705*1,N705="GBP",O705*1.27,N705="EUR",O705*1.09,N705="INR",O705*0.012,N705="N/A","N/A")</f>
        <v>4.2402000000000006</v>
      </c>
      <c r="Q705">
        <v>1</v>
      </c>
      <c r="R705" t="str" cm="1">
        <f t="array" ref="R705">_xlfn.IFS(Q705="Y","Yes", Q705="Yes","Yes", Q705="N","No", Q705="No","No", Q705=1,"N/A", Q705=0,"N/A", TRUE,"")</f>
        <v>N/A</v>
      </c>
      <c r="S705">
        <f t="shared" si="86"/>
        <v>17</v>
      </c>
      <c r="T705">
        <f t="shared" si="87"/>
        <v>1</v>
      </c>
      <c r="U705" t="str" cm="1">
        <f t="array" ref="U705">_xlfn.IFS(D705&lt;40,"Young Adult",AND(D705&gt;=40,D705&lt;65),"Middle Aged", D705&gt;=65,"Elderly")</f>
        <v>Elderly</v>
      </c>
    </row>
    <row r="706" spans="1:21" x14ac:dyDescent="0.2">
      <c r="A706">
        <v>1015</v>
      </c>
      <c r="B706">
        <f t="shared" si="80"/>
        <v>705</v>
      </c>
      <c r="C706" t="s">
        <v>2087</v>
      </c>
      <c r="D706">
        <v>86</v>
      </c>
      <c r="E706" t="s">
        <v>2937</v>
      </c>
      <c r="F706" t="str">
        <f t="shared" si="81"/>
        <v>N/A</v>
      </c>
      <c r="G706" s="1">
        <v>45922</v>
      </c>
      <c r="H706" s="1">
        <v>45488</v>
      </c>
      <c r="I706" t="s">
        <v>2088</v>
      </c>
      <c r="J706" t="str">
        <f t="shared" si="82"/>
        <v>Michael Franco</v>
      </c>
      <c r="K706" t="s">
        <v>18</v>
      </c>
      <c r="L706" t="str">
        <f t="shared" si="83"/>
        <v>Orthopedics</v>
      </c>
      <c r="M706" t="s">
        <v>2089</v>
      </c>
      <c r="N706" t="str">
        <f t="shared" si="84"/>
        <v>GBP</v>
      </c>
      <c r="O706">
        <f t="shared" si="85"/>
        <v>174.42</v>
      </c>
      <c r="P706" cm="1">
        <f t="array" ref="P706">_xlfn.IFS(N706="USD",O706*1,N706="GBP",O706*1.27,N706="EUR",O706*1.09,N706="INR",O706*0.012,N706="N/A","N/A")</f>
        <v>221.51339999999999</v>
      </c>
      <c r="Q706" t="s">
        <v>36</v>
      </c>
      <c r="R706" t="str" cm="1">
        <f t="array" ref="R706">_xlfn.IFS(Q706="Y","Yes", Q706="Yes","Yes", Q706="N","No", Q706="No","No", Q706=1,"N/A", Q706=0,"N/A", TRUE,"")</f>
        <v>Yes</v>
      </c>
      <c r="S706">
        <f t="shared" si="86"/>
        <v>17</v>
      </c>
      <c r="T706">
        <f t="shared" si="87"/>
        <v>1</v>
      </c>
      <c r="U706" t="str" cm="1">
        <f t="array" ref="U706">_xlfn.IFS(D706&lt;40,"Young Adult",AND(D706&gt;=40,D706&lt;65),"Middle Aged", D706&gt;=65,"Elderly")</f>
        <v>Elderly</v>
      </c>
    </row>
    <row r="707" spans="1:21" x14ac:dyDescent="0.2">
      <c r="A707">
        <v>1008</v>
      </c>
      <c r="B707">
        <f t="shared" ref="B707:B770" si="88">ROW()-1</f>
        <v>706</v>
      </c>
      <c r="C707" t="s">
        <v>2090</v>
      </c>
      <c r="D707">
        <v>40</v>
      </c>
      <c r="E707" t="s">
        <v>2937</v>
      </c>
      <c r="F707" t="str">
        <f t="shared" ref="F707:F770" si="89">IF(E707="male","Male",IF(E707="female","Female",IF(E707="F","Female",IF(E707="M","Male",IF(E707="N/A","N/A")))))</f>
        <v>N/A</v>
      </c>
      <c r="G707" s="1">
        <v>45960</v>
      </c>
      <c r="H707" s="1">
        <v>45504</v>
      </c>
      <c r="I707" t="s">
        <v>2091</v>
      </c>
      <c r="J707" t="str">
        <f t="shared" ref="J707:J770" si="90">PROPER(I707)</f>
        <v>Daniel Beck</v>
      </c>
      <c r="K707" t="s">
        <v>18</v>
      </c>
      <c r="L707" t="str">
        <f t="shared" ref="L707:L770" si="91">PROPER(K707)</f>
        <v>Orthopedics</v>
      </c>
      <c r="M707" t="s">
        <v>2092</v>
      </c>
      <c r="N707" t="str">
        <f t="shared" ref="N707:N770" si="92">IF(LEFT(M707,1)="$","USD",IF(LEFT(M707,2)="Rs","INR",IF(LEFT(M707,2)="¬£","GBP",IF(LEFT(M707,3)="‚Ç¨","EUR","N/A"))))</f>
        <v>INR</v>
      </c>
      <c r="O707">
        <f t="shared" ref="O707:O770" si="93">IFERROR(VALUE(SUBSTITUTE(SUBSTITUTE(SUBSTITUTE(SUBSTITUTE(M707,"$",""), "Rs",""),"¬£",""),"‚Ç¨","")), "")</f>
        <v>449.41</v>
      </c>
      <c r="P707" cm="1">
        <f t="array" ref="P707">_xlfn.IFS(N707="USD",O707*1,N707="GBP",O707*1.27,N707="EUR",O707*1.09,N707="INR",O707*0.012,N707="N/A","N/A")</f>
        <v>5.3929200000000002</v>
      </c>
      <c r="Q707" t="s">
        <v>60</v>
      </c>
      <c r="R707" t="str" cm="1">
        <f t="array" ref="R707">_xlfn.IFS(Q707="Y","Yes", Q707="Yes","Yes", Q707="N","No", Q707="No","No", Q707=1,"N/A", Q707=0,"N/A", TRUE,"")</f>
        <v>No</v>
      </c>
      <c r="S707">
        <f t="shared" ref="S707:S770" si="94">COUNTIF($A$2:$A$1001, A707)</f>
        <v>11</v>
      </c>
      <c r="T707">
        <f t="shared" ref="T707:T770" si="95">COUNTIFS($A$2:$A$1001, A707, $C$2:$C$1001, C707)</f>
        <v>1</v>
      </c>
      <c r="U707" t="str" cm="1">
        <f t="array" ref="U707">_xlfn.IFS(D707&lt;40,"Young Adult",AND(D707&gt;=40,D707&lt;65),"Middle Aged", D707&gt;=65,"Elderly")</f>
        <v>Middle Aged</v>
      </c>
    </row>
    <row r="708" spans="1:21" x14ac:dyDescent="0.2">
      <c r="A708">
        <v>1080</v>
      </c>
      <c r="B708">
        <f t="shared" si="88"/>
        <v>707</v>
      </c>
      <c r="C708" t="s">
        <v>2093</v>
      </c>
      <c r="D708">
        <v>78</v>
      </c>
      <c r="E708" t="s">
        <v>51</v>
      </c>
      <c r="F708" t="str">
        <f t="shared" si="89"/>
        <v>Male</v>
      </c>
      <c r="G708" s="1">
        <v>46055</v>
      </c>
      <c r="H708" s="1">
        <v>45975</v>
      </c>
      <c r="I708" t="s">
        <v>2094</v>
      </c>
      <c r="J708" t="str">
        <f t="shared" si="90"/>
        <v>Andrew Webb</v>
      </c>
      <c r="K708" t="s">
        <v>13</v>
      </c>
      <c r="L708" t="str">
        <f t="shared" si="91"/>
        <v>Cardiology</v>
      </c>
      <c r="M708" t="s">
        <v>2095</v>
      </c>
      <c r="N708" t="str">
        <f t="shared" si="92"/>
        <v>USD</v>
      </c>
      <c r="O708">
        <f t="shared" si="93"/>
        <v>179.07</v>
      </c>
      <c r="P708" cm="1">
        <f t="array" ref="P708">_xlfn.IFS(N708="USD",O708*1,N708="GBP",O708*1.27,N708="EUR",O708*1.09,N708="INR",O708*0.012,N708="N/A","N/A")</f>
        <v>179.07</v>
      </c>
      <c r="Q708" t="s">
        <v>30</v>
      </c>
      <c r="R708" t="str" cm="1">
        <f t="array" ref="R708">_xlfn.IFS(Q708="Y","Yes", Q708="Yes","Yes", Q708="N","No", Q708="No","No", Q708=1,"N/A", Q708=0,"N/A", TRUE,"")</f>
        <v>No</v>
      </c>
      <c r="S708">
        <f t="shared" si="94"/>
        <v>11</v>
      </c>
      <c r="T708">
        <f t="shared" si="95"/>
        <v>1</v>
      </c>
      <c r="U708" t="str" cm="1">
        <f t="array" ref="U708">_xlfn.IFS(D708&lt;40,"Young Adult",AND(D708&gt;=40,D708&lt;65),"Middle Aged", D708&gt;=65,"Elderly")</f>
        <v>Elderly</v>
      </c>
    </row>
    <row r="709" spans="1:21" x14ac:dyDescent="0.2">
      <c r="A709">
        <v>1067</v>
      </c>
      <c r="B709">
        <f t="shared" si="88"/>
        <v>708</v>
      </c>
      <c r="C709" t="s">
        <v>2096</v>
      </c>
      <c r="D709">
        <v>28</v>
      </c>
      <c r="E709" t="s">
        <v>71</v>
      </c>
      <c r="F709" t="str">
        <f t="shared" si="89"/>
        <v>Male</v>
      </c>
      <c r="G709" s="1">
        <v>46029</v>
      </c>
      <c r="H709" s="1">
        <v>45892</v>
      </c>
      <c r="I709" t="s">
        <v>2097</v>
      </c>
      <c r="J709" t="str">
        <f t="shared" si="90"/>
        <v>Virginia Sharp</v>
      </c>
      <c r="K709" t="s">
        <v>13</v>
      </c>
      <c r="L709" t="str">
        <f t="shared" si="91"/>
        <v>Cardiology</v>
      </c>
      <c r="M709" t="s">
        <v>2098</v>
      </c>
      <c r="N709" t="str">
        <f t="shared" si="92"/>
        <v>INR</v>
      </c>
      <c r="O709">
        <f t="shared" si="93"/>
        <v>344.67</v>
      </c>
      <c r="P709" cm="1">
        <f t="array" ref="P709">_xlfn.IFS(N709="USD",O709*1,N709="GBP",O709*1.27,N709="EUR",O709*1.09,N709="INR",O709*0.012,N709="N/A","N/A")</f>
        <v>4.1360400000000004</v>
      </c>
      <c r="Q709" t="s">
        <v>20</v>
      </c>
      <c r="R709" t="str" cm="1">
        <f t="array" ref="R709">_xlfn.IFS(Q709="Y","Yes", Q709="Yes","Yes", Q709="N","No", Q709="No","No", Q709=1,"N/A", Q709=0,"N/A", TRUE,"")</f>
        <v>Yes</v>
      </c>
      <c r="S709">
        <f t="shared" si="94"/>
        <v>9</v>
      </c>
      <c r="T709">
        <f t="shared" si="95"/>
        <v>1</v>
      </c>
      <c r="U709" t="str" cm="1">
        <f t="array" ref="U709">_xlfn.IFS(D709&lt;40,"Young Adult",AND(D709&gt;=40,D709&lt;65),"Middle Aged", D709&gt;=65,"Elderly")</f>
        <v>Young Adult</v>
      </c>
    </row>
    <row r="710" spans="1:21" x14ac:dyDescent="0.2">
      <c r="A710">
        <v>1043</v>
      </c>
      <c r="B710">
        <f t="shared" si="88"/>
        <v>709</v>
      </c>
      <c r="C710" t="s">
        <v>2099</v>
      </c>
      <c r="D710">
        <v>80</v>
      </c>
      <c r="E710" t="s">
        <v>16</v>
      </c>
      <c r="F710" t="str">
        <f t="shared" si="89"/>
        <v>Female</v>
      </c>
      <c r="G710" s="1">
        <v>45928</v>
      </c>
      <c r="H710" s="1">
        <v>45534</v>
      </c>
      <c r="I710" t="s">
        <v>2100</v>
      </c>
      <c r="J710" t="str">
        <f t="shared" si="90"/>
        <v>Teresa Medina</v>
      </c>
      <c r="K710" t="s">
        <v>24</v>
      </c>
      <c r="L710" t="str">
        <f t="shared" si="91"/>
        <v>Neurology</v>
      </c>
      <c r="M710" t="s">
        <v>2101</v>
      </c>
      <c r="N710" t="str">
        <f t="shared" si="92"/>
        <v>USD</v>
      </c>
      <c r="O710">
        <f t="shared" si="93"/>
        <v>84.72</v>
      </c>
      <c r="P710" cm="1">
        <f t="array" ref="P710">_xlfn.IFS(N710="USD",O710*1,N710="GBP",O710*1.27,N710="EUR",O710*1.09,N710="INR",O710*0.012,N710="N/A","N/A")</f>
        <v>84.72</v>
      </c>
      <c r="Q710">
        <v>1</v>
      </c>
      <c r="R710" t="str" cm="1">
        <f t="array" ref="R710">_xlfn.IFS(Q710="Y","Yes", Q710="Yes","Yes", Q710="N","No", Q710="No","No", Q710=1,"N/A", Q710=0,"N/A", TRUE,"")</f>
        <v>N/A</v>
      </c>
      <c r="S710">
        <f t="shared" si="94"/>
        <v>12</v>
      </c>
      <c r="T710">
        <f t="shared" si="95"/>
        <v>1</v>
      </c>
      <c r="U710" t="str" cm="1">
        <f t="array" ref="U710">_xlfn.IFS(D710&lt;40,"Young Adult",AND(D710&gt;=40,D710&lt;65),"Middle Aged", D710&gt;=65,"Elderly")</f>
        <v>Elderly</v>
      </c>
    </row>
    <row r="711" spans="1:21" x14ac:dyDescent="0.2">
      <c r="A711">
        <v>1058</v>
      </c>
      <c r="B711">
        <f t="shared" si="88"/>
        <v>710</v>
      </c>
      <c r="C711" t="s">
        <v>2102</v>
      </c>
      <c r="D711">
        <v>34</v>
      </c>
      <c r="E711" t="s">
        <v>71</v>
      </c>
      <c r="F711" t="str">
        <f t="shared" si="89"/>
        <v>Male</v>
      </c>
      <c r="G711" s="1">
        <v>45770</v>
      </c>
      <c r="H711" s="1">
        <v>45634</v>
      </c>
      <c r="I711" t="s">
        <v>2103</v>
      </c>
      <c r="J711" t="str">
        <f t="shared" si="90"/>
        <v>Mary Sanchez</v>
      </c>
      <c r="K711" t="s">
        <v>18</v>
      </c>
      <c r="L711" t="str">
        <f t="shared" si="91"/>
        <v>Orthopedics</v>
      </c>
      <c r="N711" t="str">
        <f t="shared" si="92"/>
        <v>N/A</v>
      </c>
      <c r="O711" t="str">
        <f t="shared" si="93"/>
        <v/>
      </c>
      <c r="P711" t="str" cm="1">
        <f t="array" ref="P711">_xlfn.IFS(N711="USD",O711*1,N711="GBP",O711*1.27,N711="EUR",O711*1.09,N711="INR",O711*0.012,N711="N/A","N/A")</f>
        <v>N/A</v>
      </c>
      <c r="Q711">
        <v>1</v>
      </c>
      <c r="R711" t="str" cm="1">
        <f t="array" ref="R711">_xlfn.IFS(Q711="Y","Yes", Q711="Yes","Yes", Q711="N","No", Q711="No","No", Q711=1,"N/A", Q711=0,"N/A", TRUE,"")</f>
        <v>N/A</v>
      </c>
      <c r="S711">
        <f t="shared" si="94"/>
        <v>17</v>
      </c>
      <c r="T711">
        <f t="shared" si="95"/>
        <v>1</v>
      </c>
      <c r="U711" t="str" cm="1">
        <f t="array" ref="U711">_xlfn.IFS(D711&lt;40,"Young Adult",AND(D711&gt;=40,D711&lt;65),"Middle Aged", D711&gt;=65,"Elderly")</f>
        <v>Young Adult</v>
      </c>
    </row>
    <row r="712" spans="1:21" x14ac:dyDescent="0.2">
      <c r="A712">
        <v>1001</v>
      </c>
      <c r="B712">
        <f t="shared" si="88"/>
        <v>711</v>
      </c>
      <c r="C712" t="s">
        <v>2104</v>
      </c>
      <c r="D712">
        <v>35</v>
      </c>
      <c r="E712" t="s">
        <v>51</v>
      </c>
      <c r="F712" t="str">
        <f t="shared" si="89"/>
        <v>Male</v>
      </c>
      <c r="G712" s="1">
        <v>45852</v>
      </c>
      <c r="H712" s="1">
        <v>45475</v>
      </c>
      <c r="I712" t="s">
        <v>2105</v>
      </c>
      <c r="J712" t="str">
        <f t="shared" si="90"/>
        <v>Charles Wells</v>
      </c>
      <c r="K712" t="s">
        <v>18</v>
      </c>
      <c r="L712" t="str">
        <f t="shared" si="91"/>
        <v>Orthopedics</v>
      </c>
      <c r="M712" t="s">
        <v>2106</v>
      </c>
      <c r="N712" t="str">
        <f t="shared" si="92"/>
        <v>GBP</v>
      </c>
      <c r="O712">
        <f t="shared" si="93"/>
        <v>479.79</v>
      </c>
      <c r="P712" cm="1">
        <f t="array" ref="P712">_xlfn.IFS(N712="USD",O712*1,N712="GBP",O712*1.27,N712="EUR",O712*1.09,N712="INR",O712*0.012,N712="N/A","N/A")</f>
        <v>609.33330000000001</v>
      </c>
      <c r="Q712">
        <v>0</v>
      </c>
      <c r="R712" t="str" cm="1">
        <f t="array" ref="R712">_xlfn.IFS(Q712="Y","Yes", Q712="Yes","Yes", Q712="N","No", Q712="No","No", Q712=1,"N/A", Q712=0,"N/A", TRUE,"")</f>
        <v>N/A</v>
      </c>
      <c r="S712">
        <f t="shared" si="94"/>
        <v>12</v>
      </c>
      <c r="T712">
        <f t="shared" si="95"/>
        <v>1</v>
      </c>
      <c r="U712" t="str" cm="1">
        <f t="array" ref="U712">_xlfn.IFS(D712&lt;40,"Young Adult",AND(D712&gt;=40,D712&lt;65),"Middle Aged", D712&gt;=65,"Elderly")</f>
        <v>Young Adult</v>
      </c>
    </row>
    <row r="713" spans="1:21" x14ac:dyDescent="0.2">
      <c r="A713">
        <v>1012</v>
      </c>
      <c r="B713">
        <f t="shared" si="88"/>
        <v>712</v>
      </c>
      <c r="C713" t="s">
        <v>2107</v>
      </c>
      <c r="D713">
        <v>36</v>
      </c>
      <c r="E713" t="s">
        <v>2937</v>
      </c>
      <c r="F713" t="str">
        <f t="shared" si="89"/>
        <v>N/A</v>
      </c>
      <c r="G713" s="1">
        <v>46106</v>
      </c>
      <c r="H713" s="1">
        <v>45415</v>
      </c>
      <c r="I713" t="s">
        <v>2108</v>
      </c>
      <c r="J713" t="str">
        <f t="shared" si="90"/>
        <v>Erin Walton</v>
      </c>
      <c r="K713" t="s">
        <v>13</v>
      </c>
      <c r="L713" t="str">
        <f t="shared" si="91"/>
        <v>Cardiology</v>
      </c>
      <c r="M713" t="s">
        <v>2109</v>
      </c>
      <c r="N713" t="str">
        <f t="shared" si="92"/>
        <v>EUR</v>
      </c>
      <c r="O713">
        <f t="shared" si="93"/>
        <v>77.989999999999995</v>
      </c>
      <c r="P713" cm="1">
        <f t="array" ref="P713">_xlfn.IFS(N713="USD",O713*1,N713="GBP",O713*1.27,N713="EUR",O713*1.09,N713="INR",O713*0.012,N713="N/A","N/A")</f>
        <v>85.009100000000004</v>
      </c>
      <c r="Q713" t="s">
        <v>60</v>
      </c>
      <c r="R713" t="str" cm="1">
        <f t="array" ref="R713">_xlfn.IFS(Q713="Y","Yes", Q713="Yes","Yes", Q713="N","No", Q713="No","No", Q713=1,"N/A", Q713=0,"N/A", TRUE,"")</f>
        <v>No</v>
      </c>
      <c r="S713">
        <f t="shared" si="94"/>
        <v>9</v>
      </c>
      <c r="T713">
        <f t="shared" si="95"/>
        <v>1</v>
      </c>
      <c r="U713" t="str" cm="1">
        <f t="array" ref="U713">_xlfn.IFS(D713&lt;40,"Young Adult",AND(D713&gt;=40,D713&lt;65),"Middle Aged", D713&gt;=65,"Elderly")</f>
        <v>Young Adult</v>
      </c>
    </row>
    <row r="714" spans="1:21" x14ac:dyDescent="0.2">
      <c r="A714">
        <v>1066</v>
      </c>
      <c r="B714">
        <f t="shared" si="88"/>
        <v>713</v>
      </c>
      <c r="C714" t="s">
        <v>2110</v>
      </c>
      <c r="D714">
        <v>65</v>
      </c>
      <c r="E714" t="s">
        <v>71</v>
      </c>
      <c r="F714" t="str">
        <f t="shared" si="89"/>
        <v>Male</v>
      </c>
      <c r="G714" s="1">
        <v>45879</v>
      </c>
      <c r="H714" s="1">
        <v>45663</v>
      </c>
      <c r="I714" t="s">
        <v>2111</v>
      </c>
      <c r="J714" t="str">
        <f t="shared" si="90"/>
        <v>Julie May</v>
      </c>
      <c r="K714" t="s">
        <v>18</v>
      </c>
      <c r="L714" t="str">
        <f t="shared" si="91"/>
        <v>Orthopedics</v>
      </c>
      <c r="M714" t="s">
        <v>2112</v>
      </c>
      <c r="N714" t="str">
        <f t="shared" si="92"/>
        <v>INR</v>
      </c>
      <c r="O714">
        <f t="shared" si="93"/>
        <v>113.2</v>
      </c>
      <c r="P714" cm="1">
        <f t="array" ref="P714">_xlfn.IFS(N714="USD",O714*1,N714="GBP",O714*1.27,N714="EUR",O714*1.09,N714="INR",O714*0.012,N714="N/A","N/A")</f>
        <v>1.3584000000000001</v>
      </c>
      <c r="Q714" t="s">
        <v>36</v>
      </c>
      <c r="R714" t="str" cm="1">
        <f t="array" ref="R714">_xlfn.IFS(Q714="Y","Yes", Q714="Yes","Yes", Q714="N","No", Q714="No","No", Q714=1,"N/A", Q714=0,"N/A", TRUE,"")</f>
        <v>Yes</v>
      </c>
      <c r="S714">
        <f t="shared" si="94"/>
        <v>11</v>
      </c>
      <c r="T714">
        <f t="shared" si="95"/>
        <v>1</v>
      </c>
      <c r="U714" t="str" cm="1">
        <f t="array" ref="U714">_xlfn.IFS(D714&lt;40,"Young Adult",AND(D714&gt;=40,D714&lt;65),"Middle Aged", D714&gt;=65,"Elderly")</f>
        <v>Elderly</v>
      </c>
    </row>
    <row r="715" spans="1:21" x14ac:dyDescent="0.2">
      <c r="A715">
        <v>1015</v>
      </c>
      <c r="B715">
        <f t="shared" si="88"/>
        <v>714</v>
      </c>
      <c r="C715" t="s">
        <v>2113</v>
      </c>
      <c r="D715">
        <v>29</v>
      </c>
      <c r="E715" t="s">
        <v>51</v>
      </c>
      <c r="F715" t="str">
        <f t="shared" si="89"/>
        <v>Male</v>
      </c>
      <c r="G715" s="1">
        <v>45819</v>
      </c>
      <c r="H715" s="1">
        <v>45475</v>
      </c>
      <c r="I715" t="s">
        <v>2114</v>
      </c>
      <c r="J715" t="str">
        <f t="shared" si="90"/>
        <v>Michael Mason</v>
      </c>
      <c r="K715" t="s">
        <v>13</v>
      </c>
      <c r="L715" t="str">
        <f t="shared" si="91"/>
        <v>Cardiology</v>
      </c>
      <c r="M715" t="s">
        <v>2115</v>
      </c>
      <c r="N715" t="str">
        <f t="shared" si="92"/>
        <v>GBP</v>
      </c>
      <c r="O715">
        <f t="shared" si="93"/>
        <v>363.04</v>
      </c>
      <c r="P715" cm="1">
        <f t="array" ref="P715">_xlfn.IFS(N715="USD",O715*1,N715="GBP",O715*1.27,N715="EUR",O715*1.09,N715="INR",O715*0.012,N715="N/A","N/A")</f>
        <v>461.06080000000003</v>
      </c>
      <c r="Q715" t="s">
        <v>20</v>
      </c>
      <c r="R715" t="str" cm="1">
        <f t="array" ref="R715">_xlfn.IFS(Q715="Y","Yes", Q715="Yes","Yes", Q715="N","No", Q715="No","No", Q715=1,"N/A", Q715=0,"N/A", TRUE,"")</f>
        <v>Yes</v>
      </c>
      <c r="S715">
        <f t="shared" si="94"/>
        <v>17</v>
      </c>
      <c r="T715">
        <f t="shared" si="95"/>
        <v>1</v>
      </c>
      <c r="U715" t="str" cm="1">
        <f t="array" ref="U715">_xlfn.IFS(D715&lt;40,"Young Adult",AND(D715&gt;=40,D715&lt;65),"Middle Aged", D715&gt;=65,"Elderly")</f>
        <v>Young Adult</v>
      </c>
    </row>
    <row r="716" spans="1:21" x14ac:dyDescent="0.2">
      <c r="A716">
        <v>1024</v>
      </c>
      <c r="B716">
        <f t="shared" si="88"/>
        <v>715</v>
      </c>
      <c r="C716" t="s">
        <v>2116</v>
      </c>
      <c r="D716">
        <v>22</v>
      </c>
      <c r="E716" t="s">
        <v>2937</v>
      </c>
      <c r="F716" t="str">
        <f t="shared" si="89"/>
        <v>N/A</v>
      </c>
      <c r="G716" s="1">
        <v>45848</v>
      </c>
      <c r="H716" s="1">
        <v>45489</v>
      </c>
      <c r="I716" t="s">
        <v>2117</v>
      </c>
      <c r="J716" t="str">
        <f t="shared" si="90"/>
        <v>Alicia Hall</v>
      </c>
      <c r="K716" t="s">
        <v>24</v>
      </c>
      <c r="L716" t="str">
        <f t="shared" si="91"/>
        <v>Neurology</v>
      </c>
      <c r="M716" t="s">
        <v>2118</v>
      </c>
      <c r="N716" t="str">
        <f t="shared" si="92"/>
        <v>USD</v>
      </c>
      <c r="O716">
        <f t="shared" si="93"/>
        <v>477.72</v>
      </c>
      <c r="P716" cm="1">
        <f t="array" ref="P716">_xlfn.IFS(N716="USD",O716*1,N716="GBP",O716*1.27,N716="EUR",O716*1.09,N716="INR",O716*0.012,N716="N/A","N/A")</f>
        <v>477.72</v>
      </c>
      <c r="Q716">
        <v>0</v>
      </c>
      <c r="R716" t="str" cm="1">
        <f t="array" ref="R716">_xlfn.IFS(Q716="Y","Yes", Q716="Yes","Yes", Q716="N","No", Q716="No","No", Q716=1,"N/A", Q716=0,"N/A", TRUE,"")</f>
        <v>N/A</v>
      </c>
      <c r="S716">
        <f t="shared" si="94"/>
        <v>12</v>
      </c>
      <c r="T716">
        <f t="shared" si="95"/>
        <v>1</v>
      </c>
      <c r="U716" t="str" cm="1">
        <f t="array" ref="U716">_xlfn.IFS(D716&lt;40,"Young Adult",AND(D716&gt;=40,D716&lt;65),"Middle Aged", D716&gt;=65,"Elderly")</f>
        <v>Young Adult</v>
      </c>
    </row>
    <row r="717" spans="1:21" x14ac:dyDescent="0.2">
      <c r="A717">
        <v>1013</v>
      </c>
      <c r="B717">
        <f t="shared" si="88"/>
        <v>716</v>
      </c>
      <c r="C717" t="s">
        <v>2119</v>
      </c>
      <c r="D717">
        <v>69</v>
      </c>
      <c r="E717" t="s">
        <v>71</v>
      </c>
      <c r="F717" t="str">
        <f t="shared" si="89"/>
        <v>Male</v>
      </c>
      <c r="G717" s="1">
        <v>46043</v>
      </c>
      <c r="H717" s="1">
        <v>45444</v>
      </c>
      <c r="I717" t="s">
        <v>2120</v>
      </c>
      <c r="J717" t="str">
        <f t="shared" si="90"/>
        <v>Cynthia Cruz</v>
      </c>
      <c r="K717" t="s">
        <v>28</v>
      </c>
      <c r="L717" t="str">
        <f t="shared" si="91"/>
        <v>General</v>
      </c>
      <c r="M717" t="s">
        <v>2121</v>
      </c>
      <c r="N717" t="str">
        <f t="shared" si="92"/>
        <v>INR</v>
      </c>
      <c r="O717">
        <f t="shared" si="93"/>
        <v>289.74</v>
      </c>
      <c r="P717" cm="1">
        <f t="array" ref="P717">_xlfn.IFS(N717="USD",O717*1,N717="GBP",O717*1.27,N717="EUR",O717*1.09,N717="INR",O717*0.012,N717="N/A","N/A")</f>
        <v>3.47688</v>
      </c>
      <c r="Q717">
        <v>1</v>
      </c>
      <c r="R717" t="str" cm="1">
        <f t="array" ref="R717">_xlfn.IFS(Q717="Y","Yes", Q717="Yes","Yes", Q717="N","No", Q717="No","No", Q717=1,"N/A", Q717=0,"N/A", TRUE,"")</f>
        <v>N/A</v>
      </c>
      <c r="S717">
        <f t="shared" si="94"/>
        <v>10</v>
      </c>
      <c r="T717">
        <f t="shared" si="95"/>
        <v>1</v>
      </c>
      <c r="U717" t="str" cm="1">
        <f t="array" ref="U717">_xlfn.IFS(D717&lt;40,"Young Adult",AND(D717&gt;=40,D717&lt;65),"Middle Aged", D717&gt;=65,"Elderly")</f>
        <v>Elderly</v>
      </c>
    </row>
    <row r="718" spans="1:21" x14ac:dyDescent="0.2">
      <c r="A718">
        <v>1024</v>
      </c>
      <c r="B718">
        <f t="shared" si="88"/>
        <v>717</v>
      </c>
      <c r="C718" t="s">
        <v>2122</v>
      </c>
      <c r="D718">
        <v>35</v>
      </c>
      <c r="E718" t="s">
        <v>22</v>
      </c>
      <c r="F718" t="str">
        <f t="shared" si="89"/>
        <v>Male</v>
      </c>
      <c r="G718" s="1">
        <v>45886</v>
      </c>
      <c r="H718" s="1">
        <v>45875</v>
      </c>
      <c r="I718" t="s">
        <v>2123</v>
      </c>
      <c r="J718" t="str">
        <f t="shared" si="90"/>
        <v>Karen Gomez</v>
      </c>
      <c r="K718" t="s">
        <v>24</v>
      </c>
      <c r="L718" t="str">
        <f t="shared" si="91"/>
        <v>Neurology</v>
      </c>
      <c r="M718" t="s">
        <v>2124</v>
      </c>
      <c r="N718" t="str">
        <f t="shared" si="92"/>
        <v>USD</v>
      </c>
      <c r="O718">
        <f t="shared" si="93"/>
        <v>270.14999999999998</v>
      </c>
      <c r="P718" cm="1">
        <f t="array" ref="P718">_xlfn.IFS(N718="USD",O718*1,N718="GBP",O718*1.27,N718="EUR",O718*1.09,N718="INR",O718*0.012,N718="N/A","N/A")</f>
        <v>270.14999999999998</v>
      </c>
      <c r="Q718">
        <v>1</v>
      </c>
      <c r="R718" t="str" cm="1">
        <f t="array" ref="R718">_xlfn.IFS(Q718="Y","Yes", Q718="Yes","Yes", Q718="N","No", Q718="No","No", Q718=1,"N/A", Q718=0,"N/A", TRUE,"")</f>
        <v>N/A</v>
      </c>
      <c r="S718">
        <f t="shared" si="94"/>
        <v>12</v>
      </c>
      <c r="T718">
        <f t="shared" si="95"/>
        <v>1</v>
      </c>
      <c r="U718" t="str" cm="1">
        <f t="array" ref="U718">_xlfn.IFS(D718&lt;40,"Young Adult",AND(D718&gt;=40,D718&lt;65),"Middle Aged", D718&gt;=65,"Elderly")</f>
        <v>Young Adult</v>
      </c>
    </row>
    <row r="719" spans="1:21" x14ac:dyDescent="0.2">
      <c r="A719">
        <v>1061</v>
      </c>
      <c r="B719">
        <f t="shared" si="88"/>
        <v>718</v>
      </c>
      <c r="C719" t="s">
        <v>2125</v>
      </c>
      <c r="D719">
        <v>59</v>
      </c>
      <c r="E719" t="s">
        <v>16</v>
      </c>
      <c r="F719" t="str">
        <f t="shared" si="89"/>
        <v>Female</v>
      </c>
      <c r="G719" s="1">
        <v>45942</v>
      </c>
      <c r="H719" s="1">
        <v>45823</v>
      </c>
      <c r="I719" t="s">
        <v>2126</v>
      </c>
      <c r="J719" t="str">
        <f t="shared" si="90"/>
        <v>Jerry Tucker</v>
      </c>
      <c r="K719" t="s">
        <v>18</v>
      </c>
      <c r="L719" t="str">
        <f t="shared" si="91"/>
        <v>Orthopedics</v>
      </c>
      <c r="M719" t="s">
        <v>2127</v>
      </c>
      <c r="N719" t="str">
        <f t="shared" si="92"/>
        <v>GBP</v>
      </c>
      <c r="O719">
        <f t="shared" si="93"/>
        <v>155.97999999999999</v>
      </c>
      <c r="P719" cm="1">
        <f t="array" ref="P719">_xlfn.IFS(N719="USD",O719*1,N719="GBP",O719*1.27,N719="EUR",O719*1.09,N719="INR",O719*0.012,N719="N/A","N/A")</f>
        <v>198.09459999999999</v>
      </c>
      <c r="Q719" t="s">
        <v>20</v>
      </c>
      <c r="R719" t="str" cm="1">
        <f t="array" ref="R719">_xlfn.IFS(Q719="Y","Yes", Q719="Yes","Yes", Q719="N","No", Q719="No","No", Q719=1,"N/A", Q719=0,"N/A", TRUE,"")</f>
        <v>Yes</v>
      </c>
      <c r="S719">
        <f t="shared" si="94"/>
        <v>8</v>
      </c>
      <c r="T719">
        <f t="shared" si="95"/>
        <v>1</v>
      </c>
      <c r="U719" t="str" cm="1">
        <f t="array" ref="U719">_xlfn.IFS(D719&lt;40,"Young Adult",AND(D719&gt;=40,D719&lt;65),"Middle Aged", D719&gt;=65,"Elderly")</f>
        <v>Middle Aged</v>
      </c>
    </row>
    <row r="720" spans="1:21" x14ac:dyDescent="0.2">
      <c r="A720">
        <v>1095</v>
      </c>
      <c r="B720">
        <f t="shared" si="88"/>
        <v>719</v>
      </c>
      <c r="C720" t="s">
        <v>2128</v>
      </c>
      <c r="D720">
        <v>56</v>
      </c>
      <c r="E720" t="s">
        <v>2937</v>
      </c>
      <c r="F720" t="str">
        <f t="shared" si="89"/>
        <v>N/A</v>
      </c>
      <c r="G720" s="1">
        <v>45812</v>
      </c>
      <c r="H720" s="1">
        <v>45441</v>
      </c>
      <c r="I720" t="s">
        <v>2129</v>
      </c>
      <c r="J720" t="str">
        <f t="shared" si="90"/>
        <v>Jackie Harper</v>
      </c>
      <c r="K720" t="s">
        <v>13</v>
      </c>
      <c r="L720" t="str">
        <f t="shared" si="91"/>
        <v>Cardiology</v>
      </c>
      <c r="M720" t="s">
        <v>2130</v>
      </c>
      <c r="N720" t="str">
        <f t="shared" si="92"/>
        <v>INR</v>
      </c>
      <c r="O720">
        <f t="shared" si="93"/>
        <v>335.27</v>
      </c>
      <c r="P720" cm="1">
        <f t="array" ref="P720">_xlfn.IFS(N720="USD",O720*1,N720="GBP",O720*1.27,N720="EUR",O720*1.09,N720="INR",O720*0.012,N720="N/A","N/A")</f>
        <v>4.0232399999999995</v>
      </c>
      <c r="Q720" t="s">
        <v>20</v>
      </c>
      <c r="R720" t="str" cm="1">
        <f t="array" ref="R720">_xlfn.IFS(Q720="Y","Yes", Q720="Yes","Yes", Q720="N","No", Q720="No","No", Q720=1,"N/A", Q720=0,"N/A", TRUE,"")</f>
        <v>Yes</v>
      </c>
      <c r="S720">
        <f t="shared" si="94"/>
        <v>12</v>
      </c>
      <c r="T720">
        <f t="shared" si="95"/>
        <v>1</v>
      </c>
      <c r="U720" t="str" cm="1">
        <f t="array" ref="U720">_xlfn.IFS(D720&lt;40,"Young Adult",AND(D720&gt;=40,D720&lt;65),"Middle Aged", D720&gt;=65,"Elderly")</f>
        <v>Middle Aged</v>
      </c>
    </row>
    <row r="721" spans="1:21" x14ac:dyDescent="0.2">
      <c r="A721">
        <v>1048</v>
      </c>
      <c r="B721">
        <f t="shared" si="88"/>
        <v>720</v>
      </c>
      <c r="C721" t="s">
        <v>2131</v>
      </c>
      <c r="D721">
        <v>67</v>
      </c>
      <c r="E721" t="s">
        <v>51</v>
      </c>
      <c r="F721" t="str">
        <f t="shared" si="89"/>
        <v>Male</v>
      </c>
      <c r="G721" s="1">
        <v>45988</v>
      </c>
      <c r="H721" s="1">
        <v>45503</v>
      </c>
      <c r="I721" t="s">
        <v>2132</v>
      </c>
      <c r="J721" t="str">
        <f t="shared" si="90"/>
        <v>Wendy Mcguire</v>
      </c>
      <c r="K721" t="s">
        <v>24</v>
      </c>
      <c r="L721" t="str">
        <f t="shared" si="91"/>
        <v>Neurology</v>
      </c>
      <c r="M721" t="s">
        <v>2133</v>
      </c>
      <c r="N721" t="str">
        <f t="shared" si="92"/>
        <v>INR</v>
      </c>
      <c r="O721">
        <f t="shared" si="93"/>
        <v>285.22000000000003</v>
      </c>
      <c r="P721" cm="1">
        <f t="array" ref="P721">_xlfn.IFS(N721="USD",O721*1,N721="GBP",O721*1.27,N721="EUR",O721*1.09,N721="INR",O721*0.012,N721="N/A","N/A")</f>
        <v>3.4226400000000003</v>
      </c>
      <c r="Q721" t="s">
        <v>30</v>
      </c>
      <c r="R721" t="str" cm="1">
        <f t="array" ref="R721">_xlfn.IFS(Q721="Y","Yes", Q721="Yes","Yes", Q721="N","No", Q721="No","No", Q721=1,"N/A", Q721=0,"N/A", TRUE,"")</f>
        <v>No</v>
      </c>
      <c r="S721">
        <f t="shared" si="94"/>
        <v>8</v>
      </c>
      <c r="T721">
        <f t="shared" si="95"/>
        <v>1</v>
      </c>
      <c r="U721" t="str" cm="1">
        <f t="array" ref="U721">_xlfn.IFS(D721&lt;40,"Young Adult",AND(D721&gt;=40,D721&lt;65),"Middle Aged", D721&gt;=65,"Elderly")</f>
        <v>Elderly</v>
      </c>
    </row>
    <row r="722" spans="1:21" x14ac:dyDescent="0.2">
      <c r="A722">
        <v>1033</v>
      </c>
      <c r="B722">
        <f t="shared" si="88"/>
        <v>721</v>
      </c>
      <c r="C722" t="s">
        <v>2134</v>
      </c>
      <c r="D722">
        <v>64</v>
      </c>
      <c r="E722" t="s">
        <v>16</v>
      </c>
      <c r="F722" t="str">
        <f t="shared" si="89"/>
        <v>Female</v>
      </c>
      <c r="G722" s="1">
        <v>45916</v>
      </c>
      <c r="H722" s="1">
        <v>45680</v>
      </c>
      <c r="I722" t="s">
        <v>2135</v>
      </c>
      <c r="J722" t="str">
        <f t="shared" si="90"/>
        <v>Samuel Ramirez</v>
      </c>
      <c r="K722" t="s">
        <v>28</v>
      </c>
      <c r="L722" t="str">
        <f t="shared" si="91"/>
        <v>General</v>
      </c>
      <c r="M722" t="s">
        <v>2136</v>
      </c>
      <c r="N722" t="str">
        <f t="shared" si="92"/>
        <v>INR</v>
      </c>
      <c r="O722">
        <f t="shared" si="93"/>
        <v>91.36</v>
      </c>
      <c r="P722" cm="1">
        <f t="array" ref="P722">_xlfn.IFS(N722="USD",O722*1,N722="GBP",O722*1.27,N722="EUR",O722*1.09,N722="INR",O722*0.012,N722="N/A","N/A")</f>
        <v>1.09632</v>
      </c>
      <c r="Q722">
        <v>1</v>
      </c>
      <c r="R722" t="str" cm="1">
        <f t="array" ref="R722">_xlfn.IFS(Q722="Y","Yes", Q722="Yes","Yes", Q722="N","No", Q722="No","No", Q722=1,"N/A", Q722=0,"N/A", TRUE,"")</f>
        <v>N/A</v>
      </c>
      <c r="S722">
        <f t="shared" si="94"/>
        <v>11</v>
      </c>
      <c r="T722">
        <f t="shared" si="95"/>
        <v>1</v>
      </c>
      <c r="U722" t="str" cm="1">
        <f t="array" ref="U722">_xlfn.IFS(D722&lt;40,"Young Adult",AND(D722&gt;=40,D722&lt;65),"Middle Aged", D722&gt;=65,"Elderly")</f>
        <v>Middle Aged</v>
      </c>
    </row>
    <row r="723" spans="1:21" x14ac:dyDescent="0.2">
      <c r="A723">
        <v>1085</v>
      </c>
      <c r="B723">
        <f t="shared" si="88"/>
        <v>722</v>
      </c>
      <c r="C723" t="s">
        <v>2137</v>
      </c>
      <c r="D723">
        <v>22</v>
      </c>
      <c r="E723" t="s">
        <v>38</v>
      </c>
      <c r="F723" t="str">
        <f t="shared" si="89"/>
        <v>Female</v>
      </c>
      <c r="G723" s="1">
        <v>45932</v>
      </c>
      <c r="H723" s="1">
        <v>45842</v>
      </c>
      <c r="I723" t="s">
        <v>2138</v>
      </c>
      <c r="J723" t="str">
        <f t="shared" si="90"/>
        <v>Katherine Small</v>
      </c>
      <c r="K723" t="s">
        <v>28</v>
      </c>
      <c r="L723" t="str">
        <f t="shared" si="91"/>
        <v>General</v>
      </c>
      <c r="M723" t="s">
        <v>2139</v>
      </c>
      <c r="N723" t="str">
        <f t="shared" si="92"/>
        <v>INR</v>
      </c>
      <c r="O723">
        <f t="shared" si="93"/>
        <v>498.58</v>
      </c>
      <c r="P723" cm="1">
        <f t="array" ref="P723">_xlfn.IFS(N723="USD",O723*1,N723="GBP",O723*1.27,N723="EUR",O723*1.09,N723="INR",O723*0.012,N723="N/A","N/A")</f>
        <v>5.9829600000000003</v>
      </c>
      <c r="Q723">
        <v>0</v>
      </c>
      <c r="R723" t="str" cm="1">
        <f t="array" ref="R723">_xlfn.IFS(Q723="Y","Yes", Q723="Yes","Yes", Q723="N","No", Q723="No","No", Q723=1,"N/A", Q723=0,"N/A", TRUE,"")</f>
        <v>N/A</v>
      </c>
      <c r="S723">
        <f t="shared" si="94"/>
        <v>12</v>
      </c>
      <c r="T723">
        <f t="shared" si="95"/>
        <v>1</v>
      </c>
      <c r="U723" t="str" cm="1">
        <f t="array" ref="U723">_xlfn.IFS(D723&lt;40,"Young Adult",AND(D723&gt;=40,D723&lt;65),"Middle Aged", D723&gt;=65,"Elderly")</f>
        <v>Young Adult</v>
      </c>
    </row>
    <row r="724" spans="1:21" x14ac:dyDescent="0.2">
      <c r="A724">
        <v>1003</v>
      </c>
      <c r="B724">
        <f t="shared" si="88"/>
        <v>723</v>
      </c>
      <c r="C724" t="s">
        <v>2140</v>
      </c>
      <c r="D724">
        <v>89</v>
      </c>
      <c r="E724" t="s">
        <v>38</v>
      </c>
      <c r="F724" t="str">
        <f t="shared" si="89"/>
        <v>Female</v>
      </c>
      <c r="G724" s="1">
        <v>46013</v>
      </c>
      <c r="H724" s="1">
        <v>45724</v>
      </c>
      <c r="I724" t="s">
        <v>2141</v>
      </c>
      <c r="J724" t="str">
        <f t="shared" si="90"/>
        <v>Kristin Hartman</v>
      </c>
      <c r="K724" t="s">
        <v>28</v>
      </c>
      <c r="L724" t="str">
        <f t="shared" si="91"/>
        <v>General</v>
      </c>
      <c r="M724" t="s">
        <v>2142</v>
      </c>
      <c r="N724" t="str">
        <f t="shared" si="92"/>
        <v>EUR</v>
      </c>
      <c r="O724">
        <f t="shared" si="93"/>
        <v>453.73</v>
      </c>
      <c r="P724" cm="1">
        <f t="array" ref="P724">_xlfn.IFS(N724="USD",O724*1,N724="GBP",O724*1.27,N724="EUR",O724*1.09,N724="INR",O724*0.012,N724="N/A","N/A")</f>
        <v>494.56570000000005</v>
      </c>
      <c r="Q724" t="s">
        <v>36</v>
      </c>
      <c r="R724" t="str" cm="1">
        <f t="array" ref="R724">_xlfn.IFS(Q724="Y","Yes", Q724="Yes","Yes", Q724="N","No", Q724="No","No", Q724=1,"N/A", Q724=0,"N/A", TRUE,"")</f>
        <v>Yes</v>
      </c>
      <c r="S724">
        <f t="shared" si="94"/>
        <v>12</v>
      </c>
      <c r="T724">
        <f t="shared" si="95"/>
        <v>1</v>
      </c>
      <c r="U724" t="str" cm="1">
        <f t="array" ref="U724">_xlfn.IFS(D724&lt;40,"Young Adult",AND(D724&gt;=40,D724&lt;65),"Middle Aged", D724&gt;=65,"Elderly")</f>
        <v>Elderly</v>
      </c>
    </row>
    <row r="725" spans="1:21" x14ac:dyDescent="0.2">
      <c r="A725">
        <v>1030</v>
      </c>
      <c r="B725">
        <f t="shared" si="88"/>
        <v>724</v>
      </c>
      <c r="C725" t="s">
        <v>2143</v>
      </c>
      <c r="D725">
        <v>72</v>
      </c>
      <c r="E725" t="s">
        <v>16</v>
      </c>
      <c r="F725" t="str">
        <f t="shared" si="89"/>
        <v>Female</v>
      </c>
      <c r="G725" s="1">
        <v>45787</v>
      </c>
      <c r="H725" s="1">
        <v>45715</v>
      </c>
      <c r="I725" t="s">
        <v>1225</v>
      </c>
      <c r="J725" t="str">
        <f t="shared" si="90"/>
        <v>James Aguilar</v>
      </c>
      <c r="K725" t="s">
        <v>24</v>
      </c>
      <c r="L725" t="str">
        <f t="shared" si="91"/>
        <v>Neurology</v>
      </c>
      <c r="M725" t="s">
        <v>2144</v>
      </c>
      <c r="N725" t="str">
        <f t="shared" si="92"/>
        <v>GBP</v>
      </c>
      <c r="O725">
        <f t="shared" si="93"/>
        <v>218.54</v>
      </c>
      <c r="P725" cm="1">
        <f t="array" ref="P725">_xlfn.IFS(N725="USD",O725*1,N725="GBP",O725*1.27,N725="EUR",O725*1.09,N725="INR",O725*0.012,N725="N/A","N/A")</f>
        <v>277.54579999999999</v>
      </c>
      <c r="Q725" t="s">
        <v>30</v>
      </c>
      <c r="R725" t="str" cm="1">
        <f t="array" ref="R725">_xlfn.IFS(Q725="Y","Yes", Q725="Yes","Yes", Q725="N","No", Q725="No","No", Q725=1,"N/A", Q725=0,"N/A", TRUE,"")</f>
        <v>No</v>
      </c>
      <c r="S725">
        <f t="shared" si="94"/>
        <v>11</v>
      </c>
      <c r="T725">
        <f t="shared" si="95"/>
        <v>1</v>
      </c>
      <c r="U725" t="str" cm="1">
        <f t="array" ref="U725">_xlfn.IFS(D725&lt;40,"Young Adult",AND(D725&gt;=40,D725&lt;65),"Middle Aged", D725&gt;=65,"Elderly")</f>
        <v>Elderly</v>
      </c>
    </row>
    <row r="726" spans="1:21" x14ac:dyDescent="0.2">
      <c r="A726">
        <v>1083</v>
      </c>
      <c r="B726">
        <f t="shared" si="88"/>
        <v>725</v>
      </c>
      <c r="C726" t="s">
        <v>2145</v>
      </c>
      <c r="D726">
        <v>40</v>
      </c>
      <c r="E726" t="s">
        <v>38</v>
      </c>
      <c r="F726" t="str">
        <f t="shared" si="89"/>
        <v>Female</v>
      </c>
      <c r="G726" s="1">
        <v>45966</v>
      </c>
      <c r="H726" s="1">
        <v>45519</v>
      </c>
      <c r="I726" t="s">
        <v>2146</v>
      </c>
      <c r="J726" t="str">
        <f t="shared" si="90"/>
        <v>Theresa Williams</v>
      </c>
      <c r="K726" t="s">
        <v>18</v>
      </c>
      <c r="L726" t="str">
        <f t="shared" si="91"/>
        <v>Orthopedics</v>
      </c>
      <c r="M726" t="s">
        <v>2147</v>
      </c>
      <c r="N726" t="str">
        <f t="shared" si="92"/>
        <v>INR</v>
      </c>
      <c r="O726">
        <f t="shared" si="93"/>
        <v>312.26</v>
      </c>
      <c r="P726" cm="1">
        <f t="array" ref="P726">_xlfn.IFS(N726="USD",O726*1,N726="GBP",O726*1.27,N726="EUR",O726*1.09,N726="INR",O726*0.012,N726="N/A","N/A")</f>
        <v>3.7471199999999998</v>
      </c>
      <c r="Q726">
        <v>0</v>
      </c>
      <c r="R726" t="str" cm="1">
        <f t="array" ref="R726">_xlfn.IFS(Q726="Y","Yes", Q726="Yes","Yes", Q726="N","No", Q726="No","No", Q726=1,"N/A", Q726=0,"N/A", TRUE,"")</f>
        <v>N/A</v>
      </c>
      <c r="S726">
        <f t="shared" si="94"/>
        <v>7</v>
      </c>
      <c r="T726">
        <f t="shared" si="95"/>
        <v>1</v>
      </c>
      <c r="U726" t="str" cm="1">
        <f t="array" ref="U726">_xlfn.IFS(D726&lt;40,"Young Adult",AND(D726&gt;=40,D726&lt;65),"Middle Aged", D726&gt;=65,"Elderly")</f>
        <v>Middle Aged</v>
      </c>
    </row>
    <row r="727" spans="1:21" x14ac:dyDescent="0.2">
      <c r="A727">
        <v>1004</v>
      </c>
      <c r="B727">
        <f t="shared" si="88"/>
        <v>726</v>
      </c>
      <c r="C727" t="s">
        <v>2148</v>
      </c>
      <c r="D727">
        <v>36</v>
      </c>
      <c r="E727" t="s">
        <v>2937</v>
      </c>
      <c r="F727" t="str">
        <f t="shared" si="89"/>
        <v>N/A</v>
      </c>
      <c r="G727" s="1">
        <v>46047</v>
      </c>
      <c r="H727" s="1">
        <v>45595</v>
      </c>
      <c r="I727" t="s">
        <v>2149</v>
      </c>
      <c r="J727" t="str">
        <f t="shared" si="90"/>
        <v>Joseph Bell</v>
      </c>
      <c r="K727" t="s">
        <v>13</v>
      </c>
      <c r="L727" t="str">
        <f t="shared" si="91"/>
        <v>Cardiology</v>
      </c>
      <c r="M727" t="s">
        <v>2150</v>
      </c>
      <c r="N727" t="str">
        <f t="shared" si="92"/>
        <v>EUR</v>
      </c>
      <c r="O727">
        <f t="shared" si="93"/>
        <v>159.21</v>
      </c>
      <c r="P727" cm="1">
        <f t="array" ref="P727">_xlfn.IFS(N727="USD",O727*1,N727="GBP",O727*1.27,N727="EUR",O727*1.09,N727="INR",O727*0.012,N727="N/A","N/A")</f>
        <v>173.53890000000001</v>
      </c>
      <c r="Q727" t="s">
        <v>36</v>
      </c>
      <c r="R727" t="str" cm="1">
        <f t="array" ref="R727">_xlfn.IFS(Q727="Y","Yes", Q727="Yes","Yes", Q727="N","No", Q727="No","No", Q727=1,"N/A", Q727=0,"N/A", TRUE,"")</f>
        <v>Yes</v>
      </c>
      <c r="S727">
        <f t="shared" si="94"/>
        <v>9</v>
      </c>
      <c r="T727">
        <f t="shared" si="95"/>
        <v>1</v>
      </c>
      <c r="U727" t="str" cm="1">
        <f t="array" ref="U727">_xlfn.IFS(D727&lt;40,"Young Adult",AND(D727&gt;=40,D727&lt;65),"Middle Aged", D727&gt;=65,"Elderly")</f>
        <v>Young Adult</v>
      </c>
    </row>
    <row r="728" spans="1:21" x14ac:dyDescent="0.2">
      <c r="A728">
        <v>1051</v>
      </c>
      <c r="B728">
        <f t="shared" si="88"/>
        <v>727</v>
      </c>
      <c r="C728" t="s">
        <v>2151</v>
      </c>
      <c r="D728">
        <v>71</v>
      </c>
      <c r="E728" t="s">
        <v>38</v>
      </c>
      <c r="F728" t="str">
        <f t="shared" si="89"/>
        <v>Female</v>
      </c>
      <c r="G728" s="1">
        <v>46049</v>
      </c>
      <c r="H728" s="1">
        <v>45723</v>
      </c>
      <c r="I728" t="s">
        <v>2152</v>
      </c>
      <c r="J728" t="str">
        <f t="shared" si="90"/>
        <v>Kimberly Young</v>
      </c>
      <c r="K728" t="s">
        <v>13</v>
      </c>
      <c r="L728" t="str">
        <f t="shared" si="91"/>
        <v>Cardiology</v>
      </c>
      <c r="M728" t="s">
        <v>2153</v>
      </c>
      <c r="N728" t="str">
        <f t="shared" si="92"/>
        <v>EUR</v>
      </c>
      <c r="O728">
        <f t="shared" si="93"/>
        <v>484.79</v>
      </c>
      <c r="P728" cm="1">
        <f t="array" ref="P728">_xlfn.IFS(N728="USD",O728*1,N728="GBP",O728*1.27,N728="EUR",O728*1.09,N728="INR",O728*0.012,N728="N/A","N/A")</f>
        <v>528.42110000000002</v>
      </c>
      <c r="Q728">
        <v>1</v>
      </c>
      <c r="R728" t="str" cm="1">
        <f t="array" ref="R728">_xlfn.IFS(Q728="Y","Yes", Q728="Yes","Yes", Q728="N","No", Q728="No","No", Q728=1,"N/A", Q728=0,"N/A", TRUE,"")</f>
        <v>N/A</v>
      </c>
      <c r="S728">
        <f t="shared" si="94"/>
        <v>9</v>
      </c>
      <c r="T728">
        <f t="shared" si="95"/>
        <v>1</v>
      </c>
      <c r="U728" t="str" cm="1">
        <f t="array" ref="U728">_xlfn.IFS(D728&lt;40,"Young Adult",AND(D728&gt;=40,D728&lt;65),"Middle Aged", D728&gt;=65,"Elderly")</f>
        <v>Elderly</v>
      </c>
    </row>
    <row r="729" spans="1:21" x14ac:dyDescent="0.2">
      <c r="A729">
        <v>1059</v>
      </c>
      <c r="B729">
        <f t="shared" si="88"/>
        <v>728</v>
      </c>
      <c r="C729" t="s">
        <v>2154</v>
      </c>
      <c r="D729">
        <v>81</v>
      </c>
      <c r="E729" t="s">
        <v>38</v>
      </c>
      <c r="F729" t="str">
        <f t="shared" si="89"/>
        <v>Female</v>
      </c>
      <c r="G729" s="1">
        <v>45744</v>
      </c>
      <c r="H729" s="1">
        <v>45704</v>
      </c>
      <c r="I729" t="s">
        <v>2155</v>
      </c>
      <c r="J729" t="str">
        <f t="shared" si="90"/>
        <v>Jessica Miller</v>
      </c>
      <c r="K729" t="s">
        <v>13</v>
      </c>
      <c r="L729" t="str">
        <f t="shared" si="91"/>
        <v>Cardiology</v>
      </c>
      <c r="M729" t="s">
        <v>2156</v>
      </c>
      <c r="N729" t="str">
        <f t="shared" si="92"/>
        <v>INR</v>
      </c>
      <c r="O729">
        <f t="shared" si="93"/>
        <v>475.35</v>
      </c>
      <c r="P729" cm="1">
        <f t="array" ref="P729">_xlfn.IFS(N729="USD",O729*1,N729="GBP",O729*1.27,N729="EUR",O729*1.09,N729="INR",O729*0.012,N729="N/A","N/A")</f>
        <v>5.7042000000000002</v>
      </c>
      <c r="Q729" t="s">
        <v>30</v>
      </c>
      <c r="R729" t="str" cm="1">
        <f t="array" ref="R729">_xlfn.IFS(Q729="Y","Yes", Q729="Yes","Yes", Q729="N","No", Q729="No","No", Q729=1,"N/A", Q729=0,"N/A", TRUE,"")</f>
        <v>No</v>
      </c>
      <c r="S729">
        <f t="shared" si="94"/>
        <v>13</v>
      </c>
      <c r="T729">
        <f t="shared" si="95"/>
        <v>1</v>
      </c>
      <c r="U729" t="str" cm="1">
        <f t="array" ref="U729">_xlfn.IFS(D729&lt;40,"Young Adult",AND(D729&gt;=40,D729&lt;65),"Middle Aged", D729&gt;=65,"Elderly")</f>
        <v>Elderly</v>
      </c>
    </row>
    <row r="730" spans="1:21" x14ac:dyDescent="0.2">
      <c r="A730">
        <v>1044</v>
      </c>
      <c r="B730">
        <f t="shared" si="88"/>
        <v>729</v>
      </c>
      <c r="C730" t="s">
        <v>2157</v>
      </c>
      <c r="D730">
        <v>21</v>
      </c>
      <c r="E730" t="s">
        <v>2937</v>
      </c>
      <c r="F730" t="str">
        <f t="shared" si="89"/>
        <v>N/A</v>
      </c>
      <c r="G730" s="1">
        <v>45765</v>
      </c>
      <c r="H730" s="1">
        <v>45559</v>
      </c>
      <c r="I730" t="s">
        <v>2158</v>
      </c>
      <c r="J730" t="str">
        <f t="shared" si="90"/>
        <v>Donna Peters</v>
      </c>
      <c r="K730" t="s">
        <v>28</v>
      </c>
      <c r="L730" t="str">
        <f t="shared" si="91"/>
        <v>General</v>
      </c>
      <c r="M730" t="s">
        <v>2159</v>
      </c>
      <c r="N730" t="str">
        <f t="shared" si="92"/>
        <v>USD</v>
      </c>
      <c r="O730">
        <f t="shared" si="93"/>
        <v>156.1</v>
      </c>
      <c r="P730" cm="1">
        <f t="array" ref="P730">_xlfn.IFS(N730="USD",O730*1,N730="GBP",O730*1.27,N730="EUR",O730*1.09,N730="INR",O730*0.012,N730="N/A","N/A")</f>
        <v>156.1</v>
      </c>
      <c r="Q730" t="s">
        <v>20</v>
      </c>
      <c r="R730" t="str" cm="1">
        <f t="array" ref="R730">_xlfn.IFS(Q730="Y","Yes", Q730="Yes","Yes", Q730="N","No", Q730="No","No", Q730=1,"N/A", Q730=0,"N/A", TRUE,"")</f>
        <v>Yes</v>
      </c>
      <c r="S730">
        <f t="shared" si="94"/>
        <v>12</v>
      </c>
      <c r="T730">
        <f t="shared" si="95"/>
        <v>1</v>
      </c>
      <c r="U730" t="str" cm="1">
        <f t="array" ref="U730">_xlfn.IFS(D730&lt;40,"Young Adult",AND(D730&gt;=40,D730&lt;65),"Middle Aged", D730&gt;=65,"Elderly")</f>
        <v>Young Adult</v>
      </c>
    </row>
    <row r="731" spans="1:21" x14ac:dyDescent="0.2">
      <c r="A731">
        <v>1068</v>
      </c>
      <c r="B731">
        <f t="shared" si="88"/>
        <v>730</v>
      </c>
      <c r="C731" t="s">
        <v>2160</v>
      </c>
      <c r="D731">
        <v>87</v>
      </c>
      <c r="E731" t="s">
        <v>2937</v>
      </c>
      <c r="F731" t="str">
        <f t="shared" si="89"/>
        <v>N/A</v>
      </c>
      <c r="G731" s="1">
        <v>45899</v>
      </c>
      <c r="H731" s="1">
        <v>45641</v>
      </c>
      <c r="I731" t="s">
        <v>2161</v>
      </c>
      <c r="J731" t="str">
        <f t="shared" si="90"/>
        <v>Donna Orr</v>
      </c>
      <c r="K731" t="s">
        <v>28</v>
      </c>
      <c r="L731" t="str">
        <f t="shared" si="91"/>
        <v>General</v>
      </c>
      <c r="M731" t="s">
        <v>2162</v>
      </c>
      <c r="N731" t="str">
        <f t="shared" si="92"/>
        <v>USD</v>
      </c>
      <c r="O731">
        <f t="shared" si="93"/>
        <v>246.13</v>
      </c>
      <c r="P731" cm="1">
        <f t="array" ref="P731">_xlfn.IFS(N731="USD",O731*1,N731="GBP",O731*1.27,N731="EUR",O731*1.09,N731="INR",O731*0.012,N731="N/A","N/A")</f>
        <v>246.13</v>
      </c>
      <c r="Q731" t="s">
        <v>60</v>
      </c>
      <c r="R731" t="str" cm="1">
        <f t="array" ref="R731">_xlfn.IFS(Q731="Y","Yes", Q731="Yes","Yes", Q731="N","No", Q731="No","No", Q731=1,"N/A", Q731=0,"N/A", TRUE,"")</f>
        <v>No</v>
      </c>
      <c r="S731">
        <f t="shared" si="94"/>
        <v>14</v>
      </c>
      <c r="T731">
        <f t="shared" si="95"/>
        <v>1</v>
      </c>
      <c r="U731" t="str" cm="1">
        <f t="array" ref="U731">_xlfn.IFS(D731&lt;40,"Young Adult",AND(D731&gt;=40,D731&lt;65),"Middle Aged", D731&gt;=65,"Elderly")</f>
        <v>Elderly</v>
      </c>
    </row>
    <row r="732" spans="1:21" x14ac:dyDescent="0.2">
      <c r="A732">
        <v>1024</v>
      </c>
      <c r="B732">
        <f t="shared" si="88"/>
        <v>731</v>
      </c>
      <c r="C732" t="s">
        <v>2163</v>
      </c>
      <c r="D732">
        <v>60</v>
      </c>
      <c r="E732" t="s">
        <v>38</v>
      </c>
      <c r="F732" t="str">
        <f t="shared" si="89"/>
        <v>Female</v>
      </c>
      <c r="G732" s="1">
        <v>45858</v>
      </c>
      <c r="H732" s="1">
        <v>45617</v>
      </c>
      <c r="I732" t="s">
        <v>2164</v>
      </c>
      <c r="J732" t="str">
        <f t="shared" si="90"/>
        <v>Mrs. Michelle Reed</v>
      </c>
      <c r="K732" t="s">
        <v>13</v>
      </c>
      <c r="L732" t="str">
        <f t="shared" si="91"/>
        <v>Cardiology</v>
      </c>
      <c r="M732" t="s">
        <v>2165</v>
      </c>
      <c r="N732" t="str">
        <f t="shared" si="92"/>
        <v>INR</v>
      </c>
      <c r="O732">
        <f t="shared" si="93"/>
        <v>340.54</v>
      </c>
      <c r="P732" cm="1">
        <f t="array" ref="P732">_xlfn.IFS(N732="USD",O732*1,N732="GBP",O732*1.27,N732="EUR",O732*1.09,N732="INR",O732*0.012,N732="N/A","N/A")</f>
        <v>4.0864799999999999</v>
      </c>
      <c r="Q732" t="s">
        <v>30</v>
      </c>
      <c r="R732" t="str" cm="1">
        <f t="array" ref="R732">_xlfn.IFS(Q732="Y","Yes", Q732="Yes","Yes", Q732="N","No", Q732="No","No", Q732=1,"N/A", Q732=0,"N/A", TRUE,"")</f>
        <v>No</v>
      </c>
      <c r="S732">
        <f t="shared" si="94"/>
        <v>12</v>
      </c>
      <c r="T732">
        <f t="shared" si="95"/>
        <v>1</v>
      </c>
      <c r="U732" t="str" cm="1">
        <f t="array" ref="U732">_xlfn.IFS(D732&lt;40,"Young Adult",AND(D732&gt;=40,D732&lt;65),"Middle Aged", D732&gt;=65,"Elderly")</f>
        <v>Middle Aged</v>
      </c>
    </row>
    <row r="733" spans="1:21" x14ac:dyDescent="0.2">
      <c r="A733">
        <v>1010</v>
      </c>
      <c r="B733">
        <f t="shared" si="88"/>
        <v>732</v>
      </c>
      <c r="C733" t="s">
        <v>2166</v>
      </c>
      <c r="D733">
        <v>72</v>
      </c>
      <c r="E733" t="s">
        <v>16</v>
      </c>
      <c r="F733" t="str">
        <f t="shared" si="89"/>
        <v>Female</v>
      </c>
      <c r="G733" s="1">
        <v>46069</v>
      </c>
      <c r="H733" s="1">
        <v>45480</v>
      </c>
      <c r="I733" t="s">
        <v>2167</v>
      </c>
      <c r="J733" t="str">
        <f t="shared" si="90"/>
        <v>Douglas Smith</v>
      </c>
      <c r="K733" t="s">
        <v>28</v>
      </c>
      <c r="L733" t="str">
        <f t="shared" si="91"/>
        <v>General</v>
      </c>
      <c r="M733" t="s">
        <v>2168</v>
      </c>
      <c r="N733" t="str">
        <f t="shared" si="92"/>
        <v>USD</v>
      </c>
      <c r="O733">
        <f t="shared" si="93"/>
        <v>235.81</v>
      </c>
      <c r="P733" cm="1">
        <f t="array" ref="P733">_xlfn.IFS(N733="USD",O733*1,N733="GBP",O733*1.27,N733="EUR",O733*1.09,N733="INR",O733*0.012,N733="N/A","N/A")</f>
        <v>235.81</v>
      </c>
      <c r="Q733" t="s">
        <v>30</v>
      </c>
      <c r="R733" t="str" cm="1">
        <f t="array" ref="R733">_xlfn.IFS(Q733="Y","Yes", Q733="Yes","Yes", Q733="N","No", Q733="No","No", Q733=1,"N/A", Q733=0,"N/A", TRUE,"")</f>
        <v>No</v>
      </c>
      <c r="S733">
        <f t="shared" si="94"/>
        <v>10</v>
      </c>
      <c r="T733">
        <f t="shared" si="95"/>
        <v>1</v>
      </c>
      <c r="U733" t="str" cm="1">
        <f t="array" ref="U733">_xlfn.IFS(D733&lt;40,"Young Adult",AND(D733&gt;=40,D733&lt;65),"Middle Aged", D733&gt;=65,"Elderly")</f>
        <v>Elderly</v>
      </c>
    </row>
    <row r="734" spans="1:21" x14ac:dyDescent="0.2">
      <c r="A734">
        <v>1099</v>
      </c>
      <c r="B734">
        <f t="shared" si="88"/>
        <v>733</v>
      </c>
      <c r="C734" t="s">
        <v>2169</v>
      </c>
      <c r="D734">
        <v>25</v>
      </c>
      <c r="E734" t="s">
        <v>2937</v>
      </c>
      <c r="F734" t="str">
        <f t="shared" si="89"/>
        <v>N/A</v>
      </c>
      <c r="G734" s="1">
        <v>45768</v>
      </c>
      <c r="H734" s="1">
        <v>45555</v>
      </c>
      <c r="I734" t="s">
        <v>2170</v>
      </c>
      <c r="J734" t="str">
        <f t="shared" si="90"/>
        <v>Kelly Thomas</v>
      </c>
      <c r="K734" t="s">
        <v>13</v>
      </c>
      <c r="L734" t="str">
        <f t="shared" si="91"/>
        <v>Cardiology</v>
      </c>
      <c r="M734" t="s">
        <v>2171</v>
      </c>
      <c r="N734" t="str">
        <f t="shared" si="92"/>
        <v>GBP</v>
      </c>
      <c r="O734">
        <f t="shared" si="93"/>
        <v>166.21</v>
      </c>
      <c r="P734" cm="1">
        <f t="array" ref="P734">_xlfn.IFS(N734="USD",O734*1,N734="GBP",O734*1.27,N734="EUR",O734*1.09,N734="INR",O734*0.012,N734="N/A","N/A")</f>
        <v>211.08670000000001</v>
      </c>
      <c r="Q734" t="s">
        <v>30</v>
      </c>
      <c r="R734" t="str" cm="1">
        <f t="array" ref="R734">_xlfn.IFS(Q734="Y","Yes", Q734="Yes","Yes", Q734="N","No", Q734="No","No", Q734=1,"N/A", Q734=0,"N/A", TRUE,"")</f>
        <v>No</v>
      </c>
      <c r="S734">
        <f t="shared" si="94"/>
        <v>7</v>
      </c>
      <c r="T734">
        <f t="shared" si="95"/>
        <v>1</v>
      </c>
      <c r="U734" t="str" cm="1">
        <f t="array" ref="U734">_xlfn.IFS(D734&lt;40,"Young Adult",AND(D734&gt;=40,D734&lt;65),"Middle Aged", D734&gt;=65,"Elderly")</f>
        <v>Young Adult</v>
      </c>
    </row>
    <row r="735" spans="1:21" x14ac:dyDescent="0.2">
      <c r="A735">
        <v>1060</v>
      </c>
      <c r="B735">
        <f t="shared" si="88"/>
        <v>734</v>
      </c>
      <c r="C735" t="s">
        <v>2172</v>
      </c>
      <c r="D735">
        <v>39</v>
      </c>
      <c r="E735" t="s">
        <v>71</v>
      </c>
      <c r="F735" t="str">
        <f t="shared" si="89"/>
        <v>Male</v>
      </c>
      <c r="G735" s="1">
        <v>46031</v>
      </c>
      <c r="H735" s="1">
        <v>45828</v>
      </c>
      <c r="I735" t="s">
        <v>2173</v>
      </c>
      <c r="J735" t="str">
        <f t="shared" si="90"/>
        <v>Steven Welch</v>
      </c>
      <c r="K735" t="s">
        <v>13</v>
      </c>
      <c r="L735" t="str">
        <f t="shared" si="91"/>
        <v>Cardiology</v>
      </c>
      <c r="M735" t="s">
        <v>2174</v>
      </c>
      <c r="N735" t="str">
        <f t="shared" si="92"/>
        <v>EUR</v>
      </c>
      <c r="O735">
        <f t="shared" si="93"/>
        <v>418.29</v>
      </c>
      <c r="P735" cm="1">
        <f t="array" ref="P735">_xlfn.IFS(N735="USD",O735*1,N735="GBP",O735*1.27,N735="EUR",O735*1.09,N735="INR",O735*0.012,N735="N/A","N/A")</f>
        <v>455.93610000000007</v>
      </c>
      <c r="Q735">
        <v>0</v>
      </c>
      <c r="R735" t="str" cm="1">
        <f t="array" ref="R735">_xlfn.IFS(Q735="Y","Yes", Q735="Yes","Yes", Q735="N","No", Q735="No","No", Q735=1,"N/A", Q735=0,"N/A", TRUE,"")</f>
        <v>N/A</v>
      </c>
      <c r="S735">
        <f t="shared" si="94"/>
        <v>6</v>
      </c>
      <c r="T735">
        <f t="shared" si="95"/>
        <v>1</v>
      </c>
      <c r="U735" t="str" cm="1">
        <f t="array" ref="U735">_xlfn.IFS(D735&lt;40,"Young Adult",AND(D735&gt;=40,D735&lt;65),"Middle Aged", D735&gt;=65,"Elderly")</f>
        <v>Young Adult</v>
      </c>
    </row>
    <row r="736" spans="1:21" x14ac:dyDescent="0.2">
      <c r="A736">
        <v>1044</v>
      </c>
      <c r="B736">
        <f t="shared" si="88"/>
        <v>735</v>
      </c>
      <c r="C736" t="s">
        <v>2175</v>
      </c>
      <c r="D736">
        <v>63</v>
      </c>
      <c r="E736" t="s">
        <v>38</v>
      </c>
      <c r="F736" t="str">
        <f t="shared" si="89"/>
        <v>Female</v>
      </c>
      <c r="G736" s="1">
        <v>45919</v>
      </c>
      <c r="H736" s="1">
        <v>45695</v>
      </c>
      <c r="I736" t="s">
        <v>2176</v>
      </c>
      <c r="J736" t="str">
        <f t="shared" si="90"/>
        <v>Kimberly Beck</v>
      </c>
      <c r="K736" t="s">
        <v>28</v>
      </c>
      <c r="L736" t="str">
        <f t="shared" si="91"/>
        <v>General</v>
      </c>
      <c r="M736" t="s">
        <v>2177</v>
      </c>
      <c r="N736" t="str">
        <f t="shared" si="92"/>
        <v>GBP</v>
      </c>
      <c r="O736">
        <f t="shared" si="93"/>
        <v>415.35</v>
      </c>
      <c r="P736" cm="1">
        <f t="array" ref="P736">_xlfn.IFS(N736="USD",O736*1,N736="GBP",O736*1.27,N736="EUR",O736*1.09,N736="INR",O736*0.012,N736="N/A","N/A")</f>
        <v>527.49450000000002</v>
      </c>
      <c r="Q736" t="s">
        <v>60</v>
      </c>
      <c r="R736" t="str" cm="1">
        <f t="array" ref="R736">_xlfn.IFS(Q736="Y","Yes", Q736="Yes","Yes", Q736="N","No", Q736="No","No", Q736=1,"N/A", Q736=0,"N/A", TRUE,"")</f>
        <v>No</v>
      </c>
      <c r="S736">
        <f t="shared" si="94"/>
        <v>12</v>
      </c>
      <c r="T736">
        <f t="shared" si="95"/>
        <v>1</v>
      </c>
      <c r="U736" t="str" cm="1">
        <f t="array" ref="U736">_xlfn.IFS(D736&lt;40,"Young Adult",AND(D736&gt;=40,D736&lt;65),"Middle Aged", D736&gt;=65,"Elderly")</f>
        <v>Middle Aged</v>
      </c>
    </row>
    <row r="737" spans="1:21" x14ac:dyDescent="0.2">
      <c r="A737">
        <v>1047</v>
      </c>
      <c r="B737">
        <f t="shared" si="88"/>
        <v>736</v>
      </c>
      <c r="C737" t="s">
        <v>2178</v>
      </c>
      <c r="D737">
        <v>33</v>
      </c>
      <c r="E737" t="s">
        <v>2937</v>
      </c>
      <c r="F737" t="str">
        <f t="shared" si="89"/>
        <v>N/A</v>
      </c>
      <c r="G737" s="1">
        <v>46071</v>
      </c>
      <c r="H737" s="1">
        <v>45445</v>
      </c>
      <c r="I737" t="s">
        <v>2179</v>
      </c>
      <c r="J737" t="str">
        <f t="shared" si="90"/>
        <v>Katherine Long</v>
      </c>
      <c r="K737" t="s">
        <v>28</v>
      </c>
      <c r="L737" t="str">
        <f t="shared" si="91"/>
        <v>General</v>
      </c>
      <c r="M737" t="s">
        <v>2180</v>
      </c>
      <c r="N737" t="str">
        <f t="shared" si="92"/>
        <v>USD</v>
      </c>
      <c r="O737">
        <f t="shared" si="93"/>
        <v>307.29000000000002</v>
      </c>
      <c r="P737" cm="1">
        <f t="array" ref="P737">_xlfn.IFS(N737="USD",O737*1,N737="GBP",O737*1.27,N737="EUR",O737*1.09,N737="INR",O737*0.012,N737="N/A","N/A")</f>
        <v>307.29000000000002</v>
      </c>
      <c r="Q737">
        <v>1</v>
      </c>
      <c r="R737" t="str" cm="1">
        <f t="array" ref="R737">_xlfn.IFS(Q737="Y","Yes", Q737="Yes","Yes", Q737="N","No", Q737="No","No", Q737=1,"N/A", Q737=0,"N/A", TRUE,"")</f>
        <v>N/A</v>
      </c>
      <c r="S737">
        <f t="shared" si="94"/>
        <v>17</v>
      </c>
      <c r="T737">
        <f t="shared" si="95"/>
        <v>1</v>
      </c>
      <c r="U737" t="str" cm="1">
        <f t="array" ref="U737">_xlfn.IFS(D737&lt;40,"Young Adult",AND(D737&gt;=40,D737&lt;65),"Middle Aged", D737&gt;=65,"Elderly")</f>
        <v>Young Adult</v>
      </c>
    </row>
    <row r="738" spans="1:21" x14ac:dyDescent="0.2">
      <c r="A738">
        <v>1063</v>
      </c>
      <c r="B738">
        <f t="shared" si="88"/>
        <v>737</v>
      </c>
      <c r="C738" t="s">
        <v>2181</v>
      </c>
      <c r="D738">
        <v>88</v>
      </c>
      <c r="E738" t="s">
        <v>38</v>
      </c>
      <c r="F738" t="str">
        <f t="shared" si="89"/>
        <v>Female</v>
      </c>
      <c r="G738" s="1">
        <v>45995</v>
      </c>
      <c r="H738" s="1">
        <v>45941</v>
      </c>
      <c r="I738" t="s">
        <v>2182</v>
      </c>
      <c r="J738" t="str">
        <f t="shared" si="90"/>
        <v>Nathan Summers</v>
      </c>
      <c r="K738" t="s">
        <v>18</v>
      </c>
      <c r="L738" t="str">
        <f t="shared" si="91"/>
        <v>Orthopedics</v>
      </c>
      <c r="M738" t="s">
        <v>2183</v>
      </c>
      <c r="N738" t="str">
        <f t="shared" si="92"/>
        <v>INR</v>
      </c>
      <c r="O738">
        <f t="shared" si="93"/>
        <v>268.75</v>
      </c>
      <c r="P738" cm="1">
        <f t="array" ref="P738">_xlfn.IFS(N738="USD",O738*1,N738="GBP",O738*1.27,N738="EUR",O738*1.09,N738="INR",O738*0.012,N738="N/A","N/A")</f>
        <v>3.2250000000000001</v>
      </c>
      <c r="Q738" t="s">
        <v>30</v>
      </c>
      <c r="R738" t="str" cm="1">
        <f t="array" ref="R738">_xlfn.IFS(Q738="Y","Yes", Q738="Yes","Yes", Q738="N","No", Q738="No","No", Q738=1,"N/A", Q738=0,"N/A", TRUE,"")</f>
        <v>No</v>
      </c>
      <c r="S738">
        <f t="shared" si="94"/>
        <v>11</v>
      </c>
      <c r="T738">
        <f t="shared" si="95"/>
        <v>1</v>
      </c>
      <c r="U738" t="str" cm="1">
        <f t="array" ref="U738">_xlfn.IFS(D738&lt;40,"Young Adult",AND(D738&gt;=40,D738&lt;65),"Middle Aged", D738&gt;=65,"Elderly")</f>
        <v>Elderly</v>
      </c>
    </row>
    <row r="739" spans="1:21" x14ac:dyDescent="0.2">
      <c r="A739">
        <v>1036</v>
      </c>
      <c r="B739">
        <f t="shared" si="88"/>
        <v>738</v>
      </c>
      <c r="C739" t="s">
        <v>2184</v>
      </c>
      <c r="D739">
        <v>44</v>
      </c>
      <c r="E739" t="s">
        <v>2937</v>
      </c>
      <c r="F739" t="str">
        <f t="shared" si="89"/>
        <v>N/A</v>
      </c>
      <c r="G739" s="1">
        <v>45943</v>
      </c>
      <c r="H739" s="1">
        <v>45459</v>
      </c>
      <c r="I739" t="s">
        <v>2185</v>
      </c>
      <c r="J739" t="str">
        <f t="shared" si="90"/>
        <v>Maureen Jacobson</v>
      </c>
      <c r="K739" t="s">
        <v>18</v>
      </c>
      <c r="L739" t="str">
        <f t="shared" si="91"/>
        <v>Orthopedics</v>
      </c>
      <c r="M739" t="s">
        <v>2186</v>
      </c>
      <c r="N739" t="str">
        <f t="shared" si="92"/>
        <v>EUR</v>
      </c>
      <c r="O739">
        <f t="shared" si="93"/>
        <v>248.97</v>
      </c>
      <c r="P739" cm="1">
        <f t="array" ref="P739">_xlfn.IFS(N739="USD",O739*1,N739="GBP",O739*1.27,N739="EUR",O739*1.09,N739="INR",O739*0.012,N739="N/A","N/A")</f>
        <v>271.37729999999999</v>
      </c>
      <c r="Q739">
        <v>1</v>
      </c>
      <c r="R739" t="str" cm="1">
        <f t="array" ref="R739">_xlfn.IFS(Q739="Y","Yes", Q739="Yes","Yes", Q739="N","No", Q739="No","No", Q739=1,"N/A", Q739=0,"N/A", TRUE,"")</f>
        <v>N/A</v>
      </c>
      <c r="S739">
        <f t="shared" si="94"/>
        <v>14</v>
      </c>
      <c r="T739">
        <f t="shared" si="95"/>
        <v>1</v>
      </c>
      <c r="U739" t="str" cm="1">
        <f t="array" ref="U739">_xlfn.IFS(D739&lt;40,"Young Adult",AND(D739&gt;=40,D739&lt;65),"Middle Aged", D739&gt;=65,"Elderly")</f>
        <v>Middle Aged</v>
      </c>
    </row>
    <row r="740" spans="1:21" x14ac:dyDescent="0.2">
      <c r="A740">
        <v>1002</v>
      </c>
      <c r="B740">
        <f t="shared" si="88"/>
        <v>739</v>
      </c>
      <c r="C740" t="s">
        <v>2187</v>
      </c>
      <c r="D740">
        <v>28</v>
      </c>
      <c r="E740" t="s">
        <v>2937</v>
      </c>
      <c r="F740" t="str">
        <f t="shared" si="89"/>
        <v>N/A</v>
      </c>
      <c r="G740" s="1">
        <v>45810</v>
      </c>
      <c r="H740" s="1">
        <v>45464</v>
      </c>
      <c r="I740" t="s">
        <v>2188</v>
      </c>
      <c r="J740" t="str">
        <f t="shared" si="90"/>
        <v>James Fleming</v>
      </c>
      <c r="K740" t="s">
        <v>24</v>
      </c>
      <c r="L740" t="str">
        <f t="shared" si="91"/>
        <v>Neurology</v>
      </c>
      <c r="M740" t="s">
        <v>2189</v>
      </c>
      <c r="N740" t="str">
        <f t="shared" si="92"/>
        <v>USD</v>
      </c>
      <c r="O740">
        <f t="shared" si="93"/>
        <v>270.70999999999998</v>
      </c>
      <c r="P740" cm="1">
        <f t="array" ref="P740">_xlfn.IFS(N740="USD",O740*1,N740="GBP",O740*1.27,N740="EUR",O740*1.09,N740="INR",O740*0.012,N740="N/A","N/A")</f>
        <v>270.70999999999998</v>
      </c>
      <c r="Q740">
        <v>0</v>
      </c>
      <c r="R740" t="str" cm="1">
        <f t="array" ref="R740">_xlfn.IFS(Q740="Y","Yes", Q740="Yes","Yes", Q740="N","No", Q740="No","No", Q740=1,"N/A", Q740=0,"N/A", TRUE,"")</f>
        <v>N/A</v>
      </c>
      <c r="S740">
        <f t="shared" si="94"/>
        <v>7</v>
      </c>
      <c r="T740">
        <f t="shared" si="95"/>
        <v>1</v>
      </c>
      <c r="U740" t="str" cm="1">
        <f t="array" ref="U740">_xlfn.IFS(D740&lt;40,"Young Adult",AND(D740&gt;=40,D740&lt;65),"Middle Aged", D740&gt;=65,"Elderly")</f>
        <v>Young Adult</v>
      </c>
    </row>
    <row r="741" spans="1:21" x14ac:dyDescent="0.2">
      <c r="A741">
        <v>1075</v>
      </c>
      <c r="B741">
        <f t="shared" si="88"/>
        <v>740</v>
      </c>
      <c r="C741" t="s">
        <v>2190</v>
      </c>
      <c r="D741">
        <v>25</v>
      </c>
      <c r="E741" t="s">
        <v>38</v>
      </c>
      <c r="F741" t="str">
        <f t="shared" si="89"/>
        <v>Female</v>
      </c>
      <c r="G741" s="1">
        <v>45903</v>
      </c>
      <c r="H741" s="1">
        <v>45592</v>
      </c>
      <c r="I741" t="s">
        <v>2191</v>
      </c>
      <c r="J741" t="str">
        <f t="shared" si="90"/>
        <v>Jeremy Mclaughlin</v>
      </c>
      <c r="K741" t="s">
        <v>18</v>
      </c>
      <c r="L741" t="str">
        <f t="shared" si="91"/>
        <v>Orthopedics</v>
      </c>
      <c r="M741" t="s">
        <v>2192</v>
      </c>
      <c r="N741" t="str">
        <f t="shared" si="92"/>
        <v>USD</v>
      </c>
      <c r="O741">
        <f t="shared" si="93"/>
        <v>253.36</v>
      </c>
      <c r="P741" cm="1">
        <f t="array" ref="P741">_xlfn.IFS(N741="USD",O741*1,N741="GBP",O741*1.27,N741="EUR",O741*1.09,N741="INR",O741*0.012,N741="N/A","N/A")</f>
        <v>253.36</v>
      </c>
      <c r="Q741" t="s">
        <v>20</v>
      </c>
      <c r="R741" t="str" cm="1">
        <f t="array" ref="R741">_xlfn.IFS(Q741="Y","Yes", Q741="Yes","Yes", Q741="N","No", Q741="No","No", Q741=1,"N/A", Q741=0,"N/A", TRUE,"")</f>
        <v>Yes</v>
      </c>
      <c r="S741">
        <f t="shared" si="94"/>
        <v>11</v>
      </c>
      <c r="T741">
        <f t="shared" si="95"/>
        <v>1</v>
      </c>
      <c r="U741" t="str" cm="1">
        <f t="array" ref="U741">_xlfn.IFS(D741&lt;40,"Young Adult",AND(D741&gt;=40,D741&lt;65),"Middle Aged", D741&gt;=65,"Elderly")</f>
        <v>Young Adult</v>
      </c>
    </row>
    <row r="742" spans="1:21" x14ac:dyDescent="0.2">
      <c r="A742">
        <v>1090</v>
      </c>
      <c r="B742">
        <f t="shared" si="88"/>
        <v>741</v>
      </c>
      <c r="C742" t="s">
        <v>2193</v>
      </c>
      <c r="D742">
        <v>85</v>
      </c>
      <c r="E742" t="s">
        <v>51</v>
      </c>
      <c r="F742" t="str">
        <f t="shared" si="89"/>
        <v>Male</v>
      </c>
      <c r="G742" s="1">
        <v>46042</v>
      </c>
      <c r="H742" s="1">
        <v>45726</v>
      </c>
      <c r="I742" t="s">
        <v>2194</v>
      </c>
      <c r="J742" t="str">
        <f t="shared" si="90"/>
        <v>Stephanie Kelley Dvm</v>
      </c>
      <c r="K742" t="s">
        <v>24</v>
      </c>
      <c r="L742" t="str">
        <f t="shared" si="91"/>
        <v>Neurology</v>
      </c>
      <c r="M742" t="s">
        <v>2195</v>
      </c>
      <c r="N742" t="str">
        <f t="shared" si="92"/>
        <v>USD</v>
      </c>
      <c r="O742">
        <f t="shared" si="93"/>
        <v>192.87</v>
      </c>
      <c r="P742" cm="1">
        <f t="array" ref="P742">_xlfn.IFS(N742="USD",O742*1,N742="GBP",O742*1.27,N742="EUR",O742*1.09,N742="INR",O742*0.012,N742="N/A","N/A")</f>
        <v>192.87</v>
      </c>
      <c r="Q742" t="s">
        <v>30</v>
      </c>
      <c r="R742" t="str" cm="1">
        <f t="array" ref="R742">_xlfn.IFS(Q742="Y","Yes", Q742="Yes","Yes", Q742="N","No", Q742="No","No", Q742=1,"N/A", Q742=0,"N/A", TRUE,"")</f>
        <v>No</v>
      </c>
      <c r="S742">
        <f t="shared" si="94"/>
        <v>8</v>
      </c>
      <c r="T742">
        <f t="shared" si="95"/>
        <v>1</v>
      </c>
      <c r="U742" t="str" cm="1">
        <f t="array" ref="U742">_xlfn.IFS(D742&lt;40,"Young Adult",AND(D742&gt;=40,D742&lt;65),"Middle Aged", D742&gt;=65,"Elderly")</f>
        <v>Elderly</v>
      </c>
    </row>
    <row r="743" spans="1:21" x14ac:dyDescent="0.2">
      <c r="A743">
        <v>1000</v>
      </c>
      <c r="B743">
        <f t="shared" si="88"/>
        <v>742</v>
      </c>
      <c r="C743" t="s">
        <v>2196</v>
      </c>
      <c r="D743">
        <v>18</v>
      </c>
      <c r="E743" t="s">
        <v>51</v>
      </c>
      <c r="F743" t="str">
        <f t="shared" si="89"/>
        <v>Male</v>
      </c>
      <c r="G743" s="1">
        <v>45883</v>
      </c>
      <c r="H743" s="1">
        <v>45757</v>
      </c>
      <c r="I743" t="s">
        <v>2197</v>
      </c>
      <c r="J743" t="str">
        <f t="shared" si="90"/>
        <v>Dr. Brian Smith</v>
      </c>
      <c r="K743" t="s">
        <v>18</v>
      </c>
      <c r="L743" t="str">
        <f t="shared" si="91"/>
        <v>Orthopedics</v>
      </c>
      <c r="M743" t="s">
        <v>2198</v>
      </c>
      <c r="N743" t="str">
        <f t="shared" si="92"/>
        <v>INR</v>
      </c>
      <c r="O743">
        <f t="shared" si="93"/>
        <v>362.08</v>
      </c>
      <c r="P743" cm="1">
        <f t="array" ref="P743">_xlfn.IFS(N743="USD",O743*1,N743="GBP",O743*1.27,N743="EUR",O743*1.09,N743="INR",O743*0.012,N743="N/A","N/A")</f>
        <v>4.3449599999999995</v>
      </c>
      <c r="Q743">
        <v>0</v>
      </c>
      <c r="R743" t="str" cm="1">
        <f t="array" ref="R743">_xlfn.IFS(Q743="Y","Yes", Q743="Yes","Yes", Q743="N","No", Q743="No","No", Q743=1,"N/A", Q743=0,"N/A", TRUE,"")</f>
        <v>N/A</v>
      </c>
      <c r="S743">
        <f t="shared" si="94"/>
        <v>3</v>
      </c>
      <c r="T743">
        <f t="shared" si="95"/>
        <v>1</v>
      </c>
      <c r="U743" t="str" cm="1">
        <f t="array" ref="U743">_xlfn.IFS(D743&lt;40,"Young Adult",AND(D743&gt;=40,D743&lt;65),"Middle Aged", D743&gt;=65,"Elderly")</f>
        <v>Young Adult</v>
      </c>
    </row>
    <row r="744" spans="1:21" x14ac:dyDescent="0.2">
      <c r="A744">
        <v>1073</v>
      </c>
      <c r="B744">
        <f t="shared" si="88"/>
        <v>743</v>
      </c>
      <c r="C744" t="s">
        <v>2199</v>
      </c>
      <c r="D744">
        <v>75</v>
      </c>
      <c r="E744" t="s">
        <v>2937</v>
      </c>
      <c r="F744" t="str">
        <f t="shared" si="89"/>
        <v>N/A</v>
      </c>
      <c r="G744" s="1">
        <v>46028</v>
      </c>
      <c r="H744" s="1">
        <v>45710</v>
      </c>
      <c r="I744" t="s">
        <v>2200</v>
      </c>
      <c r="J744" t="str">
        <f t="shared" si="90"/>
        <v>Brian Chambers</v>
      </c>
      <c r="K744" t="s">
        <v>28</v>
      </c>
      <c r="L744" t="str">
        <f t="shared" si="91"/>
        <v>General</v>
      </c>
      <c r="M744" t="s">
        <v>2201</v>
      </c>
      <c r="N744" t="str">
        <f t="shared" si="92"/>
        <v>GBP</v>
      </c>
      <c r="O744">
        <f t="shared" si="93"/>
        <v>306.62</v>
      </c>
      <c r="P744" cm="1">
        <f t="array" ref="P744">_xlfn.IFS(N744="USD",O744*1,N744="GBP",O744*1.27,N744="EUR",O744*1.09,N744="INR",O744*0.012,N744="N/A","N/A")</f>
        <v>389.4074</v>
      </c>
      <c r="Q744" t="s">
        <v>60</v>
      </c>
      <c r="R744" t="str" cm="1">
        <f t="array" ref="R744">_xlfn.IFS(Q744="Y","Yes", Q744="Yes","Yes", Q744="N","No", Q744="No","No", Q744=1,"N/A", Q744=0,"N/A", TRUE,"")</f>
        <v>No</v>
      </c>
      <c r="S744">
        <f t="shared" si="94"/>
        <v>11</v>
      </c>
      <c r="T744">
        <f t="shared" si="95"/>
        <v>1</v>
      </c>
      <c r="U744" t="str" cm="1">
        <f t="array" ref="U744">_xlfn.IFS(D744&lt;40,"Young Adult",AND(D744&gt;=40,D744&lt;65),"Middle Aged", D744&gt;=65,"Elderly")</f>
        <v>Elderly</v>
      </c>
    </row>
    <row r="745" spans="1:21" x14ac:dyDescent="0.2">
      <c r="A745">
        <v>1075</v>
      </c>
      <c r="B745">
        <f t="shared" si="88"/>
        <v>744</v>
      </c>
      <c r="C745" t="s">
        <v>2202</v>
      </c>
      <c r="D745">
        <v>73</v>
      </c>
      <c r="E745" t="s">
        <v>2937</v>
      </c>
      <c r="F745" t="str">
        <f t="shared" si="89"/>
        <v>N/A</v>
      </c>
      <c r="G745" s="1">
        <v>45752</v>
      </c>
      <c r="H745" s="1">
        <v>45646</v>
      </c>
      <c r="I745" t="s">
        <v>2203</v>
      </c>
      <c r="J745" t="str">
        <f t="shared" si="90"/>
        <v>Amanda Hoffman</v>
      </c>
      <c r="K745" t="s">
        <v>24</v>
      </c>
      <c r="L745" t="str">
        <f t="shared" si="91"/>
        <v>Neurology</v>
      </c>
      <c r="M745" t="s">
        <v>2204</v>
      </c>
      <c r="N745" t="str">
        <f t="shared" si="92"/>
        <v>USD</v>
      </c>
      <c r="O745">
        <f t="shared" si="93"/>
        <v>348.18</v>
      </c>
      <c r="P745" cm="1">
        <f t="array" ref="P745">_xlfn.IFS(N745="USD",O745*1,N745="GBP",O745*1.27,N745="EUR",O745*1.09,N745="INR",O745*0.012,N745="N/A","N/A")</f>
        <v>348.18</v>
      </c>
      <c r="Q745">
        <v>0</v>
      </c>
      <c r="R745" t="str" cm="1">
        <f t="array" ref="R745">_xlfn.IFS(Q745="Y","Yes", Q745="Yes","Yes", Q745="N","No", Q745="No","No", Q745=1,"N/A", Q745=0,"N/A", TRUE,"")</f>
        <v>N/A</v>
      </c>
      <c r="S745">
        <f t="shared" si="94"/>
        <v>11</v>
      </c>
      <c r="T745">
        <f t="shared" si="95"/>
        <v>1</v>
      </c>
      <c r="U745" t="str" cm="1">
        <f t="array" ref="U745">_xlfn.IFS(D745&lt;40,"Young Adult",AND(D745&gt;=40,D745&lt;65),"Middle Aged", D745&gt;=65,"Elderly")</f>
        <v>Elderly</v>
      </c>
    </row>
    <row r="746" spans="1:21" x14ac:dyDescent="0.2">
      <c r="A746">
        <v>1033</v>
      </c>
      <c r="B746">
        <f t="shared" si="88"/>
        <v>745</v>
      </c>
      <c r="C746" t="s">
        <v>2205</v>
      </c>
      <c r="D746">
        <v>58</v>
      </c>
      <c r="E746" t="s">
        <v>71</v>
      </c>
      <c r="F746" t="str">
        <f t="shared" si="89"/>
        <v>Male</v>
      </c>
      <c r="G746" s="1">
        <v>45801</v>
      </c>
      <c r="H746" s="1">
        <v>45544</v>
      </c>
      <c r="I746" t="s">
        <v>2206</v>
      </c>
      <c r="J746" t="str">
        <f t="shared" si="90"/>
        <v>Donna Adkins</v>
      </c>
      <c r="K746" t="s">
        <v>18</v>
      </c>
      <c r="L746" t="str">
        <f t="shared" si="91"/>
        <v>Orthopedics</v>
      </c>
      <c r="M746" t="s">
        <v>2207</v>
      </c>
      <c r="N746" t="str">
        <f t="shared" si="92"/>
        <v>GBP</v>
      </c>
      <c r="O746">
        <f t="shared" si="93"/>
        <v>298.42</v>
      </c>
      <c r="P746" cm="1">
        <f t="array" ref="P746">_xlfn.IFS(N746="USD",O746*1,N746="GBP",O746*1.27,N746="EUR",O746*1.09,N746="INR",O746*0.012,N746="N/A","N/A")</f>
        <v>378.99340000000001</v>
      </c>
      <c r="Q746">
        <v>1</v>
      </c>
      <c r="R746" t="str" cm="1">
        <f t="array" ref="R746">_xlfn.IFS(Q746="Y","Yes", Q746="Yes","Yes", Q746="N","No", Q746="No","No", Q746=1,"N/A", Q746=0,"N/A", TRUE,"")</f>
        <v>N/A</v>
      </c>
      <c r="S746">
        <f t="shared" si="94"/>
        <v>11</v>
      </c>
      <c r="T746">
        <f t="shared" si="95"/>
        <v>1</v>
      </c>
      <c r="U746" t="str" cm="1">
        <f t="array" ref="U746">_xlfn.IFS(D746&lt;40,"Young Adult",AND(D746&gt;=40,D746&lt;65),"Middle Aged", D746&gt;=65,"Elderly")</f>
        <v>Middle Aged</v>
      </c>
    </row>
    <row r="747" spans="1:21" x14ac:dyDescent="0.2">
      <c r="A747">
        <v>1051</v>
      </c>
      <c r="B747">
        <f t="shared" si="88"/>
        <v>746</v>
      </c>
      <c r="C747" t="s">
        <v>1052</v>
      </c>
      <c r="D747">
        <v>52</v>
      </c>
      <c r="E747" t="s">
        <v>71</v>
      </c>
      <c r="F747" t="str">
        <f t="shared" si="89"/>
        <v>Male</v>
      </c>
      <c r="G747" s="1">
        <v>45961</v>
      </c>
      <c r="H747" s="1">
        <v>45536</v>
      </c>
      <c r="I747" t="s">
        <v>2208</v>
      </c>
      <c r="J747" t="str">
        <f t="shared" si="90"/>
        <v>Sara Morse</v>
      </c>
      <c r="K747" t="s">
        <v>24</v>
      </c>
      <c r="L747" t="str">
        <f t="shared" si="91"/>
        <v>Neurology</v>
      </c>
      <c r="N747" t="str">
        <f t="shared" si="92"/>
        <v>N/A</v>
      </c>
      <c r="O747" t="str">
        <f t="shared" si="93"/>
        <v/>
      </c>
      <c r="P747" t="str" cm="1">
        <f t="array" ref="P747">_xlfn.IFS(N747="USD",O747*1,N747="GBP",O747*1.27,N747="EUR",O747*1.09,N747="INR",O747*0.012,N747="N/A","N/A")</f>
        <v>N/A</v>
      </c>
      <c r="Q747">
        <v>0</v>
      </c>
      <c r="R747" t="str" cm="1">
        <f t="array" ref="R747">_xlfn.IFS(Q747="Y","Yes", Q747="Yes","Yes", Q747="N","No", Q747="No","No", Q747=1,"N/A", Q747=0,"N/A", TRUE,"")</f>
        <v>N/A</v>
      </c>
      <c r="S747">
        <f t="shared" si="94"/>
        <v>9</v>
      </c>
      <c r="T747">
        <f t="shared" si="95"/>
        <v>1</v>
      </c>
      <c r="U747" t="str" cm="1">
        <f t="array" ref="U747">_xlfn.IFS(D747&lt;40,"Young Adult",AND(D747&gt;=40,D747&lt;65),"Middle Aged", D747&gt;=65,"Elderly")</f>
        <v>Middle Aged</v>
      </c>
    </row>
    <row r="748" spans="1:21" x14ac:dyDescent="0.2">
      <c r="A748">
        <v>1021</v>
      </c>
      <c r="B748">
        <f t="shared" si="88"/>
        <v>747</v>
      </c>
      <c r="C748" t="s">
        <v>2209</v>
      </c>
      <c r="D748">
        <v>41</v>
      </c>
      <c r="E748" t="s">
        <v>22</v>
      </c>
      <c r="F748" t="str">
        <f t="shared" si="89"/>
        <v>Male</v>
      </c>
      <c r="G748" s="1">
        <v>45911</v>
      </c>
      <c r="H748" s="1">
        <v>45626</v>
      </c>
      <c r="I748" t="s">
        <v>2210</v>
      </c>
      <c r="J748" t="str">
        <f t="shared" si="90"/>
        <v>Katrina Williams Md</v>
      </c>
      <c r="K748" t="s">
        <v>28</v>
      </c>
      <c r="L748" t="str">
        <f t="shared" si="91"/>
        <v>General</v>
      </c>
      <c r="M748" t="s">
        <v>2211</v>
      </c>
      <c r="N748" t="str">
        <f t="shared" si="92"/>
        <v>USD</v>
      </c>
      <c r="O748">
        <f t="shared" si="93"/>
        <v>473.2</v>
      </c>
      <c r="P748" cm="1">
        <f t="array" ref="P748">_xlfn.IFS(N748="USD",O748*1,N748="GBP",O748*1.27,N748="EUR",O748*1.09,N748="INR",O748*0.012,N748="N/A","N/A")</f>
        <v>473.2</v>
      </c>
      <c r="Q748" t="s">
        <v>30</v>
      </c>
      <c r="R748" t="str" cm="1">
        <f t="array" ref="R748">_xlfn.IFS(Q748="Y","Yes", Q748="Yes","Yes", Q748="N","No", Q748="No","No", Q748=1,"N/A", Q748=0,"N/A", TRUE,"")</f>
        <v>No</v>
      </c>
      <c r="S748">
        <f t="shared" si="94"/>
        <v>16</v>
      </c>
      <c r="T748">
        <f t="shared" si="95"/>
        <v>1</v>
      </c>
      <c r="U748" t="str" cm="1">
        <f t="array" ref="U748">_xlfn.IFS(D748&lt;40,"Young Adult",AND(D748&gt;=40,D748&lt;65),"Middle Aged", D748&gt;=65,"Elderly")</f>
        <v>Middle Aged</v>
      </c>
    </row>
    <row r="749" spans="1:21" x14ac:dyDescent="0.2">
      <c r="A749">
        <v>1052</v>
      </c>
      <c r="B749">
        <f t="shared" si="88"/>
        <v>748</v>
      </c>
      <c r="C749" t="s">
        <v>2212</v>
      </c>
      <c r="D749">
        <v>80</v>
      </c>
      <c r="E749" t="s">
        <v>2937</v>
      </c>
      <c r="F749" t="str">
        <f t="shared" si="89"/>
        <v>N/A</v>
      </c>
      <c r="G749" s="1">
        <v>45781</v>
      </c>
      <c r="H749" s="1">
        <v>45555</v>
      </c>
      <c r="I749" t="s">
        <v>2213</v>
      </c>
      <c r="J749" t="str">
        <f t="shared" si="90"/>
        <v>Matthew Carney</v>
      </c>
      <c r="K749" t="s">
        <v>13</v>
      </c>
      <c r="L749" t="str">
        <f t="shared" si="91"/>
        <v>Cardiology</v>
      </c>
      <c r="M749" t="s">
        <v>2214</v>
      </c>
      <c r="N749" t="str">
        <f t="shared" si="92"/>
        <v>USD</v>
      </c>
      <c r="O749">
        <f t="shared" si="93"/>
        <v>124.09</v>
      </c>
      <c r="P749" cm="1">
        <f t="array" ref="P749">_xlfn.IFS(N749="USD",O749*1,N749="GBP",O749*1.27,N749="EUR",O749*1.09,N749="INR",O749*0.012,N749="N/A","N/A")</f>
        <v>124.09</v>
      </c>
      <c r="Q749" t="s">
        <v>60</v>
      </c>
      <c r="R749" t="str" cm="1">
        <f t="array" ref="R749">_xlfn.IFS(Q749="Y","Yes", Q749="Yes","Yes", Q749="N","No", Q749="No","No", Q749=1,"N/A", Q749=0,"N/A", TRUE,"")</f>
        <v>No</v>
      </c>
      <c r="S749">
        <f t="shared" si="94"/>
        <v>8</v>
      </c>
      <c r="T749">
        <f t="shared" si="95"/>
        <v>1</v>
      </c>
      <c r="U749" t="str" cm="1">
        <f t="array" ref="U749">_xlfn.IFS(D749&lt;40,"Young Adult",AND(D749&gt;=40,D749&lt;65),"Middle Aged", D749&gt;=65,"Elderly")</f>
        <v>Elderly</v>
      </c>
    </row>
    <row r="750" spans="1:21" x14ac:dyDescent="0.2">
      <c r="A750">
        <v>1028</v>
      </c>
      <c r="B750">
        <f t="shared" si="88"/>
        <v>749</v>
      </c>
      <c r="C750" t="s">
        <v>2215</v>
      </c>
      <c r="D750">
        <v>24</v>
      </c>
      <c r="E750" t="s">
        <v>38</v>
      </c>
      <c r="F750" t="str">
        <f t="shared" si="89"/>
        <v>Female</v>
      </c>
      <c r="G750" s="1">
        <v>46085</v>
      </c>
      <c r="H750" s="1">
        <v>45749</v>
      </c>
      <c r="I750" t="s">
        <v>2216</v>
      </c>
      <c r="J750" t="str">
        <f t="shared" si="90"/>
        <v>Jason Bray</v>
      </c>
      <c r="K750" t="s">
        <v>28</v>
      </c>
      <c r="L750" t="str">
        <f t="shared" si="91"/>
        <v>General</v>
      </c>
      <c r="M750" t="s">
        <v>2217</v>
      </c>
      <c r="N750" t="str">
        <f t="shared" si="92"/>
        <v>EUR</v>
      </c>
      <c r="O750">
        <f t="shared" si="93"/>
        <v>52.32</v>
      </c>
      <c r="P750" cm="1">
        <f t="array" ref="P750">_xlfn.IFS(N750="USD",O750*1,N750="GBP",O750*1.27,N750="EUR",O750*1.09,N750="INR",O750*0.012,N750="N/A","N/A")</f>
        <v>57.028800000000004</v>
      </c>
      <c r="Q750" t="s">
        <v>20</v>
      </c>
      <c r="R750" t="str" cm="1">
        <f t="array" ref="R750">_xlfn.IFS(Q750="Y","Yes", Q750="Yes","Yes", Q750="N","No", Q750="No","No", Q750=1,"N/A", Q750=0,"N/A", TRUE,"")</f>
        <v>Yes</v>
      </c>
      <c r="S750">
        <f t="shared" si="94"/>
        <v>8</v>
      </c>
      <c r="T750">
        <f t="shared" si="95"/>
        <v>1</v>
      </c>
      <c r="U750" t="str" cm="1">
        <f t="array" ref="U750">_xlfn.IFS(D750&lt;40,"Young Adult",AND(D750&gt;=40,D750&lt;65),"Middle Aged", D750&gt;=65,"Elderly")</f>
        <v>Young Adult</v>
      </c>
    </row>
    <row r="751" spans="1:21" x14ac:dyDescent="0.2">
      <c r="A751">
        <v>1062</v>
      </c>
      <c r="B751">
        <f t="shared" si="88"/>
        <v>750</v>
      </c>
      <c r="C751" t="s">
        <v>2218</v>
      </c>
      <c r="D751">
        <v>23</v>
      </c>
      <c r="E751" t="s">
        <v>38</v>
      </c>
      <c r="F751" t="str">
        <f t="shared" si="89"/>
        <v>Female</v>
      </c>
      <c r="G751" s="1">
        <v>46051</v>
      </c>
      <c r="H751" s="1">
        <v>45474</v>
      </c>
      <c r="I751" t="s">
        <v>2219</v>
      </c>
      <c r="J751" t="str">
        <f t="shared" si="90"/>
        <v>Amber Waters</v>
      </c>
      <c r="K751" t="s">
        <v>18</v>
      </c>
      <c r="L751" t="str">
        <f t="shared" si="91"/>
        <v>Orthopedics</v>
      </c>
      <c r="M751" t="s">
        <v>2220</v>
      </c>
      <c r="N751" t="str">
        <f t="shared" si="92"/>
        <v>USD</v>
      </c>
      <c r="O751">
        <f t="shared" si="93"/>
        <v>151.03</v>
      </c>
      <c r="P751" cm="1">
        <f t="array" ref="P751">_xlfn.IFS(N751="USD",O751*1,N751="GBP",O751*1.27,N751="EUR",O751*1.09,N751="INR",O751*0.012,N751="N/A","N/A")</f>
        <v>151.03</v>
      </c>
      <c r="Q751" t="s">
        <v>30</v>
      </c>
      <c r="R751" t="str" cm="1">
        <f t="array" ref="R751">_xlfn.IFS(Q751="Y","Yes", Q751="Yes","Yes", Q751="N","No", Q751="No","No", Q751=1,"N/A", Q751=0,"N/A", TRUE,"")</f>
        <v>No</v>
      </c>
      <c r="S751">
        <f t="shared" si="94"/>
        <v>6</v>
      </c>
      <c r="T751">
        <f t="shared" si="95"/>
        <v>1</v>
      </c>
      <c r="U751" t="str" cm="1">
        <f t="array" ref="U751">_xlfn.IFS(D751&lt;40,"Young Adult",AND(D751&gt;=40,D751&lt;65),"Middle Aged", D751&gt;=65,"Elderly")</f>
        <v>Young Adult</v>
      </c>
    </row>
    <row r="752" spans="1:21" x14ac:dyDescent="0.2">
      <c r="A752">
        <v>1088</v>
      </c>
      <c r="B752">
        <f t="shared" si="88"/>
        <v>751</v>
      </c>
      <c r="C752" t="s">
        <v>2221</v>
      </c>
      <c r="D752">
        <v>80</v>
      </c>
      <c r="E752" t="s">
        <v>16</v>
      </c>
      <c r="F752" t="str">
        <f t="shared" si="89"/>
        <v>Female</v>
      </c>
      <c r="G752" s="1">
        <v>45839</v>
      </c>
      <c r="H752" s="1">
        <v>45608</v>
      </c>
      <c r="I752" t="s">
        <v>2222</v>
      </c>
      <c r="J752" t="str">
        <f t="shared" si="90"/>
        <v>Crystal Garza</v>
      </c>
      <c r="K752" t="s">
        <v>28</v>
      </c>
      <c r="L752" t="str">
        <f t="shared" si="91"/>
        <v>General</v>
      </c>
      <c r="M752" t="s">
        <v>2223</v>
      </c>
      <c r="N752" t="str">
        <f t="shared" si="92"/>
        <v>INR</v>
      </c>
      <c r="O752">
        <f t="shared" si="93"/>
        <v>417.42</v>
      </c>
      <c r="P752" cm="1">
        <f t="array" ref="P752">_xlfn.IFS(N752="USD",O752*1,N752="GBP",O752*1.27,N752="EUR",O752*1.09,N752="INR",O752*0.012,N752="N/A","N/A")</f>
        <v>5.0090400000000006</v>
      </c>
      <c r="Q752" t="s">
        <v>20</v>
      </c>
      <c r="R752" t="str" cm="1">
        <f t="array" ref="R752">_xlfn.IFS(Q752="Y","Yes", Q752="Yes","Yes", Q752="N","No", Q752="No","No", Q752=1,"N/A", Q752=0,"N/A", TRUE,"")</f>
        <v>Yes</v>
      </c>
      <c r="S752">
        <f t="shared" si="94"/>
        <v>16</v>
      </c>
      <c r="T752">
        <f t="shared" si="95"/>
        <v>1</v>
      </c>
      <c r="U752" t="str" cm="1">
        <f t="array" ref="U752">_xlfn.IFS(D752&lt;40,"Young Adult",AND(D752&gt;=40,D752&lt;65),"Middle Aged", D752&gt;=65,"Elderly")</f>
        <v>Elderly</v>
      </c>
    </row>
    <row r="753" spans="1:21" x14ac:dyDescent="0.2">
      <c r="A753">
        <v>1028</v>
      </c>
      <c r="B753">
        <f t="shared" si="88"/>
        <v>752</v>
      </c>
      <c r="C753" t="s">
        <v>2224</v>
      </c>
      <c r="D753">
        <v>26</v>
      </c>
      <c r="E753" t="s">
        <v>2937</v>
      </c>
      <c r="F753" t="str">
        <f t="shared" si="89"/>
        <v>N/A</v>
      </c>
      <c r="G753" s="1">
        <v>45915</v>
      </c>
      <c r="H753" s="1">
        <v>45790</v>
      </c>
      <c r="I753" t="s">
        <v>2225</v>
      </c>
      <c r="J753" t="str">
        <f t="shared" si="90"/>
        <v>Sarah Peterson</v>
      </c>
      <c r="K753" t="s">
        <v>13</v>
      </c>
      <c r="L753" t="str">
        <f t="shared" si="91"/>
        <v>Cardiology</v>
      </c>
      <c r="M753" t="s">
        <v>2226</v>
      </c>
      <c r="N753" t="str">
        <f t="shared" si="92"/>
        <v>USD</v>
      </c>
      <c r="O753">
        <f t="shared" si="93"/>
        <v>112.9</v>
      </c>
      <c r="P753" cm="1">
        <f t="array" ref="P753">_xlfn.IFS(N753="USD",O753*1,N753="GBP",O753*1.27,N753="EUR",O753*1.09,N753="INR",O753*0.012,N753="N/A","N/A")</f>
        <v>112.9</v>
      </c>
      <c r="Q753" t="s">
        <v>20</v>
      </c>
      <c r="R753" t="str" cm="1">
        <f t="array" ref="R753">_xlfn.IFS(Q753="Y","Yes", Q753="Yes","Yes", Q753="N","No", Q753="No","No", Q753=1,"N/A", Q753=0,"N/A", TRUE,"")</f>
        <v>Yes</v>
      </c>
      <c r="S753">
        <f t="shared" si="94"/>
        <v>8</v>
      </c>
      <c r="T753">
        <f t="shared" si="95"/>
        <v>1</v>
      </c>
      <c r="U753" t="str" cm="1">
        <f t="array" ref="U753">_xlfn.IFS(D753&lt;40,"Young Adult",AND(D753&gt;=40,D753&lt;65),"Middle Aged", D753&gt;=65,"Elderly")</f>
        <v>Young Adult</v>
      </c>
    </row>
    <row r="754" spans="1:21" x14ac:dyDescent="0.2">
      <c r="A754">
        <v>1050</v>
      </c>
      <c r="B754">
        <f t="shared" si="88"/>
        <v>753</v>
      </c>
      <c r="C754" t="s">
        <v>2227</v>
      </c>
      <c r="D754">
        <v>65</v>
      </c>
      <c r="E754" t="s">
        <v>51</v>
      </c>
      <c r="F754" t="str">
        <f t="shared" si="89"/>
        <v>Male</v>
      </c>
      <c r="G754" s="1">
        <v>46085</v>
      </c>
      <c r="H754" s="1">
        <v>45444</v>
      </c>
      <c r="I754" t="s">
        <v>2228</v>
      </c>
      <c r="J754" t="str">
        <f t="shared" si="90"/>
        <v>Jerry Torres</v>
      </c>
      <c r="K754" t="s">
        <v>28</v>
      </c>
      <c r="L754" t="str">
        <f t="shared" si="91"/>
        <v>General</v>
      </c>
      <c r="M754" t="s">
        <v>2229</v>
      </c>
      <c r="N754" t="str">
        <f t="shared" si="92"/>
        <v>INR</v>
      </c>
      <c r="O754">
        <f t="shared" si="93"/>
        <v>126.44</v>
      </c>
      <c r="P754" cm="1">
        <f t="array" ref="P754">_xlfn.IFS(N754="USD",O754*1,N754="GBP",O754*1.27,N754="EUR",O754*1.09,N754="INR",O754*0.012,N754="N/A","N/A")</f>
        <v>1.51728</v>
      </c>
      <c r="Q754" t="s">
        <v>20</v>
      </c>
      <c r="R754" t="str" cm="1">
        <f t="array" ref="R754">_xlfn.IFS(Q754="Y","Yes", Q754="Yes","Yes", Q754="N","No", Q754="No","No", Q754=1,"N/A", Q754=0,"N/A", TRUE,"")</f>
        <v>Yes</v>
      </c>
      <c r="S754">
        <f t="shared" si="94"/>
        <v>12</v>
      </c>
      <c r="T754">
        <f t="shared" si="95"/>
        <v>1</v>
      </c>
      <c r="U754" t="str" cm="1">
        <f t="array" ref="U754">_xlfn.IFS(D754&lt;40,"Young Adult",AND(D754&gt;=40,D754&lt;65),"Middle Aged", D754&gt;=65,"Elderly")</f>
        <v>Elderly</v>
      </c>
    </row>
    <row r="755" spans="1:21" x14ac:dyDescent="0.2">
      <c r="A755">
        <v>1004</v>
      </c>
      <c r="B755">
        <f t="shared" si="88"/>
        <v>754</v>
      </c>
      <c r="C755" t="s">
        <v>2230</v>
      </c>
      <c r="D755">
        <v>54</v>
      </c>
      <c r="E755" t="s">
        <v>22</v>
      </c>
      <c r="F755" t="str">
        <f t="shared" si="89"/>
        <v>Male</v>
      </c>
      <c r="G755" s="1">
        <v>45903</v>
      </c>
      <c r="H755" s="1">
        <v>45708</v>
      </c>
      <c r="I755" t="s">
        <v>2231</v>
      </c>
      <c r="J755" t="str">
        <f t="shared" si="90"/>
        <v>Danielle Pacheco</v>
      </c>
      <c r="K755" t="s">
        <v>13</v>
      </c>
      <c r="L755" t="str">
        <f t="shared" si="91"/>
        <v>Cardiology</v>
      </c>
      <c r="M755" t="s">
        <v>2232</v>
      </c>
      <c r="N755" t="str">
        <f t="shared" si="92"/>
        <v>EUR</v>
      </c>
      <c r="O755">
        <f t="shared" si="93"/>
        <v>185.15</v>
      </c>
      <c r="P755" cm="1">
        <f t="array" ref="P755">_xlfn.IFS(N755="USD",O755*1,N755="GBP",O755*1.27,N755="EUR",O755*1.09,N755="INR",O755*0.012,N755="N/A","N/A")</f>
        <v>201.81350000000003</v>
      </c>
      <c r="Q755" t="s">
        <v>30</v>
      </c>
      <c r="R755" t="str" cm="1">
        <f t="array" ref="R755">_xlfn.IFS(Q755="Y","Yes", Q755="Yes","Yes", Q755="N","No", Q755="No","No", Q755=1,"N/A", Q755=0,"N/A", TRUE,"")</f>
        <v>No</v>
      </c>
      <c r="S755">
        <f t="shared" si="94"/>
        <v>9</v>
      </c>
      <c r="T755">
        <f t="shared" si="95"/>
        <v>1</v>
      </c>
      <c r="U755" t="str" cm="1">
        <f t="array" ref="U755">_xlfn.IFS(D755&lt;40,"Young Adult",AND(D755&gt;=40,D755&lt;65),"Middle Aged", D755&gt;=65,"Elderly")</f>
        <v>Middle Aged</v>
      </c>
    </row>
    <row r="756" spans="1:21" x14ac:dyDescent="0.2">
      <c r="A756">
        <v>1044</v>
      </c>
      <c r="B756">
        <f t="shared" si="88"/>
        <v>755</v>
      </c>
      <c r="C756" t="s">
        <v>2233</v>
      </c>
      <c r="D756">
        <v>58</v>
      </c>
      <c r="E756" t="s">
        <v>51</v>
      </c>
      <c r="F756" t="str">
        <f t="shared" si="89"/>
        <v>Male</v>
      </c>
      <c r="G756" s="1">
        <v>45818</v>
      </c>
      <c r="H756" s="1">
        <v>45506</v>
      </c>
      <c r="I756" t="s">
        <v>2234</v>
      </c>
      <c r="J756" t="str">
        <f t="shared" si="90"/>
        <v>James Love</v>
      </c>
      <c r="K756" t="s">
        <v>18</v>
      </c>
      <c r="L756" t="str">
        <f t="shared" si="91"/>
        <v>Orthopedics</v>
      </c>
      <c r="N756" t="str">
        <f t="shared" si="92"/>
        <v>N/A</v>
      </c>
      <c r="O756" t="str">
        <f t="shared" si="93"/>
        <v/>
      </c>
      <c r="P756" t="str" cm="1">
        <f t="array" ref="P756">_xlfn.IFS(N756="USD",O756*1,N756="GBP",O756*1.27,N756="EUR",O756*1.09,N756="INR",O756*0.012,N756="N/A","N/A")</f>
        <v>N/A</v>
      </c>
      <c r="Q756" t="s">
        <v>30</v>
      </c>
      <c r="R756" t="str" cm="1">
        <f t="array" ref="R756">_xlfn.IFS(Q756="Y","Yes", Q756="Yes","Yes", Q756="N","No", Q756="No","No", Q756=1,"N/A", Q756=0,"N/A", TRUE,"")</f>
        <v>No</v>
      </c>
      <c r="S756">
        <f t="shared" si="94"/>
        <v>12</v>
      </c>
      <c r="T756">
        <f t="shared" si="95"/>
        <v>1</v>
      </c>
      <c r="U756" t="str" cm="1">
        <f t="array" ref="U756">_xlfn.IFS(D756&lt;40,"Young Adult",AND(D756&gt;=40,D756&lt;65),"Middle Aged", D756&gt;=65,"Elderly")</f>
        <v>Middle Aged</v>
      </c>
    </row>
    <row r="757" spans="1:21" x14ac:dyDescent="0.2">
      <c r="A757">
        <v>1030</v>
      </c>
      <c r="B757">
        <f t="shared" si="88"/>
        <v>756</v>
      </c>
      <c r="C757" t="s">
        <v>2235</v>
      </c>
      <c r="D757">
        <v>42</v>
      </c>
      <c r="E757" t="s">
        <v>71</v>
      </c>
      <c r="F757" t="str">
        <f t="shared" si="89"/>
        <v>Male</v>
      </c>
      <c r="G757" s="1">
        <v>45954</v>
      </c>
      <c r="H757" s="1">
        <v>45623</v>
      </c>
      <c r="I757" t="s">
        <v>2236</v>
      </c>
      <c r="J757" t="str">
        <f t="shared" si="90"/>
        <v>Kimberly Foster</v>
      </c>
      <c r="K757" t="s">
        <v>24</v>
      </c>
      <c r="L757" t="str">
        <f t="shared" si="91"/>
        <v>Neurology</v>
      </c>
      <c r="M757" t="s">
        <v>2237</v>
      </c>
      <c r="N757" t="str">
        <f t="shared" si="92"/>
        <v>EUR</v>
      </c>
      <c r="O757">
        <f t="shared" si="93"/>
        <v>258.89999999999998</v>
      </c>
      <c r="P757" cm="1">
        <f t="array" ref="P757">_xlfn.IFS(N757="USD",O757*1,N757="GBP",O757*1.27,N757="EUR",O757*1.09,N757="INR",O757*0.012,N757="N/A","N/A")</f>
        <v>282.20100000000002</v>
      </c>
      <c r="Q757" t="s">
        <v>20</v>
      </c>
      <c r="R757" t="str" cm="1">
        <f t="array" ref="R757">_xlfn.IFS(Q757="Y","Yes", Q757="Yes","Yes", Q757="N","No", Q757="No","No", Q757=1,"N/A", Q757=0,"N/A", TRUE,"")</f>
        <v>Yes</v>
      </c>
      <c r="S757">
        <f t="shared" si="94"/>
        <v>11</v>
      </c>
      <c r="T757">
        <f t="shared" si="95"/>
        <v>1</v>
      </c>
      <c r="U757" t="str" cm="1">
        <f t="array" ref="U757">_xlfn.IFS(D757&lt;40,"Young Adult",AND(D757&gt;=40,D757&lt;65),"Middle Aged", D757&gt;=65,"Elderly")</f>
        <v>Middle Aged</v>
      </c>
    </row>
    <row r="758" spans="1:21" x14ac:dyDescent="0.2">
      <c r="A758">
        <v>1073</v>
      </c>
      <c r="B758">
        <f t="shared" si="88"/>
        <v>757</v>
      </c>
      <c r="C758" t="s">
        <v>2238</v>
      </c>
      <c r="D758">
        <v>84</v>
      </c>
      <c r="E758" t="s">
        <v>51</v>
      </c>
      <c r="F758" t="str">
        <f t="shared" si="89"/>
        <v>Male</v>
      </c>
      <c r="G758" s="1">
        <v>45929</v>
      </c>
      <c r="H758" s="1">
        <v>45467</v>
      </c>
      <c r="I758" t="s">
        <v>2239</v>
      </c>
      <c r="J758" t="str">
        <f t="shared" si="90"/>
        <v>John Hancock</v>
      </c>
      <c r="K758" t="s">
        <v>24</v>
      </c>
      <c r="L758" t="str">
        <f t="shared" si="91"/>
        <v>Neurology</v>
      </c>
      <c r="M758" t="s">
        <v>2240</v>
      </c>
      <c r="N758" t="str">
        <f t="shared" si="92"/>
        <v>EUR</v>
      </c>
      <c r="O758">
        <f t="shared" si="93"/>
        <v>477.08</v>
      </c>
      <c r="P758" cm="1">
        <f t="array" ref="P758">_xlfn.IFS(N758="USD",O758*1,N758="GBP",O758*1.27,N758="EUR",O758*1.09,N758="INR",O758*0.012,N758="N/A","N/A")</f>
        <v>520.0172</v>
      </c>
      <c r="Q758" t="s">
        <v>30</v>
      </c>
      <c r="R758" t="str" cm="1">
        <f t="array" ref="R758">_xlfn.IFS(Q758="Y","Yes", Q758="Yes","Yes", Q758="N","No", Q758="No","No", Q758=1,"N/A", Q758=0,"N/A", TRUE,"")</f>
        <v>No</v>
      </c>
      <c r="S758">
        <f t="shared" si="94"/>
        <v>11</v>
      </c>
      <c r="T758">
        <f t="shared" si="95"/>
        <v>1</v>
      </c>
      <c r="U758" t="str" cm="1">
        <f t="array" ref="U758">_xlfn.IFS(D758&lt;40,"Young Adult",AND(D758&gt;=40,D758&lt;65),"Middle Aged", D758&gt;=65,"Elderly")</f>
        <v>Elderly</v>
      </c>
    </row>
    <row r="759" spans="1:21" x14ac:dyDescent="0.2">
      <c r="A759">
        <v>1018</v>
      </c>
      <c r="B759">
        <f t="shared" si="88"/>
        <v>758</v>
      </c>
      <c r="C759" t="s">
        <v>2241</v>
      </c>
      <c r="D759">
        <v>55</v>
      </c>
      <c r="E759" t="s">
        <v>2937</v>
      </c>
      <c r="F759" t="str">
        <f t="shared" si="89"/>
        <v>N/A</v>
      </c>
      <c r="G759" s="1">
        <v>46014</v>
      </c>
      <c r="H759" s="1">
        <v>45711</v>
      </c>
      <c r="I759" t="s">
        <v>2242</v>
      </c>
      <c r="J759" t="str">
        <f t="shared" si="90"/>
        <v>Victoria Garcia</v>
      </c>
      <c r="K759" t="s">
        <v>24</v>
      </c>
      <c r="L759" t="str">
        <f t="shared" si="91"/>
        <v>Neurology</v>
      </c>
      <c r="M759" t="s">
        <v>2243</v>
      </c>
      <c r="N759" t="str">
        <f t="shared" si="92"/>
        <v>EUR</v>
      </c>
      <c r="O759">
        <f t="shared" si="93"/>
        <v>306.8</v>
      </c>
      <c r="P759" cm="1">
        <f t="array" ref="P759">_xlfn.IFS(N759="USD",O759*1,N759="GBP",O759*1.27,N759="EUR",O759*1.09,N759="INR",O759*0.012,N759="N/A","N/A")</f>
        <v>334.41200000000003</v>
      </c>
      <c r="Q759">
        <v>0</v>
      </c>
      <c r="R759" t="str" cm="1">
        <f t="array" ref="R759">_xlfn.IFS(Q759="Y","Yes", Q759="Yes","Yes", Q759="N","No", Q759="No","No", Q759=1,"N/A", Q759=0,"N/A", TRUE,"")</f>
        <v>N/A</v>
      </c>
      <c r="S759">
        <f t="shared" si="94"/>
        <v>14</v>
      </c>
      <c r="T759">
        <f t="shared" si="95"/>
        <v>1</v>
      </c>
      <c r="U759" t="str" cm="1">
        <f t="array" ref="U759">_xlfn.IFS(D759&lt;40,"Young Adult",AND(D759&gt;=40,D759&lt;65),"Middle Aged", D759&gt;=65,"Elderly")</f>
        <v>Middle Aged</v>
      </c>
    </row>
    <row r="760" spans="1:21" x14ac:dyDescent="0.2">
      <c r="A760">
        <v>1062</v>
      </c>
      <c r="B760">
        <f t="shared" si="88"/>
        <v>759</v>
      </c>
      <c r="C760" t="s">
        <v>2244</v>
      </c>
      <c r="D760">
        <v>84</v>
      </c>
      <c r="E760" t="s">
        <v>38</v>
      </c>
      <c r="F760" t="str">
        <f t="shared" si="89"/>
        <v>Female</v>
      </c>
      <c r="G760" s="1">
        <v>45896</v>
      </c>
      <c r="H760" s="1">
        <v>45445</v>
      </c>
      <c r="I760" t="s">
        <v>2245</v>
      </c>
      <c r="J760" t="str">
        <f t="shared" si="90"/>
        <v>Carlos Spence</v>
      </c>
      <c r="K760" t="s">
        <v>13</v>
      </c>
      <c r="L760" t="str">
        <f t="shared" si="91"/>
        <v>Cardiology</v>
      </c>
      <c r="M760" t="s">
        <v>2246</v>
      </c>
      <c r="N760" t="str">
        <f t="shared" si="92"/>
        <v>INR</v>
      </c>
      <c r="O760">
        <f t="shared" si="93"/>
        <v>190.01</v>
      </c>
      <c r="P760" cm="1">
        <f t="array" ref="P760">_xlfn.IFS(N760="USD",O760*1,N760="GBP",O760*1.27,N760="EUR",O760*1.09,N760="INR",O760*0.012,N760="N/A","N/A")</f>
        <v>2.2801200000000001</v>
      </c>
      <c r="Q760" t="s">
        <v>30</v>
      </c>
      <c r="R760" t="str" cm="1">
        <f t="array" ref="R760">_xlfn.IFS(Q760="Y","Yes", Q760="Yes","Yes", Q760="N","No", Q760="No","No", Q760=1,"N/A", Q760=0,"N/A", TRUE,"")</f>
        <v>No</v>
      </c>
      <c r="S760">
        <f t="shared" si="94"/>
        <v>6</v>
      </c>
      <c r="T760">
        <f t="shared" si="95"/>
        <v>1</v>
      </c>
      <c r="U760" t="str" cm="1">
        <f t="array" ref="U760">_xlfn.IFS(D760&lt;40,"Young Adult",AND(D760&gt;=40,D760&lt;65),"Middle Aged", D760&gt;=65,"Elderly")</f>
        <v>Elderly</v>
      </c>
    </row>
    <row r="761" spans="1:21" x14ac:dyDescent="0.2">
      <c r="A761">
        <v>1014</v>
      </c>
      <c r="B761">
        <f t="shared" si="88"/>
        <v>760</v>
      </c>
      <c r="C761" t="s">
        <v>2247</v>
      </c>
      <c r="D761">
        <v>67</v>
      </c>
      <c r="E761" t="s">
        <v>38</v>
      </c>
      <c r="F761" t="str">
        <f t="shared" si="89"/>
        <v>Female</v>
      </c>
      <c r="G761" s="1">
        <v>46107</v>
      </c>
      <c r="H761" s="1">
        <v>46088</v>
      </c>
      <c r="I761" t="s">
        <v>2248</v>
      </c>
      <c r="J761" t="str">
        <f t="shared" si="90"/>
        <v>Victor Warner</v>
      </c>
      <c r="K761" t="s">
        <v>28</v>
      </c>
      <c r="L761" t="str">
        <f t="shared" si="91"/>
        <v>General</v>
      </c>
      <c r="M761" t="s">
        <v>2249</v>
      </c>
      <c r="N761" t="str">
        <f t="shared" si="92"/>
        <v>INR</v>
      </c>
      <c r="O761">
        <f t="shared" si="93"/>
        <v>281.44</v>
      </c>
      <c r="P761" cm="1">
        <f t="array" ref="P761">_xlfn.IFS(N761="USD",O761*1,N761="GBP",O761*1.27,N761="EUR",O761*1.09,N761="INR",O761*0.012,N761="N/A","N/A")</f>
        <v>3.3772799999999998</v>
      </c>
      <c r="Q761" t="s">
        <v>60</v>
      </c>
      <c r="R761" t="str" cm="1">
        <f t="array" ref="R761">_xlfn.IFS(Q761="Y","Yes", Q761="Yes","Yes", Q761="N","No", Q761="No","No", Q761=1,"N/A", Q761=0,"N/A", TRUE,"")</f>
        <v>No</v>
      </c>
      <c r="S761">
        <f t="shared" si="94"/>
        <v>10</v>
      </c>
      <c r="T761">
        <f t="shared" si="95"/>
        <v>1</v>
      </c>
      <c r="U761" t="str" cm="1">
        <f t="array" ref="U761">_xlfn.IFS(D761&lt;40,"Young Adult",AND(D761&gt;=40,D761&lt;65),"Middle Aged", D761&gt;=65,"Elderly")</f>
        <v>Elderly</v>
      </c>
    </row>
    <row r="762" spans="1:21" x14ac:dyDescent="0.2">
      <c r="A762">
        <v>1030</v>
      </c>
      <c r="B762">
        <f t="shared" si="88"/>
        <v>761</v>
      </c>
      <c r="C762" t="s">
        <v>2250</v>
      </c>
      <c r="D762">
        <v>40</v>
      </c>
      <c r="E762" t="s">
        <v>71</v>
      </c>
      <c r="F762" t="str">
        <f t="shared" si="89"/>
        <v>Male</v>
      </c>
      <c r="G762" s="1">
        <v>45994</v>
      </c>
      <c r="H762" s="1">
        <v>45908</v>
      </c>
      <c r="I762" t="s">
        <v>2251</v>
      </c>
      <c r="J762" t="str">
        <f t="shared" si="90"/>
        <v>Luis Nolan</v>
      </c>
      <c r="K762" t="s">
        <v>18</v>
      </c>
      <c r="L762" t="str">
        <f t="shared" si="91"/>
        <v>Orthopedics</v>
      </c>
      <c r="M762" t="s">
        <v>2252</v>
      </c>
      <c r="N762" t="str">
        <f t="shared" si="92"/>
        <v>INR</v>
      </c>
      <c r="O762">
        <f t="shared" si="93"/>
        <v>252.73</v>
      </c>
      <c r="P762" cm="1">
        <f t="array" ref="P762">_xlfn.IFS(N762="USD",O762*1,N762="GBP",O762*1.27,N762="EUR",O762*1.09,N762="INR",O762*0.012,N762="N/A","N/A")</f>
        <v>3.0327600000000001</v>
      </c>
      <c r="Q762" t="s">
        <v>20</v>
      </c>
      <c r="R762" t="str" cm="1">
        <f t="array" ref="R762">_xlfn.IFS(Q762="Y","Yes", Q762="Yes","Yes", Q762="N","No", Q762="No","No", Q762=1,"N/A", Q762=0,"N/A", TRUE,"")</f>
        <v>Yes</v>
      </c>
      <c r="S762">
        <f t="shared" si="94"/>
        <v>11</v>
      </c>
      <c r="T762">
        <f t="shared" si="95"/>
        <v>1</v>
      </c>
      <c r="U762" t="str" cm="1">
        <f t="array" ref="U762">_xlfn.IFS(D762&lt;40,"Young Adult",AND(D762&gt;=40,D762&lt;65),"Middle Aged", D762&gt;=65,"Elderly")</f>
        <v>Middle Aged</v>
      </c>
    </row>
    <row r="763" spans="1:21" x14ac:dyDescent="0.2">
      <c r="A763">
        <v>1081</v>
      </c>
      <c r="B763">
        <f t="shared" si="88"/>
        <v>762</v>
      </c>
      <c r="C763" t="s">
        <v>2253</v>
      </c>
      <c r="D763">
        <v>72</v>
      </c>
      <c r="E763" t="s">
        <v>38</v>
      </c>
      <c r="F763" t="str">
        <f t="shared" si="89"/>
        <v>Female</v>
      </c>
      <c r="G763" s="1">
        <v>45751</v>
      </c>
      <c r="H763" s="1">
        <v>45643</v>
      </c>
      <c r="I763" t="s">
        <v>2254</v>
      </c>
      <c r="J763" t="str">
        <f t="shared" si="90"/>
        <v>Xavier Richardson</v>
      </c>
      <c r="K763" t="s">
        <v>28</v>
      </c>
      <c r="L763" t="str">
        <f t="shared" si="91"/>
        <v>General</v>
      </c>
      <c r="M763" t="s">
        <v>2255</v>
      </c>
      <c r="N763" t="str">
        <f t="shared" si="92"/>
        <v>GBP</v>
      </c>
      <c r="O763">
        <f t="shared" si="93"/>
        <v>397</v>
      </c>
      <c r="P763" cm="1">
        <f t="array" ref="P763">_xlfn.IFS(N763="USD",O763*1,N763="GBP",O763*1.27,N763="EUR",O763*1.09,N763="INR",O763*0.012,N763="N/A","N/A")</f>
        <v>504.19</v>
      </c>
      <c r="Q763" t="s">
        <v>30</v>
      </c>
      <c r="R763" t="str" cm="1">
        <f t="array" ref="R763">_xlfn.IFS(Q763="Y","Yes", Q763="Yes","Yes", Q763="N","No", Q763="No","No", Q763=1,"N/A", Q763=0,"N/A", TRUE,"")</f>
        <v>No</v>
      </c>
      <c r="S763">
        <f t="shared" si="94"/>
        <v>9</v>
      </c>
      <c r="T763">
        <f t="shared" si="95"/>
        <v>1</v>
      </c>
      <c r="U763" t="str" cm="1">
        <f t="array" ref="U763">_xlfn.IFS(D763&lt;40,"Young Adult",AND(D763&gt;=40,D763&lt;65),"Middle Aged", D763&gt;=65,"Elderly")</f>
        <v>Elderly</v>
      </c>
    </row>
    <row r="764" spans="1:21" x14ac:dyDescent="0.2">
      <c r="A764">
        <v>1065</v>
      </c>
      <c r="B764">
        <f t="shared" si="88"/>
        <v>763</v>
      </c>
      <c r="C764" t="s">
        <v>2256</v>
      </c>
      <c r="D764">
        <v>32</v>
      </c>
      <c r="E764" t="s">
        <v>71</v>
      </c>
      <c r="F764" t="str">
        <f t="shared" si="89"/>
        <v>Male</v>
      </c>
      <c r="G764" s="1">
        <v>45790</v>
      </c>
      <c r="H764" s="1">
        <v>45525</v>
      </c>
      <c r="I764" t="s">
        <v>2257</v>
      </c>
      <c r="J764" t="str">
        <f t="shared" si="90"/>
        <v>Brianna Shea</v>
      </c>
      <c r="K764" t="s">
        <v>13</v>
      </c>
      <c r="L764" t="str">
        <f t="shared" si="91"/>
        <v>Cardiology</v>
      </c>
      <c r="M764" t="s">
        <v>2258</v>
      </c>
      <c r="N764" t="str">
        <f t="shared" si="92"/>
        <v>INR</v>
      </c>
      <c r="O764">
        <f t="shared" si="93"/>
        <v>392</v>
      </c>
      <c r="P764" cm="1">
        <f t="array" ref="P764">_xlfn.IFS(N764="USD",O764*1,N764="GBP",O764*1.27,N764="EUR",O764*1.09,N764="INR",O764*0.012,N764="N/A","N/A")</f>
        <v>4.7039999999999997</v>
      </c>
      <c r="Q764">
        <v>1</v>
      </c>
      <c r="R764" t="str" cm="1">
        <f t="array" ref="R764">_xlfn.IFS(Q764="Y","Yes", Q764="Yes","Yes", Q764="N","No", Q764="No","No", Q764=1,"N/A", Q764=0,"N/A", TRUE,"")</f>
        <v>N/A</v>
      </c>
      <c r="S764">
        <f t="shared" si="94"/>
        <v>9</v>
      </c>
      <c r="T764">
        <f t="shared" si="95"/>
        <v>1</v>
      </c>
      <c r="U764" t="str" cm="1">
        <f t="array" ref="U764">_xlfn.IFS(D764&lt;40,"Young Adult",AND(D764&gt;=40,D764&lt;65),"Middle Aged", D764&gt;=65,"Elderly")</f>
        <v>Young Adult</v>
      </c>
    </row>
    <row r="765" spans="1:21" x14ac:dyDescent="0.2">
      <c r="A765">
        <v>1081</v>
      </c>
      <c r="B765">
        <f t="shared" si="88"/>
        <v>764</v>
      </c>
      <c r="C765" t="s">
        <v>2259</v>
      </c>
      <c r="D765">
        <v>65</v>
      </c>
      <c r="E765" t="s">
        <v>16</v>
      </c>
      <c r="F765" t="str">
        <f t="shared" si="89"/>
        <v>Female</v>
      </c>
      <c r="G765" s="1">
        <v>45937</v>
      </c>
      <c r="H765" s="1">
        <v>45635</v>
      </c>
      <c r="I765" t="s">
        <v>2260</v>
      </c>
      <c r="J765" t="str">
        <f t="shared" si="90"/>
        <v>Mark Moore</v>
      </c>
      <c r="K765" t="s">
        <v>18</v>
      </c>
      <c r="L765" t="str">
        <f t="shared" si="91"/>
        <v>Orthopedics</v>
      </c>
      <c r="N765" t="str">
        <f t="shared" si="92"/>
        <v>N/A</v>
      </c>
      <c r="O765" t="str">
        <f t="shared" si="93"/>
        <v/>
      </c>
      <c r="P765" t="str" cm="1">
        <f t="array" ref="P765">_xlfn.IFS(N765="USD",O765*1,N765="GBP",O765*1.27,N765="EUR",O765*1.09,N765="INR",O765*0.012,N765="N/A","N/A")</f>
        <v>N/A</v>
      </c>
      <c r="Q765" t="s">
        <v>30</v>
      </c>
      <c r="R765" t="str" cm="1">
        <f t="array" ref="R765">_xlfn.IFS(Q765="Y","Yes", Q765="Yes","Yes", Q765="N","No", Q765="No","No", Q765=1,"N/A", Q765=0,"N/A", TRUE,"")</f>
        <v>No</v>
      </c>
      <c r="S765">
        <f t="shared" si="94"/>
        <v>9</v>
      </c>
      <c r="T765">
        <f t="shared" si="95"/>
        <v>1</v>
      </c>
      <c r="U765" t="str" cm="1">
        <f t="array" ref="U765">_xlfn.IFS(D765&lt;40,"Young Adult",AND(D765&gt;=40,D765&lt;65),"Middle Aged", D765&gt;=65,"Elderly")</f>
        <v>Elderly</v>
      </c>
    </row>
    <row r="766" spans="1:21" x14ac:dyDescent="0.2">
      <c r="A766">
        <v>1017</v>
      </c>
      <c r="B766">
        <f t="shared" si="88"/>
        <v>765</v>
      </c>
      <c r="C766" t="s">
        <v>2261</v>
      </c>
      <c r="D766">
        <v>82</v>
      </c>
      <c r="E766" t="s">
        <v>38</v>
      </c>
      <c r="F766" t="str">
        <f t="shared" si="89"/>
        <v>Female</v>
      </c>
      <c r="G766" s="1">
        <v>46037</v>
      </c>
      <c r="H766" s="1">
        <v>45862</v>
      </c>
      <c r="I766" t="s">
        <v>2262</v>
      </c>
      <c r="J766" t="str">
        <f t="shared" si="90"/>
        <v>Michael Rogers</v>
      </c>
      <c r="K766" t="s">
        <v>28</v>
      </c>
      <c r="L766" t="str">
        <f t="shared" si="91"/>
        <v>General</v>
      </c>
      <c r="M766" t="s">
        <v>2263</v>
      </c>
      <c r="N766" t="str">
        <f t="shared" si="92"/>
        <v>EUR</v>
      </c>
      <c r="O766">
        <f t="shared" si="93"/>
        <v>156.61000000000001</v>
      </c>
      <c r="P766" cm="1">
        <f t="array" ref="P766">_xlfn.IFS(N766="USD",O766*1,N766="GBP",O766*1.27,N766="EUR",O766*1.09,N766="INR",O766*0.012,N766="N/A","N/A")</f>
        <v>170.70490000000004</v>
      </c>
      <c r="Q766">
        <v>0</v>
      </c>
      <c r="R766" t="str" cm="1">
        <f t="array" ref="R766">_xlfn.IFS(Q766="Y","Yes", Q766="Yes","Yes", Q766="N","No", Q766="No","No", Q766=1,"N/A", Q766=0,"N/A", TRUE,"")</f>
        <v>N/A</v>
      </c>
      <c r="S766">
        <f t="shared" si="94"/>
        <v>8</v>
      </c>
      <c r="T766">
        <f t="shared" si="95"/>
        <v>1</v>
      </c>
      <c r="U766" t="str" cm="1">
        <f t="array" ref="U766">_xlfn.IFS(D766&lt;40,"Young Adult",AND(D766&gt;=40,D766&lt;65),"Middle Aged", D766&gt;=65,"Elderly")</f>
        <v>Elderly</v>
      </c>
    </row>
    <row r="767" spans="1:21" x14ac:dyDescent="0.2">
      <c r="A767">
        <v>1001</v>
      </c>
      <c r="B767">
        <f t="shared" si="88"/>
        <v>766</v>
      </c>
      <c r="C767" t="s">
        <v>2264</v>
      </c>
      <c r="D767">
        <v>61</v>
      </c>
      <c r="E767" t="s">
        <v>71</v>
      </c>
      <c r="F767" t="str">
        <f t="shared" si="89"/>
        <v>Male</v>
      </c>
      <c r="G767" s="1">
        <v>45954</v>
      </c>
      <c r="H767" s="1">
        <v>45890</v>
      </c>
      <c r="I767" t="s">
        <v>2265</v>
      </c>
      <c r="J767" t="str">
        <f t="shared" si="90"/>
        <v>Tina Gonzalez</v>
      </c>
      <c r="K767" t="s">
        <v>18</v>
      </c>
      <c r="L767" t="str">
        <f t="shared" si="91"/>
        <v>Orthopedics</v>
      </c>
      <c r="M767" t="s">
        <v>2266</v>
      </c>
      <c r="N767" t="str">
        <f t="shared" si="92"/>
        <v>INR</v>
      </c>
      <c r="O767">
        <f t="shared" si="93"/>
        <v>81.87</v>
      </c>
      <c r="P767" cm="1">
        <f t="array" ref="P767">_xlfn.IFS(N767="USD",O767*1,N767="GBP",O767*1.27,N767="EUR",O767*1.09,N767="INR",O767*0.012,N767="N/A","N/A")</f>
        <v>0.98244000000000009</v>
      </c>
      <c r="Q767" t="s">
        <v>36</v>
      </c>
      <c r="R767" t="str" cm="1">
        <f t="array" ref="R767">_xlfn.IFS(Q767="Y","Yes", Q767="Yes","Yes", Q767="N","No", Q767="No","No", Q767=1,"N/A", Q767=0,"N/A", TRUE,"")</f>
        <v>Yes</v>
      </c>
      <c r="S767">
        <f t="shared" si="94"/>
        <v>12</v>
      </c>
      <c r="T767">
        <f t="shared" si="95"/>
        <v>1</v>
      </c>
      <c r="U767" t="str" cm="1">
        <f t="array" ref="U767">_xlfn.IFS(D767&lt;40,"Young Adult",AND(D767&gt;=40,D767&lt;65),"Middle Aged", D767&gt;=65,"Elderly")</f>
        <v>Middle Aged</v>
      </c>
    </row>
    <row r="768" spans="1:21" x14ac:dyDescent="0.2">
      <c r="A768">
        <v>1042</v>
      </c>
      <c r="B768">
        <f t="shared" si="88"/>
        <v>767</v>
      </c>
      <c r="C768" t="s">
        <v>2267</v>
      </c>
      <c r="D768">
        <v>75</v>
      </c>
      <c r="E768" t="s">
        <v>51</v>
      </c>
      <c r="F768" t="str">
        <f t="shared" si="89"/>
        <v>Male</v>
      </c>
      <c r="G768" s="1">
        <v>46008</v>
      </c>
      <c r="H768" s="1">
        <v>45557</v>
      </c>
      <c r="I768" t="s">
        <v>2268</v>
      </c>
      <c r="J768" t="str">
        <f t="shared" si="90"/>
        <v>Bethany Mcpherson</v>
      </c>
      <c r="K768" t="s">
        <v>24</v>
      </c>
      <c r="L768" t="str">
        <f t="shared" si="91"/>
        <v>Neurology</v>
      </c>
      <c r="M768" t="s">
        <v>2269</v>
      </c>
      <c r="N768" t="str">
        <f t="shared" si="92"/>
        <v>GBP</v>
      </c>
      <c r="O768">
        <f t="shared" si="93"/>
        <v>438.16</v>
      </c>
      <c r="P768" cm="1">
        <f t="array" ref="P768">_xlfn.IFS(N768="USD",O768*1,N768="GBP",O768*1.27,N768="EUR",O768*1.09,N768="INR",O768*0.012,N768="N/A","N/A")</f>
        <v>556.46320000000003</v>
      </c>
      <c r="Q768">
        <v>0</v>
      </c>
      <c r="R768" t="str" cm="1">
        <f t="array" ref="R768">_xlfn.IFS(Q768="Y","Yes", Q768="Yes","Yes", Q768="N","No", Q768="No","No", Q768=1,"N/A", Q768=0,"N/A", TRUE,"")</f>
        <v>N/A</v>
      </c>
      <c r="S768">
        <f t="shared" si="94"/>
        <v>4</v>
      </c>
      <c r="T768">
        <f t="shared" si="95"/>
        <v>1</v>
      </c>
      <c r="U768" t="str" cm="1">
        <f t="array" ref="U768">_xlfn.IFS(D768&lt;40,"Young Adult",AND(D768&gt;=40,D768&lt;65),"Middle Aged", D768&gt;=65,"Elderly")</f>
        <v>Elderly</v>
      </c>
    </row>
    <row r="769" spans="1:21" x14ac:dyDescent="0.2">
      <c r="A769">
        <v>1015</v>
      </c>
      <c r="B769">
        <f t="shared" si="88"/>
        <v>768</v>
      </c>
      <c r="C769" t="s">
        <v>2270</v>
      </c>
      <c r="D769">
        <v>35</v>
      </c>
      <c r="E769" t="s">
        <v>38</v>
      </c>
      <c r="F769" t="str">
        <f t="shared" si="89"/>
        <v>Female</v>
      </c>
      <c r="G769" s="1">
        <v>45959</v>
      </c>
      <c r="H769" s="1">
        <v>45821</v>
      </c>
      <c r="I769" t="s">
        <v>2271</v>
      </c>
      <c r="J769" t="str">
        <f t="shared" si="90"/>
        <v>Rodney Lopez</v>
      </c>
      <c r="K769" t="s">
        <v>28</v>
      </c>
      <c r="L769" t="str">
        <f t="shared" si="91"/>
        <v>General</v>
      </c>
      <c r="M769" t="s">
        <v>2272</v>
      </c>
      <c r="N769" t="str">
        <f t="shared" si="92"/>
        <v>GBP</v>
      </c>
      <c r="O769">
        <f t="shared" si="93"/>
        <v>447.77</v>
      </c>
      <c r="P769" cm="1">
        <f t="array" ref="P769">_xlfn.IFS(N769="USD",O769*1,N769="GBP",O769*1.27,N769="EUR",O769*1.09,N769="INR",O769*0.012,N769="N/A","N/A")</f>
        <v>568.66790000000003</v>
      </c>
      <c r="Q769">
        <v>0</v>
      </c>
      <c r="R769" t="str" cm="1">
        <f t="array" ref="R769">_xlfn.IFS(Q769="Y","Yes", Q769="Yes","Yes", Q769="N","No", Q769="No","No", Q769=1,"N/A", Q769=0,"N/A", TRUE,"")</f>
        <v>N/A</v>
      </c>
      <c r="S769">
        <f t="shared" si="94"/>
        <v>17</v>
      </c>
      <c r="T769">
        <f t="shared" si="95"/>
        <v>1</v>
      </c>
      <c r="U769" t="str" cm="1">
        <f t="array" ref="U769">_xlfn.IFS(D769&lt;40,"Young Adult",AND(D769&gt;=40,D769&lt;65),"Middle Aged", D769&gt;=65,"Elderly")</f>
        <v>Young Adult</v>
      </c>
    </row>
    <row r="770" spans="1:21" x14ac:dyDescent="0.2">
      <c r="A770">
        <v>1098</v>
      </c>
      <c r="B770">
        <f t="shared" si="88"/>
        <v>769</v>
      </c>
      <c r="C770" t="s">
        <v>2273</v>
      </c>
      <c r="D770">
        <v>66</v>
      </c>
      <c r="E770" t="s">
        <v>16</v>
      </c>
      <c r="F770" t="str">
        <f t="shared" si="89"/>
        <v>Female</v>
      </c>
      <c r="G770" s="1">
        <v>45794</v>
      </c>
      <c r="H770" s="1">
        <v>45533</v>
      </c>
      <c r="I770" t="s">
        <v>2274</v>
      </c>
      <c r="J770" t="str">
        <f t="shared" si="90"/>
        <v>Jacob Patel</v>
      </c>
      <c r="K770" t="s">
        <v>24</v>
      </c>
      <c r="L770" t="str">
        <f t="shared" si="91"/>
        <v>Neurology</v>
      </c>
      <c r="M770" t="s">
        <v>2275</v>
      </c>
      <c r="N770" t="str">
        <f t="shared" si="92"/>
        <v>USD</v>
      </c>
      <c r="O770">
        <f t="shared" si="93"/>
        <v>139.99</v>
      </c>
      <c r="P770" cm="1">
        <f t="array" ref="P770">_xlfn.IFS(N770="USD",O770*1,N770="GBP",O770*1.27,N770="EUR",O770*1.09,N770="INR",O770*0.012,N770="N/A","N/A")</f>
        <v>139.99</v>
      </c>
      <c r="Q770" t="s">
        <v>60</v>
      </c>
      <c r="R770" t="str" cm="1">
        <f t="array" ref="R770">_xlfn.IFS(Q770="Y","Yes", Q770="Yes","Yes", Q770="N","No", Q770="No","No", Q770=1,"N/A", Q770=0,"N/A", TRUE,"")</f>
        <v>No</v>
      </c>
      <c r="S770">
        <f t="shared" si="94"/>
        <v>12</v>
      </c>
      <c r="T770">
        <f t="shared" si="95"/>
        <v>1</v>
      </c>
      <c r="U770" t="str" cm="1">
        <f t="array" ref="U770">_xlfn.IFS(D770&lt;40,"Young Adult",AND(D770&gt;=40,D770&lt;65),"Middle Aged", D770&gt;=65,"Elderly")</f>
        <v>Elderly</v>
      </c>
    </row>
    <row r="771" spans="1:21" x14ac:dyDescent="0.2">
      <c r="A771">
        <v>1099</v>
      </c>
      <c r="B771">
        <f t="shared" ref="B771:B834" si="96">ROW()-1</f>
        <v>770</v>
      </c>
      <c r="C771" t="s">
        <v>646</v>
      </c>
      <c r="D771">
        <v>42</v>
      </c>
      <c r="E771" t="s">
        <v>71</v>
      </c>
      <c r="F771" t="str">
        <f t="shared" ref="F771:F834" si="97">IF(E771="male","Male",IF(E771="female","Female",IF(E771="F","Female",IF(E771="M","Male",IF(E771="N/A","N/A")))))</f>
        <v>Male</v>
      </c>
      <c r="G771" s="1">
        <v>45868</v>
      </c>
      <c r="H771" s="1">
        <v>45725</v>
      </c>
      <c r="I771" t="s">
        <v>2276</v>
      </c>
      <c r="J771" t="str">
        <f t="shared" ref="J771:J834" si="98">PROPER(I771)</f>
        <v>Jamie Andrews</v>
      </c>
      <c r="K771" t="s">
        <v>13</v>
      </c>
      <c r="L771" t="str">
        <f t="shared" ref="L771:L834" si="99">PROPER(K771)</f>
        <v>Cardiology</v>
      </c>
      <c r="M771" t="s">
        <v>2277</v>
      </c>
      <c r="N771" t="str">
        <f t="shared" ref="N771:N834" si="100">IF(LEFT(M771,1)="$","USD",IF(LEFT(M771,2)="Rs","INR",IF(LEFT(M771,2)="¬£","GBP",IF(LEFT(M771,3)="‚Ç¨","EUR","N/A"))))</f>
        <v>GBP</v>
      </c>
      <c r="O771">
        <f t="shared" ref="O771:O834" si="101">IFERROR(VALUE(SUBSTITUTE(SUBSTITUTE(SUBSTITUTE(SUBSTITUTE(M771,"$",""), "Rs",""),"¬£",""),"‚Ç¨","")), "")</f>
        <v>393.1</v>
      </c>
      <c r="P771" cm="1">
        <f t="array" ref="P771">_xlfn.IFS(N771="USD",O771*1,N771="GBP",O771*1.27,N771="EUR",O771*1.09,N771="INR",O771*0.012,N771="N/A","N/A")</f>
        <v>499.23700000000002</v>
      </c>
      <c r="Q771">
        <v>1</v>
      </c>
      <c r="R771" t="str" cm="1">
        <f t="array" ref="R771">_xlfn.IFS(Q771="Y","Yes", Q771="Yes","Yes", Q771="N","No", Q771="No","No", Q771=1,"N/A", Q771=0,"N/A", TRUE,"")</f>
        <v>N/A</v>
      </c>
      <c r="S771">
        <f t="shared" ref="S771:S834" si="102">COUNTIF($A$2:$A$1001, A771)</f>
        <v>7</v>
      </c>
      <c r="T771">
        <f t="shared" ref="T771:T834" si="103">COUNTIFS($A$2:$A$1001, A771, $C$2:$C$1001, C771)</f>
        <v>1</v>
      </c>
      <c r="U771" t="str" cm="1">
        <f t="array" ref="U771">_xlfn.IFS(D771&lt;40,"Young Adult",AND(D771&gt;=40,D771&lt;65),"Middle Aged", D771&gt;=65,"Elderly")</f>
        <v>Middle Aged</v>
      </c>
    </row>
    <row r="772" spans="1:21" x14ac:dyDescent="0.2">
      <c r="A772">
        <v>1032</v>
      </c>
      <c r="B772">
        <f t="shared" si="96"/>
        <v>771</v>
      </c>
      <c r="C772" t="s">
        <v>2278</v>
      </c>
      <c r="D772">
        <v>19</v>
      </c>
      <c r="E772" t="s">
        <v>2937</v>
      </c>
      <c r="F772" t="str">
        <f t="shared" si="97"/>
        <v>N/A</v>
      </c>
      <c r="G772" s="1">
        <v>45907</v>
      </c>
      <c r="H772" s="1">
        <v>45442</v>
      </c>
      <c r="I772" t="s">
        <v>2279</v>
      </c>
      <c r="J772" t="str">
        <f t="shared" si="98"/>
        <v>Scott Washington</v>
      </c>
      <c r="K772" t="s">
        <v>13</v>
      </c>
      <c r="L772" t="str">
        <f t="shared" si="99"/>
        <v>Cardiology</v>
      </c>
      <c r="M772" t="s">
        <v>2280</v>
      </c>
      <c r="N772" t="str">
        <f t="shared" si="100"/>
        <v>GBP</v>
      </c>
      <c r="O772">
        <f t="shared" si="101"/>
        <v>248.78</v>
      </c>
      <c r="P772" cm="1">
        <f t="array" ref="P772">_xlfn.IFS(N772="USD",O772*1,N772="GBP",O772*1.27,N772="EUR",O772*1.09,N772="INR",O772*0.012,N772="N/A","N/A")</f>
        <v>315.95060000000001</v>
      </c>
      <c r="Q772">
        <v>1</v>
      </c>
      <c r="R772" t="str" cm="1">
        <f t="array" ref="R772">_xlfn.IFS(Q772="Y","Yes", Q772="Yes","Yes", Q772="N","No", Q772="No","No", Q772=1,"N/A", Q772=0,"N/A", TRUE,"")</f>
        <v>N/A</v>
      </c>
      <c r="S772">
        <f t="shared" si="102"/>
        <v>7</v>
      </c>
      <c r="T772">
        <f t="shared" si="103"/>
        <v>1</v>
      </c>
      <c r="U772" t="str" cm="1">
        <f t="array" ref="U772">_xlfn.IFS(D772&lt;40,"Young Adult",AND(D772&gt;=40,D772&lt;65),"Middle Aged", D772&gt;=65,"Elderly")</f>
        <v>Young Adult</v>
      </c>
    </row>
    <row r="773" spans="1:21" x14ac:dyDescent="0.2">
      <c r="A773">
        <v>1034</v>
      </c>
      <c r="B773">
        <f t="shared" si="96"/>
        <v>772</v>
      </c>
      <c r="C773" t="s">
        <v>2281</v>
      </c>
      <c r="D773">
        <v>41</v>
      </c>
      <c r="E773" t="s">
        <v>22</v>
      </c>
      <c r="F773" t="str">
        <f t="shared" si="97"/>
        <v>Male</v>
      </c>
      <c r="G773" s="1">
        <v>46056</v>
      </c>
      <c r="H773" s="1">
        <v>45934</v>
      </c>
      <c r="I773" t="s">
        <v>2282</v>
      </c>
      <c r="J773" t="str">
        <f t="shared" si="98"/>
        <v>Stacy Hartman</v>
      </c>
      <c r="K773" t="s">
        <v>13</v>
      </c>
      <c r="L773" t="str">
        <f t="shared" si="99"/>
        <v>Cardiology</v>
      </c>
      <c r="M773" t="s">
        <v>2283</v>
      </c>
      <c r="N773" t="str">
        <f t="shared" si="100"/>
        <v>GBP</v>
      </c>
      <c r="O773">
        <f t="shared" si="101"/>
        <v>453.09</v>
      </c>
      <c r="P773" cm="1">
        <f t="array" ref="P773">_xlfn.IFS(N773="USD",O773*1,N773="GBP",O773*1.27,N773="EUR",O773*1.09,N773="INR",O773*0.012,N773="N/A","N/A")</f>
        <v>575.42430000000002</v>
      </c>
      <c r="Q773" t="s">
        <v>36</v>
      </c>
      <c r="R773" t="str" cm="1">
        <f t="array" ref="R773">_xlfn.IFS(Q773="Y","Yes", Q773="Yes","Yes", Q773="N","No", Q773="No","No", Q773=1,"N/A", Q773=0,"N/A", TRUE,"")</f>
        <v>Yes</v>
      </c>
      <c r="S773">
        <f t="shared" si="102"/>
        <v>8</v>
      </c>
      <c r="T773">
        <f t="shared" si="103"/>
        <v>1</v>
      </c>
      <c r="U773" t="str" cm="1">
        <f t="array" ref="U773">_xlfn.IFS(D773&lt;40,"Young Adult",AND(D773&gt;=40,D773&lt;65),"Middle Aged", D773&gt;=65,"Elderly")</f>
        <v>Middle Aged</v>
      </c>
    </row>
    <row r="774" spans="1:21" x14ac:dyDescent="0.2">
      <c r="A774">
        <v>1005</v>
      </c>
      <c r="B774">
        <f t="shared" si="96"/>
        <v>773</v>
      </c>
      <c r="C774" t="s">
        <v>1822</v>
      </c>
      <c r="D774">
        <v>27</v>
      </c>
      <c r="E774" t="s">
        <v>38</v>
      </c>
      <c r="F774" t="str">
        <f t="shared" si="97"/>
        <v>Female</v>
      </c>
      <c r="G774" s="1">
        <v>45984</v>
      </c>
      <c r="H774" s="1">
        <v>45394</v>
      </c>
      <c r="I774" t="s">
        <v>2284</v>
      </c>
      <c r="J774" t="str">
        <f t="shared" si="98"/>
        <v>Kevin Fields</v>
      </c>
      <c r="K774" t="s">
        <v>28</v>
      </c>
      <c r="L774" t="str">
        <f t="shared" si="99"/>
        <v>General</v>
      </c>
      <c r="M774" t="s">
        <v>2285</v>
      </c>
      <c r="N774" t="str">
        <f t="shared" si="100"/>
        <v>EUR</v>
      </c>
      <c r="O774">
        <f t="shared" si="101"/>
        <v>57.05</v>
      </c>
      <c r="P774" cm="1">
        <f t="array" ref="P774">_xlfn.IFS(N774="USD",O774*1,N774="GBP",O774*1.27,N774="EUR",O774*1.09,N774="INR",O774*0.012,N774="N/A","N/A")</f>
        <v>62.1845</v>
      </c>
      <c r="Q774">
        <v>1</v>
      </c>
      <c r="R774" t="str" cm="1">
        <f t="array" ref="R774">_xlfn.IFS(Q774="Y","Yes", Q774="Yes","Yes", Q774="N","No", Q774="No","No", Q774=1,"N/A", Q774=0,"N/A", TRUE,"")</f>
        <v>N/A</v>
      </c>
      <c r="S774">
        <f t="shared" si="102"/>
        <v>13</v>
      </c>
      <c r="T774">
        <f t="shared" si="103"/>
        <v>1</v>
      </c>
      <c r="U774" t="str" cm="1">
        <f t="array" ref="U774">_xlfn.IFS(D774&lt;40,"Young Adult",AND(D774&gt;=40,D774&lt;65),"Middle Aged", D774&gt;=65,"Elderly")</f>
        <v>Young Adult</v>
      </c>
    </row>
    <row r="775" spans="1:21" x14ac:dyDescent="0.2">
      <c r="A775">
        <v>1050</v>
      </c>
      <c r="B775">
        <f t="shared" si="96"/>
        <v>774</v>
      </c>
      <c r="C775" t="s">
        <v>2286</v>
      </c>
      <c r="D775">
        <v>21</v>
      </c>
      <c r="E775" t="s">
        <v>2937</v>
      </c>
      <c r="F775" t="str">
        <f t="shared" si="97"/>
        <v>N/A</v>
      </c>
      <c r="G775" s="1">
        <v>45853</v>
      </c>
      <c r="H775" s="1">
        <v>45496</v>
      </c>
      <c r="I775" t="s">
        <v>2287</v>
      </c>
      <c r="J775" t="str">
        <f t="shared" si="98"/>
        <v>Debra Buchanan</v>
      </c>
      <c r="K775" t="s">
        <v>24</v>
      </c>
      <c r="L775" t="str">
        <f t="shared" si="99"/>
        <v>Neurology</v>
      </c>
      <c r="M775" t="s">
        <v>2288</v>
      </c>
      <c r="N775" t="str">
        <f t="shared" si="100"/>
        <v>GBP</v>
      </c>
      <c r="O775">
        <f t="shared" si="101"/>
        <v>386.04</v>
      </c>
      <c r="P775" cm="1">
        <f t="array" ref="P775">_xlfn.IFS(N775="USD",O775*1,N775="GBP",O775*1.27,N775="EUR",O775*1.09,N775="INR",O775*0.012,N775="N/A","N/A")</f>
        <v>490.27080000000001</v>
      </c>
      <c r="Q775">
        <v>0</v>
      </c>
      <c r="R775" t="str" cm="1">
        <f t="array" ref="R775">_xlfn.IFS(Q775="Y","Yes", Q775="Yes","Yes", Q775="N","No", Q775="No","No", Q775=1,"N/A", Q775=0,"N/A", TRUE,"")</f>
        <v>N/A</v>
      </c>
      <c r="S775">
        <f t="shared" si="102"/>
        <v>12</v>
      </c>
      <c r="T775">
        <f t="shared" si="103"/>
        <v>1</v>
      </c>
      <c r="U775" t="str" cm="1">
        <f t="array" ref="U775">_xlfn.IFS(D775&lt;40,"Young Adult",AND(D775&gt;=40,D775&lt;65),"Middle Aged", D775&gt;=65,"Elderly")</f>
        <v>Young Adult</v>
      </c>
    </row>
    <row r="776" spans="1:21" x14ac:dyDescent="0.2">
      <c r="A776">
        <v>1069</v>
      </c>
      <c r="B776">
        <f t="shared" si="96"/>
        <v>775</v>
      </c>
      <c r="C776" t="s">
        <v>2289</v>
      </c>
      <c r="D776">
        <v>20</v>
      </c>
      <c r="E776" t="s">
        <v>2937</v>
      </c>
      <c r="F776" t="str">
        <f t="shared" si="97"/>
        <v>N/A</v>
      </c>
      <c r="G776" s="1">
        <v>45778</v>
      </c>
      <c r="H776" s="1">
        <v>45775</v>
      </c>
      <c r="I776" t="s">
        <v>2290</v>
      </c>
      <c r="J776" t="str">
        <f t="shared" si="98"/>
        <v>Bob Shaw</v>
      </c>
      <c r="K776" t="s">
        <v>18</v>
      </c>
      <c r="L776" t="str">
        <f t="shared" si="99"/>
        <v>Orthopedics</v>
      </c>
      <c r="M776" t="s">
        <v>2291</v>
      </c>
      <c r="N776" t="str">
        <f t="shared" si="100"/>
        <v>GBP</v>
      </c>
      <c r="O776">
        <f t="shared" si="101"/>
        <v>204.82</v>
      </c>
      <c r="P776" cm="1">
        <f t="array" ref="P776">_xlfn.IFS(N776="USD",O776*1,N776="GBP",O776*1.27,N776="EUR",O776*1.09,N776="INR",O776*0.012,N776="N/A","N/A")</f>
        <v>260.12139999999999</v>
      </c>
      <c r="Q776" t="s">
        <v>60</v>
      </c>
      <c r="R776" t="str" cm="1">
        <f t="array" ref="R776">_xlfn.IFS(Q776="Y","Yes", Q776="Yes","Yes", Q776="N","No", Q776="No","No", Q776=1,"N/A", Q776=0,"N/A", TRUE,"")</f>
        <v>No</v>
      </c>
      <c r="S776">
        <f t="shared" si="102"/>
        <v>10</v>
      </c>
      <c r="T776">
        <f t="shared" si="103"/>
        <v>1</v>
      </c>
      <c r="U776" t="str" cm="1">
        <f t="array" ref="U776">_xlfn.IFS(D776&lt;40,"Young Adult",AND(D776&gt;=40,D776&lt;65),"Middle Aged", D776&gt;=65,"Elderly")</f>
        <v>Young Adult</v>
      </c>
    </row>
    <row r="777" spans="1:21" x14ac:dyDescent="0.2">
      <c r="A777">
        <v>1001</v>
      </c>
      <c r="B777">
        <f t="shared" si="96"/>
        <v>776</v>
      </c>
      <c r="C777" t="s">
        <v>2292</v>
      </c>
      <c r="D777">
        <v>84</v>
      </c>
      <c r="E777" t="s">
        <v>51</v>
      </c>
      <c r="F777" t="str">
        <f t="shared" si="97"/>
        <v>Male</v>
      </c>
      <c r="G777" s="1">
        <v>46065</v>
      </c>
      <c r="H777" s="1">
        <v>45464</v>
      </c>
      <c r="I777" t="s">
        <v>2293</v>
      </c>
      <c r="J777" t="str">
        <f t="shared" si="98"/>
        <v>Erin Carr</v>
      </c>
      <c r="K777" t="s">
        <v>13</v>
      </c>
      <c r="L777" t="str">
        <f t="shared" si="99"/>
        <v>Cardiology</v>
      </c>
      <c r="M777" t="s">
        <v>2294</v>
      </c>
      <c r="N777" t="str">
        <f t="shared" si="100"/>
        <v>EUR</v>
      </c>
      <c r="O777">
        <f t="shared" si="101"/>
        <v>239.93</v>
      </c>
      <c r="P777" cm="1">
        <f t="array" ref="P777">_xlfn.IFS(N777="USD",O777*1,N777="GBP",O777*1.27,N777="EUR",O777*1.09,N777="INR",O777*0.012,N777="N/A","N/A")</f>
        <v>261.52370000000002</v>
      </c>
      <c r="Q777" t="s">
        <v>30</v>
      </c>
      <c r="R777" t="str" cm="1">
        <f t="array" ref="R777">_xlfn.IFS(Q777="Y","Yes", Q777="Yes","Yes", Q777="N","No", Q777="No","No", Q777=1,"N/A", Q777=0,"N/A", TRUE,"")</f>
        <v>No</v>
      </c>
      <c r="S777">
        <f t="shared" si="102"/>
        <v>12</v>
      </c>
      <c r="T777">
        <f t="shared" si="103"/>
        <v>1</v>
      </c>
      <c r="U777" t="str" cm="1">
        <f t="array" ref="U777">_xlfn.IFS(D777&lt;40,"Young Adult",AND(D777&gt;=40,D777&lt;65),"Middle Aged", D777&gt;=65,"Elderly")</f>
        <v>Elderly</v>
      </c>
    </row>
    <row r="778" spans="1:21" x14ac:dyDescent="0.2">
      <c r="A778">
        <v>1066</v>
      </c>
      <c r="B778">
        <f t="shared" si="96"/>
        <v>777</v>
      </c>
      <c r="C778" t="s">
        <v>2295</v>
      </c>
      <c r="D778">
        <v>74</v>
      </c>
      <c r="E778" t="s">
        <v>38</v>
      </c>
      <c r="F778" t="str">
        <f t="shared" si="97"/>
        <v>Female</v>
      </c>
      <c r="G778" s="1">
        <v>45800</v>
      </c>
      <c r="H778" s="1">
        <v>45652</v>
      </c>
      <c r="I778" t="s">
        <v>2296</v>
      </c>
      <c r="J778" t="str">
        <f t="shared" si="98"/>
        <v>Jon Duarte</v>
      </c>
      <c r="K778" t="s">
        <v>18</v>
      </c>
      <c r="L778" t="str">
        <f t="shared" si="99"/>
        <v>Orthopedics</v>
      </c>
      <c r="M778" t="s">
        <v>2297</v>
      </c>
      <c r="N778" t="str">
        <f t="shared" si="100"/>
        <v>INR</v>
      </c>
      <c r="O778">
        <f t="shared" si="101"/>
        <v>486.07</v>
      </c>
      <c r="P778" cm="1">
        <f t="array" ref="P778">_xlfn.IFS(N778="USD",O778*1,N778="GBP",O778*1.27,N778="EUR",O778*1.09,N778="INR",O778*0.012,N778="N/A","N/A")</f>
        <v>5.83284</v>
      </c>
      <c r="Q778" t="s">
        <v>20</v>
      </c>
      <c r="R778" t="str" cm="1">
        <f t="array" ref="R778">_xlfn.IFS(Q778="Y","Yes", Q778="Yes","Yes", Q778="N","No", Q778="No","No", Q778=1,"N/A", Q778=0,"N/A", TRUE,"")</f>
        <v>Yes</v>
      </c>
      <c r="S778">
        <f t="shared" si="102"/>
        <v>11</v>
      </c>
      <c r="T778">
        <f t="shared" si="103"/>
        <v>1</v>
      </c>
      <c r="U778" t="str" cm="1">
        <f t="array" ref="U778">_xlfn.IFS(D778&lt;40,"Young Adult",AND(D778&gt;=40,D778&lt;65),"Middle Aged", D778&gt;=65,"Elderly")</f>
        <v>Elderly</v>
      </c>
    </row>
    <row r="779" spans="1:21" x14ac:dyDescent="0.2">
      <c r="A779">
        <v>1018</v>
      </c>
      <c r="B779">
        <f t="shared" si="96"/>
        <v>778</v>
      </c>
      <c r="C779" t="s">
        <v>2298</v>
      </c>
      <c r="D779">
        <v>70</v>
      </c>
      <c r="E779" t="s">
        <v>38</v>
      </c>
      <c r="F779" t="str">
        <f t="shared" si="97"/>
        <v>Female</v>
      </c>
      <c r="G779" s="1">
        <v>45778</v>
      </c>
      <c r="H779" s="1">
        <v>45552</v>
      </c>
      <c r="I779" t="s">
        <v>2299</v>
      </c>
      <c r="J779" t="str">
        <f t="shared" si="98"/>
        <v>Willie Rose</v>
      </c>
      <c r="K779" t="s">
        <v>13</v>
      </c>
      <c r="L779" t="str">
        <f t="shared" si="99"/>
        <v>Cardiology</v>
      </c>
      <c r="M779" t="s">
        <v>2300</v>
      </c>
      <c r="N779" t="str">
        <f t="shared" si="100"/>
        <v>EUR</v>
      </c>
      <c r="O779">
        <f t="shared" si="101"/>
        <v>73.349999999999994</v>
      </c>
      <c r="P779" cm="1">
        <f t="array" ref="P779">_xlfn.IFS(N779="USD",O779*1,N779="GBP",O779*1.27,N779="EUR",O779*1.09,N779="INR",O779*0.012,N779="N/A","N/A")</f>
        <v>79.951499999999996</v>
      </c>
      <c r="Q779">
        <v>1</v>
      </c>
      <c r="R779" t="str" cm="1">
        <f t="array" ref="R779">_xlfn.IFS(Q779="Y","Yes", Q779="Yes","Yes", Q779="N","No", Q779="No","No", Q779=1,"N/A", Q779=0,"N/A", TRUE,"")</f>
        <v>N/A</v>
      </c>
      <c r="S779">
        <f t="shared" si="102"/>
        <v>14</v>
      </c>
      <c r="T779">
        <f t="shared" si="103"/>
        <v>1</v>
      </c>
      <c r="U779" t="str" cm="1">
        <f t="array" ref="U779">_xlfn.IFS(D779&lt;40,"Young Adult",AND(D779&gt;=40,D779&lt;65),"Middle Aged", D779&gt;=65,"Elderly")</f>
        <v>Elderly</v>
      </c>
    </row>
    <row r="780" spans="1:21" x14ac:dyDescent="0.2">
      <c r="A780">
        <v>1033</v>
      </c>
      <c r="B780">
        <f t="shared" si="96"/>
        <v>779</v>
      </c>
      <c r="C780" t="s">
        <v>2301</v>
      </c>
      <c r="D780">
        <v>75</v>
      </c>
      <c r="E780" t="s">
        <v>38</v>
      </c>
      <c r="F780" t="str">
        <f t="shared" si="97"/>
        <v>Female</v>
      </c>
      <c r="G780" s="1">
        <v>46075</v>
      </c>
      <c r="H780" s="1">
        <v>45713</v>
      </c>
      <c r="I780" t="s">
        <v>2302</v>
      </c>
      <c r="J780" t="str">
        <f t="shared" si="98"/>
        <v>Ashley Edwards</v>
      </c>
      <c r="K780" t="s">
        <v>28</v>
      </c>
      <c r="L780" t="str">
        <f t="shared" si="99"/>
        <v>General</v>
      </c>
      <c r="M780" t="s">
        <v>2303</v>
      </c>
      <c r="N780" t="str">
        <f t="shared" si="100"/>
        <v>GBP</v>
      </c>
      <c r="O780">
        <f t="shared" si="101"/>
        <v>144.78</v>
      </c>
      <c r="P780" cm="1">
        <f t="array" ref="P780">_xlfn.IFS(N780="USD",O780*1,N780="GBP",O780*1.27,N780="EUR",O780*1.09,N780="INR",O780*0.012,N780="N/A","N/A")</f>
        <v>183.8706</v>
      </c>
      <c r="Q780" t="s">
        <v>36</v>
      </c>
      <c r="R780" t="str" cm="1">
        <f t="array" ref="R780">_xlfn.IFS(Q780="Y","Yes", Q780="Yes","Yes", Q780="N","No", Q780="No","No", Q780=1,"N/A", Q780=0,"N/A", TRUE,"")</f>
        <v>Yes</v>
      </c>
      <c r="S780">
        <f t="shared" si="102"/>
        <v>11</v>
      </c>
      <c r="T780">
        <f t="shared" si="103"/>
        <v>1</v>
      </c>
      <c r="U780" t="str" cm="1">
        <f t="array" ref="U780">_xlfn.IFS(D780&lt;40,"Young Adult",AND(D780&gt;=40,D780&lt;65),"Middle Aged", D780&gt;=65,"Elderly")</f>
        <v>Elderly</v>
      </c>
    </row>
    <row r="781" spans="1:21" x14ac:dyDescent="0.2">
      <c r="A781">
        <v>1094</v>
      </c>
      <c r="B781">
        <f t="shared" si="96"/>
        <v>780</v>
      </c>
      <c r="C781" t="s">
        <v>2304</v>
      </c>
      <c r="D781">
        <v>87</v>
      </c>
      <c r="E781" t="s">
        <v>71</v>
      </c>
      <c r="F781" t="str">
        <f t="shared" si="97"/>
        <v>Male</v>
      </c>
      <c r="G781" s="1">
        <v>45952</v>
      </c>
      <c r="H781" s="1">
        <v>45716</v>
      </c>
      <c r="I781" t="s">
        <v>2305</v>
      </c>
      <c r="J781" t="str">
        <f t="shared" si="98"/>
        <v>Emily Joseph</v>
      </c>
      <c r="K781" t="s">
        <v>13</v>
      </c>
      <c r="L781" t="str">
        <f t="shared" si="99"/>
        <v>Cardiology</v>
      </c>
      <c r="M781" t="s">
        <v>2306</v>
      </c>
      <c r="N781" t="str">
        <f t="shared" si="100"/>
        <v>EUR</v>
      </c>
      <c r="O781">
        <f t="shared" si="101"/>
        <v>92.16</v>
      </c>
      <c r="P781" cm="1">
        <f t="array" ref="P781">_xlfn.IFS(N781="USD",O781*1,N781="GBP",O781*1.27,N781="EUR",O781*1.09,N781="INR",O781*0.012,N781="N/A","N/A")</f>
        <v>100.45440000000001</v>
      </c>
      <c r="Q781">
        <v>1</v>
      </c>
      <c r="R781" t="str" cm="1">
        <f t="array" ref="R781">_xlfn.IFS(Q781="Y","Yes", Q781="Yes","Yes", Q781="N","No", Q781="No","No", Q781=1,"N/A", Q781=0,"N/A", TRUE,"")</f>
        <v>N/A</v>
      </c>
      <c r="S781">
        <f t="shared" si="102"/>
        <v>8</v>
      </c>
      <c r="T781">
        <f t="shared" si="103"/>
        <v>1</v>
      </c>
      <c r="U781" t="str" cm="1">
        <f t="array" ref="U781">_xlfn.IFS(D781&lt;40,"Young Adult",AND(D781&gt;=40,D781&lt;65),"Middle Aged", D781&gt;=65,"Elderly")</f>
        <v>Elderly</v>
      </c>
    </row>
    <row r="782" spans="1:21" x14ac:dyDescent="0.2">
      <c r="A782">
        <v>1078</v>
      </c>
      <c r="B782">
        <f t="shared" si="96"/>
        <v>781</v>
      </c>
      <c r="C782" t="s">
        <v>2307</v>
      </c>
      <c r="D782">
        <v>52</v>
      </c>
      <c r="E782" t="s">
        <v>38</v>
      </c>
      <c r="F782" t="str">
        <f t="shared" si="97"/>
        <v>Female</v>
      </c>
      <c r="G782" s="1">
        <v>45985</v>
      </c>
      <c r="H782" s="1">
        <v>45422</v>
      </c>
      <c r="I782" t="s">
        <v>2308</v>
      </c>
      <c r="J782" t="str">
        <f t="shared" si="98"/>
        <v>Kerry Rowe</v>
      </c>
      <c r="K782" t="s">
        <v>13</v>
      </c>
      <c r="L782" t="str">
        <f t="shared" si="99"/>
        <v>Cardiology</v>
      </c>
      <c r="M782" t="s">
        <v>2309</v>
      </c>
      <c r="N782" t="str">
        <f t="shared" si="100"/>
        <v>INR</v>
      </c>
      <c r="O782">
        <f t="shared" si="101"/>
        <v>164.9</v>
      </c>
      <c r="P782" cm="1">
        <f t="array" ref="P782">_xlfn.IFS(N782="USD",O782*1,N782="GBP",O782*1.27,N782="EUR",O782*1.09,N782="INR",O782*0.012,N782="N/A","N/A")</f>
        <v>1.9788000000000001</v>
      </c>
      <c r="Q782" t="s">
        <v>60</v>
      </c>
      <c r="R782" t="str" cm="1">
        <f t="array" ref="R782">_xlfn.IFS(Q782="Y","Yes", Q782="Yes","Yes", Q782="N","No", Q782="No","No", Q782=1,"N/A", Q782=0,"N/A", TRUE,"")</f>
        <v>No</v>
      </c>
      <c r="S782">
        <f t="shared" si="102"/>
        <v>8</v>
      </c>
      <c r="T782">
        <f t="shared" si="103"/>
        <v>1</v>
      </c>
      <c r="U782" t="str" cm="1">
        <f t="array" ref="U782">_xlfn.IFS(D782&lt;40,"Young Adult",AND(D782&gt;=40,D782&lt;65),"Middle Aged", D782&gt;=65,"Elderly")</f>
        <v>Middle Aged</v>
      </c>
    </row>
    <row r="783" spans="1:21" x14ac:dyDescent="0.2">
      <c r="A783">
        <v>1072</v>
      </c>
      <c r="B783">
        <f t="shared" si="96"/>
        <v>782</v>
      </c>
      <c r="C783" t="s">
        <v>2310</v>
      </c>
      <c r="D783">
        <v>86</v>
      </c>
      <c r="E783" t="s">
        <v>38</v>
      </c>
      <c r="F783" t="str">
        <f t="shared" si="97"/>
        <v>Female</v>
      </c>
      <c r="G783" s="1">
        <v>45842</v>
      </c>
      <c r="H783" s="1">
        <v>45676</v>
      </c>
      <c r="I783" t="s">
        <v>2311</v>
      </c>
      <c r="J783" t="str">
        <f t="shared" si="98"/>
        <v>Darrell Mendez</v>
      </c>
      <c r="K783" t="s">
        <v>18</v>
      </c>
      <c r="L783" t="str">
        <f t="shared" si="99"/>
        <v>Orthopedics</v>
      </c>
      <c r="M783" t="s">
        <v>2312</v>
      </c>
      <c r="N783" t="str">
        <f t="shared" si="100"/>
        <v>USD</v>
      </c>
      <c r="O783">
        <f t="shared" si="101"/>
        <v>74.84</v>
      </c>
      <c r="P783" cm="1">
        <f t="array" ref="P783">_xlfn.IFS(N783="USD",O783*1,N783="GBP",O783*1.27,N783="EUR",O783*1.09,N783="INR",O783*0.012,N783="N/A","N/A")</f>
        <v>74.84</v>
      </c>
      <c r="Q783" t="s">
        <v>20</v>
      </c>
      <c r="R783" t="str" cm="1">
        <f t="array" ref="R783">_xlfn.IFS(Q783="Y","Yes", Q783="Yes","Yes", Q783="N","No", Q783="No","No", Q783=1,"N/A", Q783=0,"N/A", TRUE,"")</f>
        <v>Yes</v>
      </c>
      <c r="S783">
        <f t="shared" si="102"/>
        <v>9</v>
      </c>
      <c r="T783">
        <f t="shared" si="103"/>
        <v>1</v>
      </c>
      <c r="U783" t="str" cm="1">
        <f t="array" ref="U783">_xlfn.IFS(D783&lt;40,"Young Adult",AND(D783&gt;=40,D783&lt;65),"Middle Aged", D783&gt;=65,"Elderly")</f>
        <v>Elderly</v>
      </c>
    </row>
    <row r="784" spans="1:21" x14ac:dyDescent="0.2">
      <c r="A784">
        <v>1011</v>
      </c>
      <c r="B784">
        <f t="shared" si="96"/>
        <v>783</v>
      </c>
      <c r="C784" t="s">
        <v>2313</v>
      </c>
      <c r="D784">
        <v>65</v>
      </c>
      <c r="E784" t="s">
        <v>38</v>
      </c>
      <c r="F784" t="str">
        <f t="shared" si="97"/>
        <v>Female</v>
      </c>
      <c r="G784" s="1">
        <v>45923</v>
      </c>
      <c r="H784" s="1">
        <v>45383</v>
      </c>
      <c r="I784" t="s">
        <v>31</v>
      </c>
      <c r="J784" t="str">
        <f t="shared" si="98"/>
        <v>Benjamin Brown</v>
      </c>
      <c r="K784" t="s">
        <v>18</v>
      </c>
      <c r="L784" t="str">
        <f t="shared" si="99"/>
        <v>Orthopedics</v>
      </c>
      <c r="M784" t="s">
        <v>2314</v>
      </c>
      <c r="N784" t="str">
        <f t="shared" si="100"/>
        <v>INR</v>
      </c>
      <c r="O784">
        <f t="shared" si="101"/>
        <v>230.11</v>
      </c>
      <c r="P784" cm="1">
        <f t="array" ref="P784">_xlfn.IFS(N784="USD",O784*1,N784="GBP",O784*1.27,N784="EUR",O784*1.09,N784="INR",O784*0.012,N784="N/A","N/A")</f>
        <v>2.7613200000000004</v>
      </c>
      <c r="Q784" t="s">
        <v>20</v>
      </c>
      <c r="R784" t="str" cm="1">
        <f t="array" ref="R784">_xlfn.IFS(Q784="Y","Yes", Q784="Yes","Yes", Q784="N","No", Q784="No","No", Q784=1,"N/A", Q784=0,"N/A", TRUE,"")</f>
        <v>Yes</v>
      </c>
      <c r="S784">
        <f t="shared" si="102"/>
        <v>7</v>
      </c>
      <c r="T784">
        <f t="shared" si="103"/>
        <v>1</v>
      </c>
      <c r="U784" t="str" cm="1">
        <f t="array" ref="U784">_xlfn.IFS(D784&lt;40,"Young Adult",AND(D784&gt;=40,D784&lt;65),"Middle Aged", D784&gt;=65,"Elderly")</f>
        <v>Elderly</v>
      </c>
    </row>
    <row r="785" spans="1:21" x14ac:dyDescent="0.2">
      <c r="A785">
        <v>1045</v>
      </c>
      <c r="B785">
        <f t="shared" si="96"/>
        <v>784</v>
      </c>
      <c r="C785" t="s">
        <v>2315</v>
      </c>
      <c r="D785">
        <v>65</v>
      </c>
      <c r="E785" t="s">
        <v>2937</v>
      </c>
      <c r="F785" t="str">
        <f t="shared" si="97"/>
        <v>N/A</v>
      </c>
      <c r="G785" s="1">
        <v>45744</v>
      </c>
      <c r="H785" s="1">
        <v>45661</v>
      </c>
      <c r="I785" t="s">
        <v>2316</v>
      </c>
      <c r="J785" t="str">
        <f t="shared" si="98"/>
        <v>Manuel Vargas</v>
      </c>
      <c r="K785" t="s">
        <v>18</v>
      </c>
      <c r="L785" t="str">
        <f t="shared" si="99"/>
        <v>Orthopedics</v>
      </c>
      <c r="M785" t="s">
        <v>2317</v>
      </c>
      <c r="N785" t="str">
        <f t="shared" si="100"/>
        <v>EUR</v>
      </c>
      <c r="O785">
        <f t="shared" si="101"/>
        <v>304.67</v>
      </c>
      <c r="P785" cm="1">
        <f t="array" ref="P785">_xlfn.IFS(N785="USD",O785*1,N785="GBP",O785*1.27,N785="EUR",O785*1.09,N785="INR",O785*0.012,N785="N/A","N/A")</f>
        <v>332.09030000000001</v>
      </c>
      <c r="Q785" t="s">
        <v>30</v>
      </c>
      <c r="R785" t="str" cm="1">
        <f t="array" ref="R785">_xlfn.IFS(Q785="Y","Yes", Q785="Yes","Yes", Q785="N","No", Q785="No","No", Q785=1,"N/A", Q785=0,"N/A", TRUE,"")</f>
        <v>No</v>
      </c>
      <c r="S785">
        <f t="shared" si="102"/>
        <v>8</v>
      </c>
      <c r="T785">
        <f t="shared" si="103"/>
        <v>1</v>
      </c>
      <c r="U785" t="str" cm="1">
        <f t="array" ref="U785">_xlfn.IFS(D785&lt;40,"Young Adult",AND(D785&gt;=40,D785&lt;65),"Middle Aged", D785&gt;=65,"Elderly")</f>
        <v>Elderly</v>
      </c>
    </row>
    <row r="786" spans="1:21" x14ac:dyDescent="0.2">
      <c r="A786">
        <v>1095</v>
      </c>
      <c r="B786">
        <f t="shared" si="96"/>
        <v>785</v>
      </c>
      <c r="C786" t="s">
        <v>172</v>
      </c>
      <c r="D786">
        <v>73</v>
      </c>
      <c r="E786" t="s">
        <v>51</v>
      </c>
      <c r="F786" t="str">
        <f t="shared" si="97"/>
        <v>Male</v>
      </c>
      <c r="G786" s="1">
        <v>46022</v>
      </c>
      <c r="H786" s="1">
        <v>45640</v>
      </c>
      <c r="I786" t="s">
        <v>2318</v>
      </c>
      <c r="J786" t="str">
        <f t="shared" si="98"/>
        <v>Heidi Hamilton</v>
      </c>
      <c r="K786" t="s">
        <v>24</v>
      </c>
      <c r="L786" t="str">
        <f t="shared" si="99"/>
        <v>Neurology</v>
      </c>
      <c r="M786" t="s">
        <v>2319</v>
      </c>
      <c r="N786" t="str">
        <f t="shared" si="100"/>
        <v>GBP</v>
      </c>
      <c r="O786">
        <f t="shared" si="101"/>
        <v>275.12</v>
      </c>
      <c r="P786" cm="1">
        <f t="array" ref="P786">_xlfn.IFS(N786="USD",O786*1,N786="GBP",O786*1.27,N786="EUR",O786*1.09,N786="INR",O786*0.012,N786="N/A","N/A")</f>
        <v>349.4024</v>
      </c>
      <c r="Q786" t="s">
        <v>36</v>
      </c>
      <c r="R786" t="str" cm="1">
        <f t="array" ref="R786">_xlfn.IFS(Q786="Y","Yes", Q786="Yes","Yes", Q786="N","No", Q786="No","No", Q786=1,"N/A", Q786=0,"N/A", TRUE,"")</f>
        <v>Yes</v>
      </c>
      <c r="S786">
        <f t="shared" si="102"/>
        <v>12</v>
      </c>
      <c r="T786">
        <f t="shared" si="103"/>
        <v>1</v>
      </c>
      <c r="U786" t="str" cm="1">
        <f t="array" ref="U786">_xlfn.IFS(D786&lt;40,"Young Adult",AND(D786&gt;=40,D786&lt;65),"Middle Aged", D786&gt;=65,"Elderly")</f>
        <v>Elderly</v>
      </c>
    </row>
    <row r="787" spans="1:21" x14ac:dyDescent="0.2">
      <c r="A787">
        <v>1074</v>
      </c>
      <c r="B787">
        <f t="shared" si="96"/>
        <v>786</v>
      </c>
      <c r="C787" t="s">
        <v>2320</v>
      </c>
      <c r="D787">
        <v>64</v>
      </c>
      <c r="E787" t="s">
        <v>22</v>
      </c>
      <c r="F787" t="str">
        <f t="shared" si="97"/>
        <v>Male</v>
      </c>
      <c r="G787" s="1">
        <v>46095</v>
      </c>
      <c r="H787" s="1">
        <v>46063</v>
      </c>
      <c r="I787" t="s">
        <v>2321</v>
      </c>
      <c r="J787" t="str">
        <f t="shared" si="98"/>
        <v>Matthew Pratt</v>
      </c>
      <c r="K787" t="s">
        <v>24</v>
      </c>
      <c r="L787" t="str">
        <f t="shared" si="99"/>
        <v>Neurology</v>
      </c>
      <c r="M787" t="s">
        <v>2322</v>
      </c>
      <c r="N787" t="str">
        <f t="shared" si="100"/>
        <v>EUR</v>
      </c>
      <c r="O787">
        <f t="shared" si="101"/>
        <v>177.85</v>
      </c>
      <c r="P787" cm="1">
        <f t="array" ref="P787">_xlfn.IFS(N787="USD",O787*1,N787="GBP",O787*1.27,N787="EUR",O787*1.09,N787="INR",O787*0.012,N787="N/A","N/A")</f>
        <v>193.85650000000001</v>
      </c>
      <c r="Q787" t="s">
        <v>20</v>
      </c>
      <c r="R787" t="str" cm="1">
        <f t="array" ref="R787">_xlfn.IFS(Q787="Y","Yes", Q787="Yes","Yes", Q787="N","No", Q787="No","No", Q787=1,"N/A", Q787=0,"N/A", TRUE,"")</f>
        <v>Yes</v>
      </c>
      <c r="S787">
        <f t="shared" si="102"/>
        <v>17</v>
      </c>
      <c r="T787">
        <f t="shared" si="103"/>
        <v>1</v>
      </c>
      <c r="U787" t="str" cm="1">
        <f t="array" ref="U787">_xlfn.IFS(D787&lt;40,"Young Adult",AND(D787&gt;=40,D787&lt;65),"Middle Aged", D787&gt;=65,"Elderly")</f>
        <v>Middle Aged</v>
      </c>
    </row>
    <row r="788" spans="1:21" x14ac:dyDescent="0.2">
      <c r="A788">
        <v>1080</v>
      </c>
      <c r="B788">
        <f t="shared" si="96"/>
        <v>787</v>
      </c>
      <c r="C788" t="s">
        <v>2323</v>
      </c>
      <c r="D788">
        <v>49</v>
      </c>
      <c r="E788" t="s">
        <v>51</v>
      </c>
      <c r="F788" t="str">
        <f t="shared" si="97"/>
        <v>Male</v>
      </c>
      <c r="G788" s="1">
        <v>45960</v>
      </c>
      <c r="H788" s="1">
        <v>45820</v>
      </c>
      <c r="I788" t="s">
        <v>2324</v>
      </c>
      <c r="J788" t="str">
        <f t="shared" si="98"/>
        <v>Jennifer Anderson</v>
      </c>
      <c r="K788" t="s">
        <v>24</v>
      </c>
      <c r="L788" t="str">
        <f t="shared" si="99"/>
        <v>Neurology</v>
      </c>
      <c r="M788" t="s">
        <v>2325</v>
      </c>
      <c r="N788" t="str">
        <f t="shared" si="100"/>
        <v>INR</v>
      </c>
      <c r="O788">
        <f t="shared" si="101"/>
        <v>410.8</v>
      </c>
      <c r="P788" cm="1">
        <f t="array" ref="P788">_xlfn.IFS(N788="USD",O788*1,N788="GBP",O788*1.27,N788="EUR",O788*1.09,N788="INR",O788*0.012,N788="N/A","N/A")</f>
        <v>4.9296000000000006</v>
      </c>
      <c r="Q788" t="s">
        <v>60</v>
      </c>
      <c r="R788" t="str" cm="1">
        <f t="array" ref="R788">_xlfn.IFS(Q788="Y","Yes", Q788="Yes","Yes", Q788="N","No", Q788="No","No", Q788=1,"N/A", Q788=0,"N/A", TRUE,"")</f>
        <v>No</v>
      </c>
      <c r="S788">
        <f t="shared" si="102"/>
        <v>11</v>
      </c>
      <c r="T788">
        <f t="shared" si="103"/>
        <v>1</v>
      </c>
      <c r="U788" t="str" cm="1">
        <f t="array" ref="U788">_xlfn.IFS(D788&lt;40,"Young Adult",AND(D788&gt;=40,D788&lt;65),"Middle Aged", D788&gt;=65,"Elderly")</f>
        <v>Middle Aged</v>
      </c>
    </row>
    <row r="789" spans="1:21" x14ac:dyDescent="0.2">
      <c r="A789">
        <v>1069</v>
      </c>
      <c r="B789">
        <f t="shared" si="96"/>
        <v>788</v>
      </c>
      <c r="C789" t="s">
        <v>2326</v>
      </c>
      <c r="D789">
        <v>48</v>
      </c>
      <c r="E789" t="s">
        <v>16</v>
      </c>
      <c r="F789" t="str">
        <f t="shared" si="97"/>
        <v>Female</v>
      </c>
      <c r="G789" s="1">
        <v>45931</v>
      </c>
      <c r="H789" s="1">
        <v>45599</v>
      </c>
      <c r="I789" t="s">
        <v>2327</v>
      </c>
      <c r="J789" t="str">
        <f t="shared" si="98"/>
        <v>Sarah Harper Dds</v>
      </c>
      <c r="K789" t="s">
        <v>13</v>
      </c>
      <c r="L789" t="str">
        <f t="shared" si="99"/>
        <v>Cardiology</v>
      </c>
      <c r="M789" t="s">
        <v>2328</v>
      </c>
      <c r="N789" t="str">
        <f t="shared" si="100"/>
        <v>USD</v>
      </c>
      <c r="O789">
        <f t="shared" si="101"/>
        <v>97.46</v>
      </c>
      <c r="P789" cm="1">
        <f t="array" ref="P789">_xlfn.IFS(N789="USD",O789*1,N789="GBP",O789*1.27,N789="EUR",O789*1.09,N789="INR",O789*0.012,N789="N/A","N/A")</f>
        <v>97.46</v>
      </c>
      <c r="Q789" t="s">
        <v>30</v>
      </c>
      <c r="R789" t="str" cm="1">
        <f t="array" ref="R789">_xlfn.IFS(Q789="Y","Yes", Q789="Yes","Yes", Q789="N","No", Q789="No","No", Q789=1,"N/A", Q789=0,"N/A", TRUE,"")</f>
        <v>No</v>
      </c>
      <c r="S789">
        <f t="shared" si="102"/>
        <v>10</v>
      </c>
      <c r="T789">
        <f t="shared" si="103"/>
        <v>1</v>
      </c>
      <c r="U789" t="str" cm="1">
        <f t="array" ref="U789">_xlfn.IFS(D789&lt;40,"Young Adult",AND(D789&gt;=40,D789&lt;65),"Middle Aged", D789&gt;=65,"Elderly")</f>
        <v>Middle Aged</v>
      </c>
    </row>
    <row r="790" spans="1:21" x14ac:dyDescent="0.2">
      <c r="A790">
        <v>1051</v>
      </c>
      <c r="B790">
        <f t="shared" si="96"/>
        <v>789</v>
      </c>
      <c r="C790" t="s">
        <v>2329</v>
      </c>
      <c r="D790">
        <v>63</v>
      </c>
      <c r="E790" t="s">
        <v>2937</v>
      </c>
      <c r="F790" t="str">
        <f t="shared" si="97"/>
        <v>N/A</v>
      </c>
      <c r="G790" s="1">
        <v>46083</v>
      </c>
      <c r="H790" s="1">
        <v>45720</v>
      </c>
      <c r="I790" t="s">
        <v>2330</v>
      </c>
      <c r="J790" t="str">
        <f t="shared" si="98"/>
        <v>Erica Riley</v>
      </c>
      <c r="K790" t="s">
        <v>28</v>
      </c>
      <c r="L790" t="str">
        <f t="shared" si="99"/>
        <v>General</v>
      </c>
      <c r="M790" t="s">
        <v>2331</v>
      </c>
      <c r="N790" t="str">
        <f t="shared" si="100"/>
        <v>INR</v>
      </c>
      <c r="O790">
        <f t="shared" si="101"/>
        <v>116.32</v>
      </c>
      <c r="P790" cm="1">
        <f t="array" ref="P790">_xlfn.IFS(N790="USD",O790*1,N790="GBP",O790*1.27,N790="EUR",O790*1.09,N790="INR",O790*0.012,N790="N/A","N/A")</f>
        <v>1.39584</v>
      </c>
      <c r="Q790" t="s">
        <v>36</v>
      </c>
      <c r="R790" t="str" cm="1">
        <f t="array" ref="R790">_xlfn.IFS(Q790="Y","Yes", Q790="Yes","Yes", Q790="N","No", Q790="No","No", Q790=1,"N/A", Q790=0,"N/A", TRUE,"")</f>
        <v>Yes</v>
      </c>
      <c r="S790">
        <f t="shared" si="102"/>
        <v>9</v>
      </c>
      <c r="T790">
        <f t="shared" si="103"/>
        <v>1</v>
      </c>
      <c r="U790" t="str" cm="1">
        <f t="array" ref="U790">_xlfn.IFS(D790&lt;40,"Young Adult",AND(D790&gt;=40,D790&lt;65),"Middle Aged", D790&gt;=65,"Elderly")</f>
        <v>Middle Aged</v>
      </c>
    </row>
    <row r="791" spans="1:21" x14ac:dyDescent="0.2">
      <c r="A791">
        <v>1092</v>
      </c>
      <c r="B791">
        <f t="shared" si="96"/>
        <v>790</v>
      </c>
      <c r="C791" t="s">
        <v>2332</v>
      </c>
      <c r="D791">
        <v>44</v>
      </c>
      <c r="E791" t="s">
        <v>2937</v>
      </c>
      <c r="F791" t="str">
        <f t="shared" si="97"/>
        <v>N/A</v>
      </c>
      <c r="G791" s="1">
        <v>45992</v>
      </c>
      <c r="H791" s="1">
        <v>45504</v>
      </c>
      <c r="I791" t="s">
        <v>2333</v>
      </c>
      <c r="J791" t="str">
        <f t="shared" si="98"/>
        <v>Mitchell Sims</v>
      </c>
      <c r="K791" t="s">
        <v>18</v>
      </c>
      <c r="L791" t="str">
        <f t="shared" si="99"/>
        <v>Orthopedics</v>
      </c>
      <c r="M791" t="s">
        <v>2334</v>
      </c>
      <c r="N791" t="str">
        <f t="shared" si="100"/>
        <v>USD</v>
      </c>
      <c r="O791">
        <f t="shared" si="101"/>
        <v>203.3</v>
      </c>
      <c r="P791" cm="1">
        <f t="array" ref="P791">_xlfn.IFS(N791="USD",O791*1,N791="GBP",O791*1.27,N791="EUR",O791*1.09,N791="INR",O791*0.012,N791="N/A","N/A")</f>
        <v>203.3</v>
      </c>
      <c r="Q791" t="s">
        <v>20</v>
      </c>
      <c r="R791" t="str" cm="1">
        <f t="array" ref="R791">_xlfn.IFS(Q791="Y","Yes", Q791="Yes","Yes", Q791="N","No", Q791="No","No", Q791=1,"N/A", Q791=0,"N/A", TRUE,"")</f>
        <v>Yes</v>
      </c>
      <c r="S791">
        <f t="shared" si="102"/>
        <v>11</v>
      </c>
      <c r="T791">
        <f t="shared" si="103"/>
        <v>1</v>
      </c>
      <c r="U791" t="str" cm="1">
        <f t="array" ref="U791">_xlfn.IFS(D791&lt;40,"Young Adult",AND(D791&gt;=40,D791&lt;65),"Middle Aged", D791&gt;=65,"Elderly")</f>
        <v>Middle Aged</v>
      </c>
    </row>
    <row r="792" spans="1:21" x14ac:dyDescent="0.2">
      <c r="A792">
        <v>1093</v>
      </c>
      <c r="B792">
        <f t="shared" si="96"/>
        <v>791</v>
      </c>
      <c r="C792" t="s">
        <v>203</v>
      </c>
      <c r="D792">
        <v>23</v>
      </c>
      <c r="E792" t="s">
        <v>71</v>
      </c>
      <c r="F792" t="str">
        <f t="shared" si="97"/>
        <v>Male</v>
      </c>
      <c r="G792" s="1">
        <v>45909</v>
      </c>
      <c r="H792" s="1">
        <v>45621</v>
      </c>
      <c r="I792" t="s">
        <v>2335</v>
      </c>
      <c r="J792" t="str">
        <f t="shared" si="98"/>
        <v>Dawn Collins</v>
      </c>
      <c r="K792" t="s">
        <v>28</v>
      </c>
      <c r="L792" t="str">
        <f t="shared" si="99"/>
        <v>General</v>
      </c>
      <c r="M792" t="s">
        <v>2336</v>
      </c>
      <c r="N792" t="str">
        <f t="shared" si="100"/>
        <v>USD</v>
      </c>
      <c r="O792">
        <f t="shared" si="101"/>
        <v>139.43</v>
      </c>
      <c r="P792" cm="1">
        <f t="array" ref="P792">_xlfn.IFS(N792="USD",O792*1,N792="GBP",O792*1.27,N792="EUR",O792*1.09,N792="INR",O792*0.012,N792="N/A","N/A")</f>
        <v>139.43</v>
      </c>
      <c r="Q792">
        <v>0</v>
      </c>
      <c r="R792" t="str" cm="1">
        <f t="array" ref="R792">_xlfn.IFS(Q792="Y","Yes", Q792="Yes","Yes", Q792="N","No", Q792="No","No", Q792=1,"N/A", Q792=0,"N/A", TRUE,"")</f>
        <v>N/A</v>
      </c>
      <c r="S792">
        <f t="shared" si="102"/>
        <v>11</v>
      </c>
      <c r="T792">
        <f t="shared" si="103"/>
        <v>1</v>
      </c>
      <c r="U792" t="str" cm="1">
        <f t="array" ref="U792">_xlfn.IFS(D792&lt;40,"Young Adult",AND(D792&gt;=40,D792&lt;65),"Middle Aged", D792&gt;=65,"Elderly")</f>
        <v>Young Adult</v>
      </c>
    </row>
    <row r="793" spans="1:21" x14ac:dyDescent="0.2">
      <c r="A793">
        <v>1075</v>
      </c>
      <c r="B793">
        <f t="shared" si="96"/>
        <v>792</v>
      </c>
      <c r="C793" t="s">
        <v>2337</v>
      </c>
      <c r="D793">
        <v>48</v>
      </c>
      <c r="E793" t="s">
        <v>2937</v>
      </c>
      <c r="F793" t="str">
        <f t="shared" si="97"/>
        <v>N/A</v>
      </c>
      <c r="G793" s="1">
        <v>45828</v>
      </c>
      <c r="H793" s="1">
        <v>45540</v>
      </c>
      <c r="I793" t="s">
        <v>2338</v>
      </c>
      <c r="J793" t="str">
        <f t="shared" si="98"/>
        <v>Jennifer Johnston</v>
      </c>
      <c r="K793" t="s">
        <v>28</v>
      </c>
      <c r="L793" t="str">
        <f t="shared" si="99"/>
        <v>General</v>
      </c>
      <c r="N793" t="str">
        <f t="shared" si="100"/>
        <v>N/A</v>
      </c>
      <c r="O793" t="str">
        <f t="shared" si="101"/>
        <v/>
      </c>
      <c r="P793" t="str" cm="1">
        <f t="array" ref="P793">_xlfn.IFS(N793="USD",O793*1,N793="GBP",O793*1.27,N793="EUR",O793*1.09,N793="INR",O793*0.012,N793="N/A","N/A")</f>
        <v>N/A</v>
      </c>
      <c r="Q793">
        <v>1</v>
      </c>
      <c r="R793" t="str" cm="1">
        <f t="array" ref="R793">_xlfn.IFS(Q793="Y","Yes", Q793="Yes","Yes", Q793="N","No", Q793="No","No", Q793=1,"N/A", Q793=0,"N/A", TRUE,"")</f>
        <v>N/A</v>
      </c>
      <c r="S793">
        <f t="shared" si="102"/>
        <v>11</v>
      </c>
      <c r="T793">
        <f t="shared" si="103"/>
        <v>1</v>
      </c>
      <c r="U793" t="str" cm="1">
        <f t="array" ref="U793">_xlfn.IFS(D793&lt;40,"Young Adult",AND(D793&gt;=40,D793&lt;65),"Middle Aged", D793&gt;=65,"Elderly")</f>
        <v>Middle Aged</v>
      </c>
    </row>
    <row r="794" spans="1:21" x14ac:dyDescent="0.2">
      <c r="A794">
        <v>1055</v>
      </c>
      <c r="B794">
        <f t="shared" si="96"/>
        <v>793</v>
      </c>
      <c r="C794" t="s">
        <v>2339</v>
      </c>
      <c r="D794">
        <v>71</v>
      </c>
      <c r="E794" t="s">
        <v>71</v>
      </c>
      <c r="F794" t="str">
        <f t="shared" si="97"/>
        <v>Male</v>
      </c>
      <c r="G794" s="1">
        <v>45794</v>
      </c>
      <c r="H794" s="1">
        <v>45501</v>
      </c>
      <c r="I794" t="s">
        <v>2340</v>
      </c>
      <c r="J794" t="str">
        <f t="shared" si="98"/>
        <v>Jacob Andrade</v>
      </c>
      <c r="K794" t="s">
        <v>18</v>
      </c>
      <c r="L794" t="str">
        <f t="shared" si="99"/>
        <v>Orthopedics</v>
      </c>
      <c r="M794" t="s">
        <v>2341</v>
      </c>
      <c r="N794" t="str">
        <f t="shared" si="100"/>
        <v>USD</v>
      </c>
      <c r="O794">
        <f t="shared" si="101"/>
        <v>74.36</v>
      </c>
      <c r="P794" cm="1">
        <f t="array" ref="P794">_xlfn.IFS(N794="USD",O794*1,N794="GBP",O794*1.27,N794="EUR",O794*1.09,N794="INR",O794*0.012,N794="N/A","N/A")</f>
        <v>74.36</v>
      </c>
      <c r="Q794" t="s">
        <v>20</v>
      </c>
      <c r="R794" t="str" cm="1">
        <f t="array" ref="R794">_xlfn.IFS(Q794="Y","Yes", Q794="Yes","Yes", Q794="N","No", Q794="No","No", Q794=1,"N/A", Q794=0,"N/A", TRUE,"")</f>
        <v>Yes</v>
      </c>
      <c r="S794">
        <f t="shared" si="102"/>
        <v>5</v>
      </c>
      <c r="T794">
        <f t="shared" si="103"/>
        <v>1</v>
      </c>
      <c r="U794" t="str" cm="1">
        <f t="array" ref="U794">_xlfn.IFS(D794&lt;40,"Young Adult",AND(D794&gt;=40,D794&lt;65),"Middle Aged", D794&gt;=65,"Elderly")</f>
        <v>Elderly</v>
      </c>
    </row>
    <row r="795" spans="1:21" x14ac:dyDescent="0.2">
      <c r="A795">
        <v>1033</v>
      </c>
      <c r="B795">
        <f t="shared" si="96"/>
        <v>794</v>
      </c>
      <c r="C795" t="s">
        <v>2342</v>
      </c>
      <c r="D795">
        <v>74</v>
      </c>
      <c r="E795" t="s">
        <v>2937</v>
      </c>
      <c r="F795" t="str">
        <f t="shared" si="97"/>
        <v>N/A</v>
      </c>
      <c r="G795" s="1">
        <v>45886</v>
      </c>
      <c r="H795" s="1">
        <v>45586</v>
      </c>
      <c r="I795" t="s">
        <v>2343</v>
      </c>
      <c r="J795" t="str">
        <f t="shared" si="98"/>
        <v>Mrs. Kayla Peterson</v>
      </c>
      <c r="K795" t="s">
        <v>28</v>
      </c>
      <c r="L795" t="str">
        <f t="shared" si="99"/>
        <v>General</v>
      </c>
      <c r="M795" t="s">
        <v>2344</v>
      </c>
      <c r="N795" t="str">
        <f t="shared" si="100"/>
        <v>EUR</v>
      </c>
      <c r="O795">
        <f t="shared" si="101"/>
        <v>303.91000000000003</v>
      </c>
      <c r="P795" cm="1">
        <f t="array" ref="P795">_xlfn.IFS(N795="USD",O795*1,N795="GBP",O795*1.27,N795="EUR",O795*1.09,N795="INR",O795*0.012,N795="N/A","N/A")</f>
        <v>331.26190000000003</v>
      </c>
      <c r="Q795">
        <v>0</v>
      </c>
      <c r="R795" t="str" cm="1">
        <f t="array" ref="R795">_xlfn.IFS(Q795="Y","Yes", Q795="Yes","Yes", Q795="N","No", Q795="No","No", Q795=1,"N/A", Q795=0,"N/A", TRUE,"")</f>
        <v>N/A</v>
      </c>
      <c r="S795">
        <f t="shared" si="102"/>
        <v>11</v>
      </c>
      <c r="T795">
        <f t="shared" si="103"/>
        <v>1</v>
      </c>
      <c r="U795" t="str" cm="1">
        <f t="array" ref="U795">_xlfn.IFS(D795&lt;40,"Young Adult",AND(D795&gt;=40,D795&lt;65),"Middle Aged", D795&gt;=65,"Elderly")</f>
        <v>Elderly</v>
      </c>
    </row>
    <row r="796" spans="1:21" x14ac:dyDescent="0.2">
      <c r="A796">
        <v>1074</v>
      </c>
      <c r="B796">
        <f t="shared" si="96"/>
        <v>795</v>
      </c>
      <c r="C796" t="s">
        <v>2345</v>
      </c>
      <c r="D796">
        <v>48</v>
      </c>
      <c r="E796" t="s">
        <v>2937</v>
      </c>
      <c r="F796" t="str">
        <f t="shared" si="97"/>
        <v>N/A</v>
      </c>
      <c r="G796" s="1">
        <v>45755</v>
      </c>
      <c r="H796" s="1">
        <v>45691</v>
      </c>
      <c r="I796" t="s">
        <v>2346</v>
      </c>
      <c r="J796" t="str">
        <f t="shared" si="98"/>
        <v>Hannah Herrera</v>
      </c>
      <c r="K796" t="s">
        <v>13</v>
      </c>
      <c r="L796" t="str">
        <f t="shared" si="99"/>
        <v>Cardiology</v>
      </c>
      <c r="M796" t="s">
        <v>2347</v>
      </c>
      <c r="N796" t="str">
        <f t="shared" si="100"/>
        <v>USD</v>
      </c>
      <c r="O796">
        <f t="shared" si="101"/>
        <v>77.48</v>
      </c>
      <c r="P796" cm="1">
        <f t="array" ref="P796">_xlfn.IFS(N796="USD",O796*1,N796="GBP",O796*1.27,N796="EUR",O796*1.09,N796="INR",O796*0.012,N796="N/A","N/A")</f>
        <v>77.48</v>
      </c>
      <c r="Q796">
        <v>0</v>
      </c>
      <c r="R796" t="str" cm="1">
        <f t="array" ref="R796">_xlfn.IFS(Q796="Y","Yes", Q796="Yes","Yes", Q796="N","No", Q796="No","No", Q796=1,"N/A", Q796=0,"N/A", TRUE,"")</f>
        <v>N/A</v>
      </c>
      <c r="S796">
        <f t="shared" si="102"/>
        <v>17</v>
      </c>
      <c r="T796">
        <f t="shared" si="103"/>
        <v>1</v>
      </c>
      <c r="U796" t="str" cm="1">
        <f t="array" ref="U796">_xlfn.IFS(D796&lt;40,"Young Adult",AND(D796&gt;=40,D796&lt;65),"Middle Aged", D796&gt;=65,"Elderly")</f>
        <v>Middle Aged</v>
      </c>
    </row>
    <row r="797" spans="1:21" x14ac:dyDescent="0.2">
      <c r="A797">
        <v>1039</v>
      </c>
      <c r="B797">
        <f t="shared" si="96"/>
        <v>796</v>
      </c>
      <c r="C797" t="s">
        <v>2348</v>
      </c>
      <c r="D797">
        <v>58</v>
      </c>
      <c r="E797" t="s">
        <v>71</v>
      </c>
      <c r="F797" t="str">
        <f t="shared" si="97"/>
        <v>Male</v>
      </c>
      <c r="G797" s="1">
        <v>45753</v>
      </c>
      <c r="H797" s="1">
        <v>45509</v>
      </c>
      <c r="I797" t="s">
        <v>2349</v>
      </c>
      <c r="J797" t="str">
        <f t="shared" si="98"/>
        <v>Judith Watson</v>
      </c>
      <c r="K797" t="s">
        <v>24</v>
      </c>
      <c r="L797" t="str">
        <f t="shared" si="99"/>
        <v>Neurology</v>
      </c>
      <c r="M797" t="s">
        <v>2350</v>
      </c>
      <c r="N797" t="str">
        <f t="shared" si="100"/>
        <v>EUR</v>
      </c>
      <c r="O797">
        <f t="shared" si="101"/>
        <v>282.36</v>
      </c>
      <c r="P797" cm="1">
        <f t="array" ref="P797">_xlfn.IFS(N797="USD",O797*1,N797="GBP",O797*1.27,N797="EUR",O797*1.09,N797="INR",O797*0.012,N797="N/A","N/A")</f>
        <v>307.77240000000006</v>
      </c>
      <c r="Q797">
        <v>1</v>
      </c>
      <c r="R797" t="str" cm="1">
        <f t="array" ref="R797">_xlfn.IFS(Q797="Y","Yes", Q797="Yes","Yes", Q797="N","No", Q797="No","No", Q797=1,"N/A", Q797=0,"N/A", TRUE,"")</f>
        <v>N/A</v>
      </c>
      <c r="S797">
        <f t="shared" si="102"/>
        <v>8</v>
      </c>
      <c r="T797">
        <f t="shared" si="103"/>
        <v>1</v>
      </c>
      <c r="U797" t="str" cm="1">
        <f t="array" ref="U797">_xlfn.IFS(D797&lt;40,"Young Adult",AND(D797&gt;=40,D797&lt;65),"Middle Aged", D797&gt;=65,"Elderly")</f>
        <v>Middle Aged</v>
      </c>
    </row>
    <row r="798" spans="1:21" x14ac:dyDescent="0.2">
      <c r="A798">
        <v>1050</v>
      </c>
      <c r="B798">
        <f t="shared" si="96"/>
        <v>797</v>
      </c>
      <c r="C798" t="s">
        <v>2351</v>
      </c>
      <c r="D798">
        <v>46</v>
      </c>
      <c r="E798" t="s">
        <v>38</v>
      </c>
      <c r="F798" t="str">
        <f t="shared" si="97"/>
        <v>Female</v>
      </c>
      <c r="G798" s="1">
        <v>45763</v>
      </c>
      <c r="H798" s="1">
        <v>45589</v>
      </c>
      <c r="I798" t="s">
        <v>2352</v>
      </c>
      <c r="J798" t="str">
        <f t="shared" si="98"/>
        <v>Angela Burton</v>
      </c>
      <c r="K798" t="s">
        <v>13</v>
      </c>
      <c r="L798" t="str">
        <f t="shared" si="99"/>
        <v>Cardiology</v>
      </c>
      <c r="N798" t="str">
        <f t="shared" si="100"/>
        <v>N/A</v>
      </c>
      <c r="O798" t="str">
        <f t="shared" si="101"/>
        <v/>
      </c>
      <c r="P798" t="str" cm="1">
        <f t="array" ref="P798">_xlfn.IFS(N798="USD",O798*1,N798="GBP",O798*1.27,N798="EUR",O798*1.09,N798="INR",O798*0.012,N798="N/A","N/A")</f>
        <v>N/A</v>
      </c>
      <c r="Q798">
        <v>0</v>
      </c>
      <c r="R798" t="str" cm="1">
        <f t="array" ref="R798">_xlfn.IFS(Q798="Y","Yes", Q798="Yes","Yes", Q798="N","No", Q798="No","No", Q798=1,"N/A", Q798=0,"N/A", TRUE,"")</f>
        <v>N/A</v>
      </c>
      <c r="S798">
        <f t="shared" si="102"/>
        <v>12</v>
      </c>
      <c r="T798">
        <f t="shared" si="103"/>
        <v>1</v>
      </c>
      <c r="U798" t="str" cm="1">
        <f t="array" ref="U798">_xlfn.IFS(D798&lt;40,"Young Adult",AND(D798&gt;=40,D798&lt;65),"Middle Aged", D798&gt;=65,"Elderly")</f>
        <v>Middle Aged</v>
      </c>
    </row>
    <row r="799" spans="1:21" x14ac:dyDescent="0.2">
      <c r="A799">
        <v>1056</v>
      </c>
      <c r="B799">
        <f t="shared" si="96"/>
        <v>798</v>
      </c>
      <c r="C799" t="s">
        <v>2353</v>
      </c>
      <c r="D799">
        <v>71</v>
      </c>
      <c r="E799" t="s">
        <v>38</v>
      </c>
      <c r="F799" t="str">
        <f t="shared" si="97"/>
        <v>Female</v>
      </c>
      <c r="G799" s="1">
        <v>45984</v>
      </c>
      <c r="H799" s="1">
        <v>45885</v>
      </c>
      <c r="I799" t="s">
        <v>2354</v>
      </c>
      <c r="J799" t="str">
        <f t="shared" si="98"/>
        <v>Stephen Cooper</v>
      </c>
      <c r="K799" t="s">
        <v>28</v>
      </c>
      <c r="L799" t="str">
        <f t="shared" si="99"/>
        <v>General</v>
      </c>
      <c r="M799" t="s">
        <v>2355</v>
      </c>
      <c r="N799" t="str">
        <f t="shared" si="100"/>
        <v>GBP</v>
      </c>
      <c r="O799">
        <f t="shared" si="101"/>
        <v>243.46</v>
      </c>
      <c r="P799" cm="1">
        <f t="array" ref="P799">_xlfn.IFS(N799="USD",O799*1,N799="GBP",O799*1.27,N799="EUR",O799*1.09,N799="INR",O799*0.012,N799="N/A","N/A")</f>
        <v>309.19420000000002</v>
      </c>
      <c r="Q799">
        <v>0</v>
      </c>
      <c r="R799" t="str" cm="1">
        <f t="array" ref="R799">_xlfn.IFS(Q799="Y","Yes", Q799="Yes","Yes", Q799="N","No", Q799="No","No", Q799=1,"N/A", Q799=0,"N/A", TRUE,"")</f>
        <v>N/A</v>
      </c>
      <c r="S799">
        <f t="shared" si="102"/>
        <v>13</v>
      </c>
      <c r="T799">
        <f t="shared" si="103"/>
        <v>1</v>
      </c>
      <c r="U799" t="str" cm="1">
        <f t="array" ref="U799">_xlfn.IFS(D799&lt;40,"Young Adult",AND(D799&gt;=40,D799&lt;65),"Middle Aged", D799&gt;=65,"Elderly")</f>
        <v>Elderly</v>
      </c>
    </row>
    <row r="800" spans="1:21" x14ac:dyDescent="0.2">
      <c r="A800">
        <v>1025</v>
      </c>
      <c r="B800">
        <f t="shared" si="96"/>
        <v>799</v>
      </c>
      <c r="C800" t="s">
        <v>2356</v>
      </c>
      <c r="D800">
        <v>28</v>
      </c>
      <c r="E800" t="s">
        <v>2937</v>
      </c>
      <c r="F800" t="str">
        <f t="shared" si="97"/>
        <v>N/A</v>
      </c>
      <c r="G800" s="1">
        <v>45956</v>
      </c>
      <c r="H800" s="1">
        <v>45710</v>
      </c>
      <c r="I800" t="s">
        <v>2357</v>
      </c>
      <c r="J800" t="str">
        <f t="shared" si="98"/>
        <v>Ryan Hughes</v>
      </c>
      <c r="K800" t="s">
        <v>18</v>
      </c>
      <c r="L800" t="str">
        <f t="shared" si="99"/>
        <v>Orthopedics</v>
      </c>
      <c r="M800" t="s">
        <v>2358</v>
      </c>
      <c r="N800" t="str">
        <f t="shared" si="100"/>
        <v>EUR</v>
      </c>
      <c r="O800">
        <f t="shared" si="101"/>
        <v>444.38</v>
      </c>
      <c r="P800" cm="1">
        <f t="array" ref="P800">_xlfn.IFS(N800="USD",O800*1,N800="GBP",O800*1.27,N800="EUR",O800*1.09,N800="INR",O800*0.012,N800="N/A","N/A")</f>
        <v>484.37420000000003</v>
      </c>
      <c r="Q800" t="s">
        <v>36</v>
      </c>
      <c r="R800" t="str" cm="1">
        <f t="array" ref="R800">_xlfn.IFS(Q800="Y","Yes", Q800="Yes","Yes", Q800="N","No", Q800="No","No", Q800=1,"N/A", Q800=0,"N/A", TRUE,"")</f>
        <v>Yes</v>
      </c>
      <c r="S800">
        <f t="shared" si="102"/>
        <v>9</v>
      </c>
      <c r="T800">
        <f t="shared" si="103"/>
        <v>1</v>
      </c>
      <c r="U800" t="str" cm="1">
        <f t="array" ref="U800">_xlfn.IFS(D800&lt;40,"Young Adult",AND(D800&gt;=40,D800&lt;65),"Middle Aged", D800&gt;=65,"Elderly")</f>
        <v>Young Adult</v>
      </c>
    </row>
    <row r="801" spans="1:21" x14ac:dyDescent="0.2">
      <c r="A801">
        <v>1037</v>
      </c>
      <c r="B801">
        <f t="shared" si="96"/>
        <v>800</v>
      </c>
      <c r="C801" t="s">
        <v>2359</v>
      </c>
      <c r="D801">
        <v>39</v>
      </c>
      <c r="E801" t="s">
        <v>22</v>
      </c>
      <c r="F801" t="str">
        <f t="shared" si="97"/>
        <v>Male</v>
      </c>
      <c r="G801" s="1">
        <v>45986</v>
      </c>
      <c r="H801" s="1">
        <v>45864</v>
      </c>
      <c r="I801" t="s">
        <v>2360</v>
      </c>
      <c r="J801" t="str">
        <f t="shared" si="98"/>
        <v>Anna Yoder</v>
      </c>
      <c r="K801" t="s">
        <v>28</v>
      </c>
      <c r="L801" t="str">
        <f t="shared" si="99"/>
        <v>General</v>
      </c>
      <c r="M801" t="s">
        <v>2361</v>
      </c>
      <c r="N801" t="str">
        <f t="shared" si="100"/>
        <v>INR</v>
      </c>
      <c r="O801">
        <f t="shared" si="101"/>
        <v>319.04000000000002</v>
      </c>
      <c r="P801" cm="1">
        <f t="array" ref="P801">_xlfn.IFS(N801="USD",O801*1,N801="GBP",O801*1.27,N801="EUR",O801*1.09,N801="INR",O801*0.012,N801="N/A","N/A")</f>
        <v>3.8284800000000003</v>
      </c>
      <c r="Q801" t="s">
        <v>20</v>
      </c>
      <c r="R801" t="str" cm="1">
        <f t="array" ref="R801">_xlfn.IFS(Q801="Y","Yes", Q801="Yes","Yes", Q801="N","No", Q801="No","No", Q801=1,"N/A", Q801=0,"N/A", TRUE,"")</f>
        <v>Yes</v>
      </c>
      <c r="S801">
        <f t="shared" si="102"/>
        <v>5</v>
      </c>
      <c r="T801">
        <f t="shared" si="103"/>
        <v>1</v>
      </c>
      <c r="U801" t="str" cm="1">
        <f t="array" ref="U801">_xlfn.IFS(D801&lt;40,"Young Adult",AND(D801&gt;=40,D801&lt;65),"Middle Aged", D801&gt;=65,"Elderly")</f>
        <v>Young Adult</v>
      </c>
    </row>
    <row r="802" spans="1:21" x14ac:dyDescent="0.2">
      <c r="A802">
        <v>1010</v>
      </c>
      <c r="B802">
        <f t="shared" si="96"/>
        <v>801</v>
      </c>
      <c r="C802" t="s">
        <v>2362</v>
      </c>
      <c r="D802">
        <v>71</v>
      </c>
      <c r="E802" t="s">
        <v>38</v>
      </c>
      <c r="F802" t="str">
        <f t="shared" si="97"/>
        <v>Female</v>
      </c>
      <c r="G802" s="1">
        <v>45838</v>
      </c>
      <c r="H802" s="1">
        <v>45517</v>
      </c>
      <c r="I802" t="s">
        <v>2363</v>
      </c>
      <c r="J802" t="str">
        <f t="shared" si="98"/>
        <v>Adam Davis</v>
      </c>
      <c r="K802" t="s">
        <v>18</v>
      </c>
      <c r="L802" t="str">
        <f t="shared" si="99"/>
        <v>Orthopedics</v>
      </c>
      <c r="M802" t="s">
        <v>2364</v>
      </c>
      <c r="N802" t="str">
        <f t="shared" si="100"/>
        <v>GBP</v>
      </c>
      <c r="O802">
        <f t="shared" si="101"/>
        <v>330.71</v>
      </c>
      <c r="P802" cm="1">
        <f t="array" ref="P802">_xlfn.IFS(N802="USD",O802*1,N802="GBP",O802*1.27,N802="EUR",O802*1.09,N802="INR",O802*0.012,N802="N/A","N/A")</f>
        <v>420.00169999999997</v>
      </c>
      <c r="Q802" t="s">
        <v>20</v>
      </c>
      <c r="R802" t="str" cm="1">
        <f t="array" ref="R802">_xlfn.IFS(Q802="Y","Yes", Q802="Yes","Yes", Q802="N","No", Q802="No","No", Q802=1,"N/A", Q802=0,"N/A", TRUE,"")</f>
        <v>Yes</v>
      </c>
      <c r="S802">
        <f t="shared" si="102"/>
        <v>10</v>
      </c>
      <c r="T802">
        <f t="shared" si="103"/>
        <v>1</v>
      </c>
      <c r="U802" t="str" cm="1">
        <f t="array" ref="U802">_xlfn.IFS(D802&lt;40,"Young Adult",AND(D802&gt;=40,D802&lt;65),"Middle Aged", D802&gt;=65,"Elderly")</f>
        <v>Elderly</v>
      </c>
    </row>
    <row r="803" spans="1:21" x14ac:dyDescent="0.2">
      <c r="A803">
        <v>1039</v>
      </c>
      <c r="B803">
        <f t="shared" si="96"/>
        <v>802</v>
      </c>
      <c r="C803" t="s">
        <v>2365</v>
      </c>
      <c r="D803">
        <v>46</v>
      </c>
      <c r="E803" t="s">
        <v>16</v>
      </c>
      <c r="F803" t="str">
        <f t="shared" si="97"/>
        <v>Female</v>
      </c>
      <c r="G803" s="1">
        <v>45867</v>
      </c>
      <c r="H803" s="1">
        <v>45669</v>
      </c>
      <c r="I803" t="s">
        <v>2366</v>
      </c>
      <c r="J803" t="str">
        <f t="shared" si="98"/>
        <v>April Hood</v>
      </c>
      <c r="K803" t="s">
        <v>13</v>
      </c>
      <c r="L803" t="str">
        <f t="shared" si="99"/>
        <v>Cardiology</v>
      </c>
      <c r="M803" t="s">
        <v>2367</v>
      </c>
      <c r="N803" t="str">
        <f t="shared" si="100"/>
        <v>INR</v>
      </c>
      <c r="O803">
        <f t="shared" si="101"/>
        <v>160.18</v>
      </c>
      <c r="P803" cm="1">
        <f t="array" ref="P803">_xlfn.IFS(N803="USD",O803*1,N803="GBP",O803*1.27,N803="EUR",O803*1.09,N803="INR",O803*0.012,N803="N/A","N/A")</f>
        <v>1.9221600000000001</v>
      </c>
      <c r="Q803">
        <v>1</v>
      </c>
      <c r="R803" t="str" cm="1">
        <f t="array" ref="R803">_xlfn.IFS(Q803="Y","Yes", Q803="Yes","Yes", Q803="N","No", Q803="No","No", Q803=1,"N/A", Q803=0,"N/A", TRUE,"")</f>
        <v>N/A</v>
      </c>
      <c r="S803">
        <f t="shared" si="102"/>
        <v>8</v>
      </c>
      <c r="T803">
        <f t="shared" si="103"/>
        <v>1</v>
      </c>
      <c r="U803" t="str" cm="1">
        <f t="array" ref="U803">_xlfn.IFS(D803&lt;40,"Young Adult",AND(D803&gt;=40,D803&lt;65),"Middle Aged", D803&gt;=65,"Elderly")</f>
        <v>Middle Aged</v>
      </c>
    </row>
    <row r="804" spans="1:21" x14ac:dyDescent="0.2">
      <c r="A804">
        <v>1040</v>
      </c>
      <c r="B804">
        <f t="shared" si="96"/>
        <v>803</v>
      </c>
      <c r="C804" t="s">
        <v>2368</v>
      </c>
      <c r="D804">
        <v>62</v>
      </c>
      <c r="E804" t="s">
        <v>51</v>
      </c>
      <c r="F804" t="str">
        <f t="shared" si="97"/>
        <v>Male</v>
      </c>
      <c r="G804" s="1">
        <v>46043</v>
      </c>
      <c r="H804" s="1">
        <v>45639</v>
      </c>
      <c r="I804" t="s">
        <v>2369</v>
      </c>
      <c r="J804" t="str">
        <f t="shared" si="98"/>
        <v>Jesse Edwards</v>
      </c>
      <c r="K804" t="s">
        <v>24</v>
      </c>
      <c r="L804" t="str">
        <f t="shared" si="99"/>
        <v>Neurology</v>
      </c>
      <c r="M804" t="s">
        <v>2370</v>
      </c>
      <c r="N804" t="str">
        <f t="shared" si="100"/>
        <v>USD</v>
      </c>
      <c r="O804">
        <f t="shared" si="101"/>
        <v>290.14</v>
      </c>
      <c r="P804" cm="1">
        <f t="array" ref="P804">_xlfn.IFS(N804="USD",O804*1,N804="GBP",O804*1.27,N804="EUR",O804*1.09,N804="INR",O804*0.012,N804="N/A","N/A")</f>
        <v>290.14</v>
      </c>
      <c r="Q804" t="s">
        <v>36</v>
      </c>
      <c r="R804" t="str" cm="1">
        <f t="array" ref="R804">_xlfn.IFS(Q804="Y","Yes", Q804="Yes","Yes", Q804="N","No", Q804="No","No", Q804=1,"N/A", Q804=0,"N/A", TRUE,"")</f>
        <v>Yes</v>
      </c>
      <c r="S804">
        <f t="shared" si="102"/>
        <v>13</v>
      </c>
      <c r="T804">
        <f t="shared" si="103"/>
        <v>1</v>
      </c>
      <c r="U804" t="str" cm="1">
        <f t="array" ref="U804">_xlfn.IFS(D804&lt;40,"Young Adult",AND(D804&gt;=40,D804&lt;65),"Middle Aged", D804&gt;=65,"Elderly")</f>
        <v>Middle Aged</v>
      </c>
    </row>
    <row r="805" spans="1:21" x14ac:dyDescent="0.2">
      <c r="A805">
        <v>1100</v>
      </c>
      <c r="B805">
        <f t="shared" si="96"/>
        <v>804</v>
      </c>
      <c r="C805" t="s">
        <v>2371</v>
      </c>
      <c r="D805">
        <v>52</v>
      </c>
      <c r="E805" t="s">
        <v>38</v>
      </c>
      <c r="F805" t="str">
        <f t="shared" si="97"/>
        <v>Female</v>
      </c>
      <c r="G805" s="1">
        <v>45967</v>
      </c>
      <c r="H805" s="1">
        <v>45556</v>
      </c>
      <c r="I805" t="s">
        <v>2372</v>
      </c>
      <c r="J805" t="str">
        <f t="shared" si="98"/>
        <v>Joy Armstrong</v>
      </c>
      <c r="K805" t="s">
        <v>24</v>
      </c>
      <c r="L805" t="str">
        <f t="shared" si="99"/>
        <v>Neurology</v>
      </c>
      <c r="M805" t="s">
        <v>2373</v>
      </c>
      <c r="N805" t="str">
        <f t="shared" si="100"/>
        <v>EUR</v>
      </c>
      <c r="O805">
        <f t="shared" si="101"/>
        <v>244.09</v>
      </c>
      <c r="P805" cm="1">
        <f t="array" ref="P805">_xlfn.IFS(N805="USD",O805*1,N805="GBP",O805*1.27,N805="EUR",O805*1.09,N805="INR",O805*0.012,N805="N/A","N/A")</f>
        <v>266.05810000000002</v>
      </c>
      <c r="Q805">
        <v>1</v>
      </c>
      <c r="R805" t="str" cm="1">
        <f t="array" ref="R805">_xlfn.IFS(Q805="Y","Yes", Q805="Yes","Yes", Q805="N","No", Q805="No","No", Q805=1,"N/A", Q805=0,"N/A", TRUE,"")</f>
        <v>N/A</v>
      </c>
      <c r="S805">
        <f t="shared" si="102"/>
        <v>8</v>
      </c>
      <c r="T805">
        <f t="shared" si="103"/>
        <v>1</v>
      </c>
      <c r="U805" t="str" cm="1">
        <f t="array" ref="U805">_xlfn.IFS(D805&lt;40,"Young Adult",AND(D805&gt;=40,D805&lt;65),"Middle Aged", D805&gt;=65,"Elderly")</f>
        <v>Middle Aged</v>
      </c>
    </row>
    <row r="806" spans="1:21" x14ac:dyDescent="0.2">
      <c r="A806">
        <v>1071</v>
      </c>
      <c r="B806">
        <f t="shared" si="96"/>
        <v>805</v>
      </c>
      <c r="C806" t="s">
        <v>2374</v>
      </c>
      <c r="D806">
        <v>41</v>
      </c>
      <c r="E806" t="s">
        <v>38</v>
      </c>
      <c r="F806" t="str">
        <f t="shared" si="97"/>
        <v>Female</v>
      </c>
      <c r="G806" s="1">
        <v>46083</v>
      </c>
      <c r="H806" s="1">
        <v>45927</v>
      </c>
      <c r="I806" t="s">
        <v>2375</v>
      </c>
      <c r="J806" t="str">
        <f t="shared" si="98"/>
        <v>Mark Norton</v>
      </c>
      <c r="K806" t="s">
        <v>28</v>
      </c>
      <c r="L806" t="str">
        <f t="shared" si="99"/>
        <v>General</v>
      </c>
      <c r="M806" t="s">
        <v>2376</v>
      </c>
      <c r="N806" t="str">
        <f t="shared" si="100"/>
        <v>GBP</v>
      </c>
      <c r="O806">
        <f t="shared" si="101"/>
        <v>150.5</v>
      </c>
      <c r="P806" cm="1">
        <f t="array" ref="P806">_xlfn.IFS(N806="USD",O806*1,N806="GBP",O806*1.27,N806="EUR",O806*1.09,N806="INR",O806*0.012,N806="N/A","N/A")</f>
        <v>191.13499999999999</v>
      </c>
      <c r="Q806" t="s">
        <v>60</v>
      </c>
      <c r="R806" t="str" cm="1">
        <f t="array" ref="R806">_xlfn.IFS(Q806="Y","Yes", Q806="Yes","Yes", Q806="N","No", Q806="No","No", Q806=1,"N/A", Q806=0,"N/A", TRUE,"")</f>
        <v>No</v>
      </c>
      <c r="S806">
        <f t="shared" si="102"/>
        <v>10</v>
      </c>
      <c r="T806">
        <f t="shared" si="103"/>
        <v>1</v>
      </c>
      <c r="U806" t="str" cm="1">
        <f t="array" ref="U806">_xlfn.IFS(D806&lt;40,"Young Adult",AND(D806&gt;=40,D806&lt;65),"Middle Aged", D806&gt;=65,"Elderly")</f>
        <v>Middle Aged</v>
      </c>
    </row>
    <row r="807" spans="1:21" x14ac:dyDescent="0.2">
      <c r="A807">
        <v>1097</v>
      </c>
      <c r="B807">
        <f t="shared" si="96"/>
        <v>806</v>
      </c>
      <c r="C807" t="s">
        <v>2377</v>
      </c>
      <c r="D807">
        <v>88</v>
      </c>
      <c r="E807" t="s">
        <v>16</v>
      </c>
      <c r="F807" t="str">
        <f t="shared" si="97"/>
        <v>Female</v>
      </c>
      <c r="G807" s="1">
        <v>46018</v>
      </c>
      <c r="H807" s="1">
        <v>45651</v>
      </c>
      <c r="I807" t="s">
        <v>2378</v>
      </c>
      <c r="J807" t="str">
        <f t="shared" si="98"/>
        <v>Veronica Fry</v>
      </c>
      <c r="K807" t="s">
        <v>28</v>
      </c>
      <c r="L807" t="str">
        <f t="shared" si="99"/>
        <v>General</v>
      </c>
      <c r="M807" t="s">
        <v>2379</v>
      </c>
      <c r="N807" t="str">
        <f t="shared" si="100"/>
        <v>USD</v>
      </c>
      <c r="O807">
        <f t="shared" si="101"/>
        <v>398.47</v>
      </c>
      <c r="P807" cm="1">
        <f t="array" ref="P807">_xlfn.IFS(N807="USD",O807*1,N807="GBP",O807*1.27,N807="EUR",O807*1.09,N807="INR",O807*0.012,N807="N/A","N/A")</f>
        <v>398.47</v>
      </c>
      <c r="Q807" t="s">
        <v>20</v>
      </c>
      <c r="R807" t="str" cm="1">
        <f t="array" ref="R807">_xlfn.IFS(Q807="Y","Yes", Q807="Yes","Yes", Q807="N","No", Q807="No","No", Q807=1,"N/A", Q807=0,"N/A", TRUE,"")</f>
        <v>Yes</v>
      </c>
      <c r="S807">
        <f t="shared" si="102"/>
        <v>10</v>
      </c>
      <c r="T807">
        <f t="shared" si="103"/>
        <v>1</v>
      </c>
      <c r="U807" t="str" cm="1">
        <f t="array" ref="U807">_xlfn.IFS(D807&lt;40,"Young Adult",AND(D807&gt;=40,D807&lt;65),"Middle Aged", D807&gt;=65,"Elderly")</f>
        <v>Elderly</v>
      </c>
    </row>
    <row r="808" spans="1:21" x14ac:dyDescent="0.2">
      <c r="A808">
        <v>1047</v>
      </c>
      <c r="B808">
        <f t="shared" si="96"/>
        <v>807</v>
      </c>
      <c r="C808" t="s">
        <v>2380</v>
      </c>
      <c r="D808">
        <v>51</v>
      </c>
      <c r="E808" t="s">
        <v>2937</v>
      </c>
      <c r="F808" t="str">
        <f t="shared" si="97"/>
        <v>N/A</v>
      </c>
      <c r="G808" s="1">
        <v>45962</v>
      </c>
      <c r="H808" s="1">
        <v>45928</v>
      </c>
      <c r="I808" t="s">
        <v>2381</v>
      </c>
      <c r="J808" t="str">
        <f t="shared" si="98"/>
        <v>Diana Jones</v>
      </c>
      <c r="K808" t="s">
        <v>24</v>
      </c>
      <c r="L808" t="str">
        <f t="shared" si="99"/>
        <v>Neurology</v>
      </c>
      <c r="M808" t="s">
        <v>2382</v>
      </c>
      <c r="N808" t="str">
        <f t="shared" si="100"/>
        <v>GBP</v>
      </c>
      <c r="O808">
        <f t="shared" si="101"/>
        <v>262.16000000000003</v>
      </c>
      <c r="P808" cm="1">
        <f t="array" ref="P808">_xlfn.IFS(N808="USD",O808*1,N808="GBP",O808*1.27,N808="EUR",O808*1.09,N808="INR",O808*0.012,N808="N/A","N/A")</f>
        <v>332.94320000000005</v>
      </c>
      <c r="Q808">
        <v>1</v>
      </c>
      <c r="R808" t="str" cm="1">
        <f t="array" ref="R808">_xlfn.IFS(Q808="Y","Yes", Q808="Yes","Yes", Q808="N","No", Q808="No","No", Q808=1,"N/A", Q808=0,"N/A", TRUE,"")</f>
        <v>N/A</v>
      </c>
      <c r="S808">
        <f t="shared" si="102"/>
        <v>17</v>
      </c>
      <c r="T808">
        <f t="shared" si="103"/>
        <v>1</v>
      </c>
      <c r="U808" t="str" cm="1">
        <f t="array" ref="U808">_xlfn.IFS(D808&lt;40,"Young Adult",AND(D808&gt;=40,D808&lt;65),"Middle Aged", D808&gt;=65,"Elderly")</f>
        <v>Middle Aged</v>
      </c>
    </row>
    <row r="809" spans="1:21" x14ac:dyDescent="0.2">
      <c r="A809">
        <v>1041</v>
      </c>
      <c r="B809">
        <f t="shared" si="96"/>
        <v>808</v>
      </c>
      <c r="C809" t="s">
        <v>2383</v>
      </c>
      <c r="D809">
        <v>70</v>
      </c>
      <c r="E809" t="s">
        <v>2937</v>
      </c>
      <c r="F809" t="str">
        <f t="shared" si="97"/>
        <v>N/A</v>
      </c>
      <c r="G809" s="1">
        <v>45864</v>
      </c>
      <c r="H809" s="1">
        <v>45537</v>
      </c>
      <c r="I809" t="s">
        <v>2384</v>
      </c>
      <c r="J809" t="str">
        <f t="shared" si="98"/>
        <v>Christopher Chen</v>
      </c>
      <c r="K809" t="s">
        <v>24</v>
      </c>
      <c r="L809" t="str">
        <f t="shared" si="99"/>
        <v>Neurology</v>
      </c>
      <c r="N809" t="str">
        <f t="shared" si="100"/>
        <v>N/A</v>
      </c>
      <c r="O809" t="str">
        <f t="shared" si="101"/>
        <v/>
      </c>
      <c r="P809" t="str" cm="1">
        <f t="array" ref="P809">_xlfn.IFS(N809="USD",O809*1,N809="GBP",O809*1.27,N809="EUR",O809*1.09,N809="INR",O809*0.012,N809="N/A","N/A")</f>
        <v>N/A</v>
      </c>
      <c r="Q809">
        <v>0</v>
      </c>
      <c r="R809" t="str" cm="1">
        <f t="array" ref="R809">_xlfn.IFS(Q809="Y","Yes", Q809="Yes","Yes", Q809="N","No", Q809="No","No", Q809=1,"N/A", Q809=0,"N/A", TRUE,"")</f>
        <v>N/A</v>
      </c>
      <c r="S809">
        <f t="shared" si="102"/>
        <v>8</v>
      </c>
      <c r="T809">
        <f t="shared" si="103"/>
        <v>1</v>
      </c>
      <c r="U809" t="str" cm="1">
        <f t="array" ref="U809">_xlfn.IFS(D809&lt;40,"Young Adult",AND(D809&gt;=40,D809&lt;65),"Middle Aged", D809&gt;=65,"Elderly")</f>
        <v>Elderly</v>
      </c>
    </row>
    <row r="810" spans="1:21" x14ac:dyDescent="0.2">
      <c r="A810">
        <v>1067</v>
      </c>
      <c r="B810">
        <f t="shared" si="96"/>
        <v>809</v>
      </c>
      <c r="C810" t="s">
        <v>2385</v>
      </c>
      <c r="D810">
        <v>57</v>
      </c>
      <c r="E810" t="s">
        <v>38</v>
      </c>
      <c r="F810" t="str">
        <f t="shared" si="97"/>
        <v>Female</v>
      </c>
      <c r="G810" s="1">
        <v>46013</v>
      </c>
      <c r="H810" s="1">
        <v>45663</v>
      </c>
      <c r="I810" t="s">
        <v>610</v>
      </c>
      <c r="J810" t="str">
        <f t="shared" si="98"/>
        <v>Wesley Johnson</v>
      </c>
      <c r="K810" t="s">
        <v>24</v>
      </c>
      <c r="L810" t="str">
        <f t="shared" si="99"/>
        <v>Neurology</v>
      </c>
      <c r="M810" t="s">
        <v>2386</v>
      </c>
      <c r="N810" t="str">
        <f t="shared" si="100"/>
        <v>USD</v>
      </c>
      <c r="O810">
        <f t="shared" si="101"/>
        <v>142.33000000000001</v>
      </c>
      <c r="P810" cm="1">
        <f t="array" ref="P810">_xlfn.IFS(N810="USD",O810*1,N810="GBP",O810*1.27,N810="EUR",O810*1.09,N810="INR",O810*0.012,N810="N/A","N/A")</f>
        <v>142.33000000000001</v>
      </c>
      <c r="Q810" t="s">
        <v>60</v>
      </c>
      <c r="R810" t="str" cm="1">
        <f t="array" ref="R810">_xlfn.IFS(Q810="Y","Yes", Q810="Yes","Yes", Q810="N","No", Q810="No","No", Q810=1,"N/A", Q810=0,"N/A", TRUE,"")</f>
        <v>No</v>
      </c>
      <c r="S810">
        <f t="shared" si="102"/>
        <v>9</v>
      </c>
      <c r="T810">
        <f t="shared" si="103"/>
        <v>1</v>
      </c>
      <c r="U810" t="str" cm="1">
        <f t="array" ref="U810">_xlfn.IFS(D810&lt;40,"Young Adult",AND(D810&gt;=40,D810&lt;65),"Middle Aged", D810&gt;=65,"Elderly")</f>
        <v>Middle Aged</v>
      </c>
    </row>
    <row r="811" spans="1:21" x14ac:dyDescent="0.2">
      <c r="A811">
        <v>1064</v>
      </c>
      <c r="B811">
        <f t="shared" si="96"/>
        <v>810</v>
      </c>
      <c r="C811" t="s">
        <v>2387</v>
      </c>
      <c r="D811">
        <v>57</v>
      </c>
      <c r="E811" t="s">
        <v>51</v>
      </c>
      <c r="F811" t="str">
        <f t="shared" si="97"/>
        <v>Male</v>
      </c>
      <c r="G811" s="1">
        <v>45907</v>
      </c>
      <c r="H811" s="1">
        <v>45569</v>
      </c>
      <c r="I811" t="s">
        <v>2388</v>
      </c>
      <c r="J811" t="str">
        <f t="shared" si="98"/>
        <v>Ryan Collins</v>
      </c>
      <c r="K811" t="s">
        <v>28</v>
      </c>
      <c r="L811" t="str">
        <f t="shared" si="99"/>
        <v>General</v>
      </c>
      <c r="M811" t="s">
        <v>2389</v>
      </c>
      <c r="N811" t="str">
        <f t="shared" si="100"/>
        <v>INR</v>
      </c>
      <c r="O811">
        <f t="shared" si="101"/>
        <v>476.81</v>
      </c>
      <c r="P811" cm="1">
        <f t="array" ref="P811">_xlfn.IFS(N811="USD",O811*1,N811="GBP",O811*1.27,N811="EUR",O811*1.09,N811="INR",O811*0.012,N811="N/A","N/A")</f>
        <v>5.7217200000000004</v>
      </c>
      <c r="Q811">
        <v>0</v>
      </c>
      <c r="R811" t="str" cm="1">
        <f t="array" ref="R811">_xlfn.IFS(Q811="Y","Yes", Q811="Yes","Yes", Q811="N","No", Q811="No","No", Q811=1,"N/A", Q811=0,"N/A", TRUE,"")</f>
        <v>N/A</v>
      </c>
      <c r="S811">
        <f t="shared" si="102"/>
        <v>5</v>
      </c>
      <c r="T811">
        <f t="shared" si="103"/>
        <v>1</v>
      </c>
      <c r="U811" t="str" cm="1">
        <f t="array" ref="U811">_xlfn.IFS(D811&lt;40,"Young Adult",AND(D811&gt;=40,D811&lt;65),"Middle Aged", D811&gt;=65,"Elderly")</f>
        <v>Middle Aged</v>
      </c>
    </row>
    <row r="812" spans="1:21" x14ac:dyDescent="0.2">
      <c r="A812">
        <v>1008</v>
      </c>
      <c r="B812">
        <f t="shared" si="96"/>
        <v>811</v>
      </c>
      <c r="C812" t="s">
        <v>2390</v>
      </c>
      <c r="D812">
        <v>22</v>
      </c>
      <c r="E812" t="s">
        <v>38</v>
      </c>
      <c r="F812" t="str">
        <f t="shared" si="97"/>
        <v>Female</v>
      </c>
      <c r="G812" s="1">
        <v>45912</v>
      </c>
      <c r="H812" s="1">
        <v>45555</v>
      </c>
      <c r="I812" t="s">
        <v>2391</v>
      </c>
      <c r="J812" t="str">
        <f t="shared" si="98"/>
        <v>Luis Kim</v>
      </c>
      <c r="K812" t="s">
        <v>28</v>
      </c>
      <c r="L812" t="str">
        <f t="shared" si="99"/>
        <v>General</v>
      </c>
      <c r="M812" t="s">
        <v>2392</v>
      </c>
      <c r="N812" t="str">
        <f t="shared" si="100"/>
        <v>EUR</v>
      </c>
      <c r="O812">
        <f t="shared" si="101"/>
        <v>351.04</v>
      </c>
      <c r="P812" cm="1">
        <f t="array" ref="P812">_xlfn.IFS(N812="USD",O812*1,N812="GBP",O812*1.27,N812="EUR",O812*1.09,N812="INR",O812*0.012,N812="N/A","N/A")</f>
        <v>382.63360000000006</v>
      </c>
      <c r="Q812">
        <v>1</v>
      </c>
      <c r="R812" t="str" cm="1">
        <f t="array" ref="R812">_xlfn.IFS(Q812="Y","Yes", Q812="Yes","Yes", Q812="N","No", Q812="No","No", Q812=1,"N/A", Q812=0,"N/A", TRUE,"")</f>
        <v>N/A</v>
      </c>
      <c r="S812">
        <f t="shared" si="102"/>
        <v>11</v>
      </c>
      <c r="T812">
        <f t="shared" si="103"/>
        <v>1</v>
      </c>
      <c r="U812" t="str" cm="1">
        <f t="array" ref="U812">_xlfn.IFS(D812&lt;40,"Young Adult",AND(D812&gt;=40,D812&lt;65),"Middle Aged", D812&gt;=65,"Elderly")</f>
        <v>Young Adult</v>
      </c>
    </row>
    <row r="813" spans="1:21" x14ac:dyDescent="0.2">
      <c r="A813">
        <v>1097</v>
      </c>
      <c r="B813">
        <f t="shared" si="96"/>
        <v>812</v>
      </c>
      <c r="C813" t="s">
        <v>2393</v>
      </c>
      <c r="D813">
        <v>42</v>
      </c>
      <c r="E813" t="s">
        <v>38</v>
      </c>
      <c r="F813" t="str">
        <f t="shared" si="97"/>
        <v>Female</v>
      </c>
      <c r="G813" s="1">
        <v>46054</v>
      </c>
      <c r="H813" s="1">
        <v>46022</v>
      </c>
      <c r="I813" t="s">
        <v>2394</v>
      </c>
      <c r="J813" t="str">
        <f t="shared" si="98"/>
        <v>Daisy Rodriguez</v>
      </c>
      <c r="K813" t="s">
        <v>24</v>
      </c>
      <c r="L813" t="str">
        <f t="shared" si="99"/>
        <v>Neurology</v>
      </c>
      <c r="M813" t="s">
        <v>2395</v>
      </c>
      <c r="N813" t="str">
        <f t="shared" si="100"/>
        <v>GBP</v>
      </c>
      <c r="O813">
        <f t="shared" si="101"/>
        <v>73.97</v>
      </c>
      <c r="P813" cm="1">
        <f t="array" ref="P813">_xlfn.IFS(N813="USD",O813*1,N813="GBP",O813*1.27,N813="EUR",O813*1.09,N813="INR",O813*0.012,N813="N/A","N/A")</f>
        <v>93.941900000000004</v>
      </c>
      <c r="Q813" t="s">
        <v>30</v>
      </c>
      <c r="R813" t="str" cm="1">
        <f t="array" ref="R813">_xlfn.IFS(Q813="Y","Yes", Q813="Yes","Yes", Q813="N","No", Q813="No","No", Q813=1,"N/A", Q813=0,"N/A", TRUE,"")</f>
        <v>No</v>
      </c>
      <c r="S813">
        <f t="shared" si="102"/>
        <v>10</v>
      </c>
      <c r="T813">
        <f t="shared" si="103"/>
        <v>1</v>
      </c>
      <c r="U813" t="str" cm="1">
        <f t="array" ref="U813">_xlfn.IFS(D813&lt;40,"Young Adult",AND(D813&gt;=40,D813&lt;65),"Middle Aged", D813&gt;=65,"Elderly")</f>
        <v>Middle Aged</v>
      </c>
    </row>
    <row r="814" spans="1:21" x14ac:dyDescent="0.2">
      <c r="A814">
        <v>1053</v>
      </c>
      <c r="B814">
        <f t="shared" si="96"/>
        <v>813</v>
      </c>
      <c r="C814" t="s">
        <v>2396</v>
      </c>
      <c r="D814">
        <v>39</v>
      </c>
      <c r="E814" t="s">
        <v>2937</v>
      </c>
      <c r="F814" t="str">
        <f t="shared" si="97"/>
        <v>N/A</v>
      </c>
      <c r="G814" s="1">
        <v>46037</v>
      </c>
      <c r="H814" s="1">
        <v>45972</v>
      </c>
      <c r="I814" t="s">
        <v>2397</v>
      </c>
      <c r="J814" t="str">
        <f t="shared" si="98"/>
        <v>Caleb Kennedy</v>
      </c>
      <c r="K814" t="s">
        <v>28</v>
      </c>
      <c r="L814" t="str">
        <f t="shared" si="99"/>
        <v>General</v>
      </c>
      <c r="M814" t="s">
        <v>2398</v>
      </c>
      <c r="N814" t="str">
        <f t="shared" si="100"/>
        <v>USD</v>
      </c>
      <c r="O814">
        <f t="shared" si="101"/>
        <v>295.70999999999998</v>
      </c>
      <c r="P814" cm="1">
        <f t="array" ref="P814">_xlfn.IFS(N814="USD",O814*1,N814="GBP",O814*1.27,N814="EUR",O814*1.09,N814="INR",O814*0.012,N814="N/A","N/A")</f>
        <v>295.70999999999998</v>
      </c>
      <c r="Q814" t="s">
        <v>60</v>
      </c>
      <c r="R814" t="str" cm="1">
        <f t="array" ref="R814">_xlfn.IFS(Q814="Y","Yes", Q814="Yes","Yes", Q814="N","No", Q814="No","No", Q814=1,"N/A", Q814=0,"N/A", TRUE,"")</f>
        <v>No</v>
      </c>
      <c r="S814">
        <f t="shared" si="102"/>
        <v>14</v>
      </c>
      <c r="T814">
        <f t="shared" si="103"/>
        <v>1</v>
      </c>
      <c r="U814" t="str" cm="1">
        <f t="array" ref="U814">_xlfn.IFS(D814&lt;40,"Young Adult",AND(D814&gt;=40,D814&lt;65),"Middle Aged", D814&gt;=65,"Elderly")</f>
        <v>Young Adult</v>
      </c>
    </row>
    <row r="815" spans="1:21" x14ac:dyDescent="0.2">
      <c r="A815">
        <v>1035</v>
      </c>
      <c r="B815">
        <f t="shared" si="96"/>
        <v>814</v>
      </c>
      <c r="C815" t="s">
        <v>2399</v>
      </c>
      <c r="D815">
        <v>46</v>
      </c>
      <c r="E815" t="s">
        <v>16</v>
      </c>
      <c r="F815" t="str">
        <f t="shared" si="97"/>
        <v>Female</v>
      </c>
      <c r="G815" s="1">
        <v>45882</v>
      </c>
      <c r="H815" s="1">
        <v>45802</v>
      </c>
      <c r="I815" t="s">
        <v>2400</v>
      </c>
      <c r="J815" t="str">
        <f t="shared" si="98"/>
        <v>Jason Houston</v>
      </c>
      <c r="K815" t="s">
        <v>13</v>
      </c>
      <c r="L815" t="str">
        <f t="shared" si="99"/>
        <v>Cardiology</v>
      </c>
      <c r="M815" t="s">
        <v>2401</v>
      </c>
      <c r="N815" t="str">
        <f t="shared" si="100"/>
        <v>INR</v>
      </c>
      <c r="O815">
        <f t="shared" si="101"/>
        <v>167.5</v>
      </c>
      <c r="P815" cm="1">
        <f t="array" ref="P815">_xlfn.IFS(N815="USD",O815*1,N815="GBP",O815*1.27,N815="EUR",O815*1.09,N815="INR",O815*0.012,N815="N/A","N/A")</f>
        <v>2.0100000000000002</v>
      </c>
      <c r="Q815">
        <v>1</v>
      </c>
      <c r="R815" t="str" cm="1">
        <f t="array" ref="R815">_xlfn.IFS(Q815="Y","Yes", Q815="Yes","Yes", Q815="N","No", Q815="No","No", Q815=1,"N/A", Q815=0,"N/A", TRUE,"")</f>
        <v>N/A</v>
      </c>
      <c r="S815">
        <f t="shared" si="102"/>
        <v>9</v>
      </c>
      <c r="T815">
        <f t="shared" si="103"/>
        <v>1</v>
      </c>
      <c r="U815" t="str" cm="1">
        <f t="array" ref="U815">_xlfn.IFS(D815&lt;40,"Young Adult",AND(D815&gt;=40,D815&lt;65),"Middle Aged", D815&gt;=65,"Elderly")</f>
        <v>Middle Aged</v>
      </c>
    </row>
    <row r="816" spans="1:21" x14ac:dyDescent="0.2">
      <c r="A816">
        <v>1074</v>
      </c>
      <c r="B816">
        <f t="shared" si="96"/>
        <v>815</v>
      </c>
      <c r="C816" t="s">
        <v>2402</v>
      </c>
      <c r="D816">
        <v>87</v>
      </c>
      <c r="E816" t="s">
        <v>2937</v>
      </c>
      <c r="F816" t="str">
        <f t="shared" si="97"/>
        <v>N/A</v>
      </c>
      <c r="G816" s="1">
        <v>45796</v>
      </c>
      <c r="H816" s="1">
        <v>45455</v>
      </c>
      <c r="I816" t="s">
        <v>2403</v>
      </c>
      <c r="J816" t="str">
        <f t="shared" si="98"/>
        <v>Lauren Medina</v>
      </c>
      <c r="K816" t="s">
        <v>28</v>
      </c>
      <c r="L816" t="str">
        <f t="shared" si="99"/>
        <v>General</v>
      </c>
      <c r="M816" t="s">
        <v>2404</v>
      </c>
      <c r="N816" t="str">
        <f t="shared" si="100"/>
        <v>GBP</v>
      </c>
      <c r="O816">
        <f t="shared" si="101"/>
        <v>321.5</v>
      </c>
      <c r="P816" cm="1">
        <f t="array" ref="P816">_xlfn.IFS(N816="USD",O816*1,N816="GBP",O816*1.27,N816="EUR",O816*1.09,N816="INR",O816*0.012,N816="N/A","N/A")</f>
        <v>408.30500000000001</v>
      </c>
      <c r="Q816" t="s">
        <v>20</v>
      </c>
      <c r="R816" t="str" cm="1">
        <f t="array" ref="R816">_xlfn.IFS(Q816="Y","Yes", Q816="Yes","Yes", Q816="N","No", Q816="No","No", Q816=1,"N/A", Q816=0,"N/A", TRUE,"")</f>
        <v>Yes</v>
      </c>
      <c r="S816">
        <f t="shared" si="102"/>
        <v>17</v>
      </c>
      <c r="T816">
        <f t="shared" si="103"/>
        <v>1</v>
      </c>
      <c r="U816" t="str" cm="1">
        <f t="array" ref="U816">_xlfn.IFS(D816&lt;40,"Young Adult",AND(D816&gt;=40,D816&lt;65),"Middle Aged", D816&gt;=65,"Elderly")</f>
        <v>Elderly</v>
      </c>
    </row>
    <row r="817" spans="1:21" x14ac:dyDescent="0.2">
      <c r="A817">
        <v>1015</v>
      </c>
      <c r="B817">
        <f t="shared" si="96"/>
        <v>816</v>
      </c>
      <c r="C817" t="s">
        <v>2405</v>
      </c>
      <c r="D817">
        <v>21</v>
      </c>
      <c r="E817" t="s">
        <v>38</v>
      </c>
      <c r="F817" t="str">
        <f t="shared" si="97"/>
        <v>Female</v>
      </c>
      <c r="G817" s="1">
        <v>45842</v>
      </c>
      <c r="H817" s="1">
        <v>45695</v>
      </c>
      <c r="I817" t="s">
        <v>1562</v>
      </c>
      <c r="J817" t="str">
        <f t="shared" si="98"/>
        <v>Allison Ramos</v>
      </c>
      <c r="K817" t="s">
        <v>13</v>
      </c>
      <c r="L817" t="str">
        <f t="shared" si="99"/>
        <v>Cardiology</v>
      </c>
      <c r="M817" t="s">
        <v>2406</v>
      </c>
      <c r="N817" t="str">
        <f t="shared" si="100"/>
        <v>USD</v>
      </c>
      <c r="O817">
        <f t="shared" si="101"/>
        <v>168.33</v>
      </c>
      <c r="P817" cm="1">
        <f t="array" ref="P817">_xlfn.IFS(N817="USD",O817*1,N817="GBP",O817*1.27,N817="EUR",O817*1.09,N817="INR",O817*0.012,N817="N/A","N/A")</f>
        <v>168.33</v>
      </c>
      <c r="Q817" t="s">
        <v>60</v>
      </c>
      <c r="R817" t="str" cm="1">
        <f t="array" ref="R817">_xlfn.IFS(Q817="Y","Yes", Q817="Yes","Yes", Q817="N","No", Q817="No","No", Q817=1,"N/A", Q817=0,"N/A", TRUE,"")</f>
        <v>No</v>
      </c>
      <c r="S817">
        <f t="shared" si="102"/>
        <v>17</v>
      </c>
      <c r="T817">
        <f t="shared" si="103"/>
        <v>1</v>
      </c>
      <c r="U817" t="str" cm="1">
        <f t="array" ref="U817">_xlfn.IFS(D817&lt;40,"Young Adult",AND(D817&gt;=40,D817&lt;65),"Middle Aged", D817&gt;=65,"Elderly")</f>
        <v>Young Adult</v>
      </c>
    </row>
    <row r="818" spans="1:21" x14ac:dyDescent="0.2">
      <c r="A818">
        <v>1071</v>
      </c>
      <c r="B818">
        <f t="shared" si="96"/>
        <v>817</v>
      </c>
      <c r="C818" t="s">
        <v>2407</v>
      </c>
      <c r="D818">
        <v>88</v>
      </c>
      <c r="E818" t="s">
        <v>16</v>
      </c>
      <c r="F818" t="str">
        <f t="shared" si="97"/>
        <v>Female</v>
      </c>
      <c r="G818" s="1">
        <v>45961</v>
      </c>
      <c r="H818" s="1">
        <v>45831</v>
      </c>
      <c r="I818" t="s">
        <v>2408</v>
      </c>
      <c r="J818" t="str">
        <f t="shared" si="98"/>
        <v>Karen Duke</v>
      </c>
      <c r="K818" t="s">
        <v>13</v>
      </c>
      <c r="L818" t="str">
        <f t="shared" si="99"/>
        <v>Cardiology</v>
      </c>
      <c r="M818" t="s">
        <v>2409</v>
      </c>
      <c r="N818" t="str">
        <f t="shared" si="100"/>
        <v>EUR</v>
      </c>
      <c r="O818">
        <f t="shared" si="101"/>
        <v>411.75</v>
      </c>
      <c r="P818" cm="1">
        <f t="array" ref="P818">_xlfn.IFS(N818="USD",O818*1,N818="GBP",O818*1.27,N818="EUR",O818*1.09,N818="INR",O818*0.012,N818="N/A","N/A")</f>
        <v>448.8075</v>
      </c>
      <c r="Q818" t="s">
        <v>36</v>
      </c>
      <c r="R818" t="str" cm="1">
        <f t="array" ref="R818">_xlfn.IFS(Q818="Y","Yes", Q818="Yes","Yes", Q818="N","No", Q818="No","No", Q818=1,"N/A", Q818=0,"N/A", TRUE,"")</f>
        <v>Yes</v>
      </c>
      <c r="S818">
        <f t="shared" si="102"/>
        <v>10</v>
      </c>
      <c r="T818">
        <f t="shared" si="103"/>
        <v>1</v>
      </c>
      <c r="U818" t="str" cm="1">
        <f t="array" ref="U818">_xlfn.IFS(D818&lt;40,"Young Adult",AND(D818&gt;=40,D818&lt;65),"Middle Aged", D818&gt;=65,"Elderly")</f>
        <v>Elderly</v>
      </c>
    </row>
    <row r="819" spans="1:21" x14ac:dyDescent="0.2">
      <c r="A819">
        <v>1044</v>
      </c>
      <c r="B819">
        <f t="shared" si="96"/>
        <v>818</v>
      </c>
      <c r="C819" t="s">
        <v>2410</v>
      </c>
      <c r="D819">
        <v>83</v>
      </c>
      <c r="E819" t="s">
        <v>2937</v>
      </c>
      <c r="F819" t="str">
        <f t="shared" si="97"/>
        <v>N/A</v>
      </c>
      <c r="G819" s="1">
        <v>45824</v>
      </c>
      <c r="H819" s="1">
        <v>45723</v>
      </c>
      <c r="I819" t="s">
        <v>676</v>
      </c>
      <c r="J819" t="str">
        <f t="shared" si="98"/>
        <v>Stephanie Bryant</v>
      </c>
      <c r="K819" t="s">
        <v>13</v>
      </c>
      <c r="L819" t="str">
        <f t="shared" si="99"/>
        <v>Cardiology</v>
      </c>
      <c r="N819" t="str">
        <f t="shared" si="100"/>
        <v>N/A</v>
      </c>
      <c r="O819" t="str">
        <f t="shared" si="101"/>
        <v/>
      </c>
      <c r="P819" t="str" cm="1">
        <f t="array" ref="P819">_xlfn.IFS(N819="USD",O819*1,N819="GBP",O819*1.27,N819="EUR",O819*1.09,N819="INR",O819*0.012,N819="N/A","N/A")</f>
        <v>N/A</v>
      </c>
      <c r="Q819" t="s">
        <v>30</v>
      </c>
      <c r="R819" t="str" cm="1">
        <f t="array" ref="R819">_xlfn.IFS(Q819="Y","Yes", Q819="Yes","Yes", Q819="N","No", Q819="No","No", Q819=1,"N/A", Q819=0,"N/A", TRUE,"")</f>
        <v>No</v>
      </c>
      <c r="S819">
        <f t="shared" si="102"/>
        <v>12</v>
      </c>
      <c r="T819">
        <f t="shared" si="103"/>
        <v>1</v>
      </c>
      <c r="U819" t="str" cm="1">
        <f t="array" ref="U819">_xlfn.IFS(D819&lt;40,"Young Adult",AND(D819&gt;=40,D819&lt;65),"Middle Aged", D819&gt;=65,"Elderly")</f>
        <v>Elderly</v>
      </c>
    </row>
    <row r="820" spans="1:21" x14ac:dyDescent="0.2">
      <c r="A820">
        <v>1038</v>
      </c>
      <c r="B820">
        <f t="shared" si="96"/>
        <v>819</v>
      </c>
      <c r="C820" t="s">
        <v>2411</v>
      </c>
      <c r="D820">
        <v>29</v>
      </c>
      <c r="E820" t="s">
        <v>16</v>
      </c>
      <c r="F820" t="str">
        <f t="shared" si="97"/>
        <v>Female</v>
      </c>
      <c r="G820" s="1">
        <v>46073</v>
      </c>
      <c r="H820" s="1">
        <v>45526</v>
      </c>
      <c r="I820" t="s">
        <v>2412</v>
      </c>
      <c r="J820" t="str">
        <f t="shared" si="98"/>
        <v>Daniel Bender</v>
      </c>
      <c r="K820" t="s">
        <v>24</v>
      </c>
      <c r="L820" t="str">
        <f t="shared" si="99"/>
        <v>Neurology</v>
      </c>
      <c r="M820" t="s">
        <v>2413</v>
      </c>
      <c r="N820" t="str">
        <f t="shared" si="100"/>
        <v>GBP</v>
      </c>
      <c r="O820">
        <f t="shared" si="101"/>
        <v>462.15</v>
      </c>
      <c r="P820" cm="1">
        <f t="array" ref="P820">_xlfn.IFS(N820="USD",O820*1,N820="GBP",O820*1.27,N820="EUR",O820*1.09,N820="INR",O820*0.012,N820="N/A","N/A")</f>
        <v>586.93049999999994</v>
      </c>
      <c r="Q820">
        <v>0</v>
      </c>
      <c r="R820" t="str" cm="1">
        <f t="array" ref="R820">_xlfn.IFS(Q820="Y","Yes", Q820="Yes","Yes", Q820="N","No", Q820="No","No", Q820=1,"N/A", Q820=0,"N/A", TRUE,"")</f>
        <v>N/A</v>
      </c>
      <c r="S820">
        <f t="shared" si="102"/>
        <v>10</v>
      </c>
      <c r="T820">
        <f t="shared" si="103"/>
        <v>1</v>
      </c>
      <c r="U820" t="str" cm="1">
        <f t="array" ref="U820">_xlfn.IFS(D820&lt;40,"Young Adult",AND(D820&gt;=40,D820&lt;65),"Middle Aged", D820&gt;=65,"Elderly")</f>
        <v>Young Adult</v>
      </c>
    </row>
    <row r="821" spans="1:21" x14ac:dyDescent="0.2">
      <c r="A821">
        <v>1001</v>
      </c>
      <c r="B821">
        <f t="shared" si="96"/>
        <v>820</v>
      </c>
      <c r="C821" t="s">
        <v>2414</v>
      </c>
      <c r="D821">
        <v>30</v>
      </c>
      <c r="E821" t="s">
        <v>71</v>
      </c>
      <c r="F821" t="str">
        <f t="shared" si="97"/>
        <v>Male</v>
      </c>
      <c r="G821" s="1">
        <v>45807</v>
      </c>
      <c r="H821" s="1">
        <v>45631</v>
      </c>
      <c r="I821" t="s">
        <v>2415</v>
      </c>
      <c r="J821" t="str">
        <f t="shared" si="98"/>
        <v>Amanda White</v>
      </c>
      <c r="K821" t="s">
        <v>24</v>
      </c>
      <c r="L821" t="str">
        <f t="shared" si="99"/>
        <v>Neurology</v>
      </c>
      <c r="N821" t="str">
        <f t="shared" si="100"/>
        <v>N/A</v>
      </c>
      <c r="O821" t="str">
        <f t="shared" si="101"/>
        <v/>
      </c>
      <c r="P821" t="str" cm="1">
        <f t="array" ref="P821">_xlfn.IFS(N821="USD",O821*1,N821="GBP",O821*1.27,N821="EUR",O821*1.09,N821="INR",O821*0.012,N821="N/A","N/A")</f>
        <v>N/A</v>
      </c>
      <c r="Q821" t="s">
        <v>36</v>
      </c>
      <c r="R821" t="str" cm="1">
        <f t="array" ref="R821">_xlfn.IFS(Q821="Y","Yes", Q821="Yes","Yes", Q821="N","No", Q821="No","No", Q821=1,"N/A", Q821=0,"N/A", TRUE,"")</f>
        <v>Yes</v>
      </c>
      <c r="S821">
        <f t="shared" si="102"/>
        <v>12</v>
      </c>
      <c r="T821">
        <f t="shared" si="103"/>
        <v>1</v>
      </c>
      <c r="U821" t="str" cm="1">
        <f t="array" ref="U821">_xlfn.IFS(D821&lt;40,"Young Adult",AND(D821&gt;=40,D821&lt;65),"Middle Aged", D821&gt;=65,"Elderly")</f>
        <v>Young Adult</v>
      </c>
    </row>
    <row r="822" spans="1:21" x14ac:dyDescent="0.2">
      <c r="A822">
        <v>1056</v>
      </c>
      <c r="B822">
        <f t="shared" si="96"/>
        <v>821</v>
      </c>
      <c r="C822" t="s">
        <v>2416</v>
      </c>
      <c r="D822">
        <v>33</v>
      </c>
      <c r="E822" t="s">
        <v>2937</v>
      </c>
      <c r="F822" t="str">
        <f t="shared" si="97"/>
        <v>N/A</v>
      </c>
      <c r="G822" s="1">
        <v>45946</v>
      </c>
      <c r="H822" s="1">
        <v>45548</v>
      </c>
      <c r="I822" t="s">
        <v>2417</v>
      </c>
      <c r="J822" t="str">
        <f t="shared" si="98"/>
        <v>Tracy Harris</v>
      </c>
      <c r="K822" t="s">
        <v>18</v>
      </c>
      <c r="L822" t="str">
        <f t="shared" si="99"/>
        <v>Orthopedics</v>
      </c>
      <c r="M822" t="s">
        <v>2418</v>
      </c>
      <c r="N822" t="str">
        <f t="shared" si="100"/>
        <v>EUR</v>
      </c>
      <c r="O822">
        <f t="shared" si="101"/>
        <v>124.69</v>
      </c>
      <c r="P822" cm="1">
        <f t="array" ref="P822">_xlfn.IFS(N822="USD",O822*1,N822="GBP",O822*1.27,N822="EUR",O822*1.09,N822="INR",O822*0.012,N822="N/A","N/A")</f>
        <v>135.91210000000001</v>
      </c>
      <c r="Q822" t="s">
        <v>30</v>
      </c>
      <c r="R822" t="str" cm="1">
        <f t="array" ref="R822">_xlfn.IFS(Q822="Y","Yes", Q822="Yes","Yes", Q822="N","No", Q822="No","No", Q822=1,"N/A", Q822=0,"N/A", TRUE,"")</f>
        <v>No</v>
      </c>
      <c r="S822">
        <f t="shared" si="102"/>
        <v>13</v>
      </c>
      <c r="T822">
        <f t="shared" si="103"/>
        <v>1</v>
      </c>
      <c r="U822" t="str" cm="1">
        <f t="array" ref="U822">_xlfn.IFS(D822&lt;40,"Young Adult",AND(D822&gt;=40,D822&lt;65),"Middle Aged", D822&gt;=65,"Elderly")</f>
        <v>Young Adult</v>
      </c>
    </row>
    <row r="823" spans="1:21" x14ac:dyDescent="0.2">
      <c r="A823">
        <v>1008</v>
      </c>
      <c r="B823">
        <f t="shared" si="96"/>
        <v>822</v>
      </c>
      <c r="C823" t="s">
        <v>2419</v>
      </c>
      <c r="D823">
        <v>71</v>
      </c>
      <c r="E823" t="s">
        <v>2937</v>
      </c>
      <c r="F823" t="str">
        <f t="shared" si="97"/>
        <v>N/A</v>
      </c>
      <c r="G823" s="1">
        <v>45906</v>
      </c>
      <c r="H823" s="1">
        <v>45433</v>
      </c>
      <c r="I823" t="s">
        <v>2420</v>
      </c>
      <c r="J823" t="str">
        <f t="shared" si="98"/>
        <v>Brian Vincent</v>
      </c>
      <c r="K823" t="s">
        <v>24</v>
      </c>
      <c r="L823" t="str">
        <f t="shared" si="99"/>
        <v>Neurology</v>
      </c>
      <c r="M823" t="s">
        <v>2421</v>
      </c>
      <c r="N823" t="str">
        <f t="shared" si="100"/>
        <v>EUR</v>
      </c>
      <c r="O823">
        <f t="shared" si="101"/>
        <v>129.38</v>
      </c>
      <c r="P823" cm="1">
        <f t="array" ref="P823">_xlfn.IFS(N823="USD",O823*1,N823="GBP",O823*1.27,N823="EUR",O823*1.09,N823="INR",O823*0.012,N823="N/A","N/A")</f>
        <v>141.02420000000001</v>
      </c>
      <c r="Q823">
        <v>0</v>
      </c>
      <c r="R823" t="str" cm="1">
        <f t="array" ref="R823">_xlfn.IFS(Q823="Y","Yes", Q823="Yes","Yes", Q823="N","No", Q823="No","No", Q823=1,"N/A", Q823=0,"N/A", TRUE,"")</f>
        <v>N/A</v>
      </c>
      <c r="S823">
        <f t="shared" si="102"/>
        <v>11</v>
      </c>
      <c r="T823">
        <f t="shared" si="103"/>
        <v>1</v>
      </c>
      <c r="U823" t="str" cm="1">
        <f t="array" ref="U823">_xlfn.IFS(D823&lt;40,"Young Adult",AND(D823&gt;=40,D823&lt;65),"Middle Aged", D823&gt;=65,"Elderly")</f>
        <v>Elderly</v>
      </c>
    </row>
    <row r="824" spans="1:21" x14ac:dyDescent="0.2">
      <c r="A824">
        <v>1099</v>
      </c>
      <c r="B824">
        <f t="shared" si="96"/>
        <v>823</v>
      </c>
      <c r="C824" t="s">
        <v>2422</v>
      </c>
      <c r="D824">
        <v>74</v>
      </c>
      <c r="E824" t="s">
        <v>71</v>
      </c>
      <c r="F824" t="str">
        <f t="shared" si="97"/>
        <v>Male</v>
      </c>
      <c r="G824" s="1">
        <v>45786</v>
      </c>
      <c r="H824" s="1">
        <v>45608</v>
      </c>
      <c r="I824" t="s">
        <v>2423</v>
      </c>
      <c r="J824" t="str">
        <f t="shared" si="98"/>
        <v>Kathryn Young</v>
      </c>
      <c r="K824" t="s">
        <v>13</v>
      </c>
      <c r="L824" t="str">
        <f t="shared" si="99"/>
        <v>Cardiology</v>
      </c>
      <c r="M824" t="s">
        <v>2424</v>
      </c>
      <c r="N824" t="str">
        <f t="shared" si="100"/>
        <v>USD</v>
      </c>
      <c r="O824">
        <f t="shared" si="101"/>
        <v>488.54</v>
      </c>
      <c r="P824" cm="1">
        <f t="array" ref="P824">_xlfn.IFS(N824="USD",O824*1,N824="GBP",O824*1.27,N824="EUR",O824*1.09,N824="INR",O824*0.012,N824="N/A","N/A")</f>
        <v>488.54</v>
      </c>
      <c r="Q824" t="s">
        <v>60</v>
      </c>
      <c r="R824" t="str" cm="1">
        <f t="array" ref="R824">_xlfn.IFS(Q824="Y","Yes", Q824="Yes","Yes", Q824="N","No", Q824="No","No", Q824=1,"N/A", Q824=0,"N/A", TRUE,"")</f>
        <v>No</v>
      </c>
      <c r="S824">
        <f t="shared" si="102"/>
        <v>7</v>
      </c>
      <c r="T824">
        <f t="shared" si="103"/>
        <v>1</v>
      </c>
      <c r="U824" t="str" cm="1">
        <f t="array" ref="U824">_xlfn.IFS(D824&lt;40,"Young Adult",AND(D824&gt;=40,D824&lt;65),"Middle Aged", D824&gt;=65,"Elderly")</f>
        <v>Elderly</v>
      </c>
    </row>
    <row r="825" spans="1:21" x14ac:dyDescent="0.2">
      <c r="A825">
        <v>1060</v>
      </c>
      <c r="B825">
        <f t="shared" si="96"/>
        <v>824</v>
      </c>
      <c r="C825" t="s">
        <v>2425</v>
      </c>
      <c r="D825">
        <v>26</v>
      </c>
      <c r="E825" t="s">
        <v>71</v>
      </c>
      <c r="F825" t="str">
        <f t="shared" si="97"/>
        <v>Male</v>
      </c>
      <c r="G825" s="1">
        <v>45947</v>
      </c>
      <c r="H825" s="1">
        <v>45638</v>
      </c>
      <c r="I825" t="s">
        <v>2426</v>
      </c>
      <c r="J825" t="str">
        <f t="shared" si="98"/>
        <v>Connor Brown</v>
      </c>
      <c r="K825" t="s">
        <v>18</v>
      </c>
      <c r="L825" t="str">
        <f t="shared" si="99"/>
        <v>Orthopedics</v>
      </c>
      <c r="M825" t="s">
        <v>2427</v>
      </c>
      <c r="N825" t="str">
        <f t="shared" si="100"/>
        <v>GBP</v>
      </c>
      <c r="O825">
        <f t="shared" si="101"/>
        <v>93.45</v>
      </c>
      <c r="P825" cm="1">
        <f t="array" ref="P825">_xlfn.IFS(N825="USD",O825*1,N825="GBP",O825*1.27,N825="EUR",O825*1.09,N825="INR",O825*0.012,N825="N/A","N/A")</f>
        <v>118.6815</v>
      </c>
      <c r="Q825" t="s">
        <v>30</v>
      </c>
      <c r="R825" t="str" cm="1">
        <f t="array" ref="R825">_xlfn.IFS(Q825="Y","Yes", Q825="Yes","Yes", Q825="N","No", Q825="No","No", Q825=1,"N/A", Q825=0,"N/A", TRUE,"")</f>
        <v>No</v>
      </c>
      <c r="S825">
        <f t="shared" si="102"/>
        <v>6</v>
      </c>
      <c r="T825">
        <f t="shared" si="103"/>
        <v>1</v>
      </c>
      <c r="U825" t="str" cm="1">
        <f t="array" ref="U825">_xlfn.IFS(D825&lt;40,"Young Adult",AND(D825&gt;=40,D825&lt;65),"Middle Aged", D825&gt;=65,"Elderly")</f>
        <v>Young Adult</v>
      </c>
    </row>
    <row r="826" spans="1:21" x14ac:dyDescent="0.2">
      <c r="A826">
        <v>1080</v>
      </c>
      <c r="B826">
        <f t="shared" si="96"/>
        <v>825</v>
      </c>
      <c r="C826" t="s">
        <v>2428</v>
      </c>
      <c r="D826">
        <v>18</v>
      </c>
      <c r="E826" t="s">
        <v>71</v>
      </c>
      <c r="F826" t="str">
        <f t="shared" si="97"/>
        <v>Male</v>
      </c>
      <c r="G826" s="1">
        <v>45812</v>
      </c>
      <c r="H826" s="1">
        <v>45640</v>
      </c>
      <c r="I826" t="s">
        <v>2429</v>
      </c>
      <c r="J826" t="str">
        <f t="shared" si="98"/>
        <v>Kimberly Mcdonald</v>
      </c>
      <c r="K826" t="s">
        <v>24</v>
      </c>
      <c r="L826" t="str">
        <f t="shared" si="99"/>
        <v>Neurology</v>
      </c>
      <c r="M826" t="s">
        <v>2430</v>
      </c>
      <c r="N826" t="str">
        <f t="shared" si="100"/>
        <v>EUR</v>
      </c>
      <c r="O826">
        <f t="shared" si="101"/>
        <v>73.45</v>
      </c>
      <c r="P826" cm="1">
        <f t="array" ref="P826">_xlfn.IFS(N826="USD",O826*1,N826="GBP",O826*1.27,N826="EUR",O826*1.09,N826="INR",O826*0.012,N826="N/A","N/A")</f>
        <v>80.060500000000005</v>
      </c>
      <c r="Q826" t="s">
        <v>30</v>
      </c>
      <c r="R826" t="str" cm="1">
        <f t="array" ref="R826">_xlfn.IFS(Q826="Y","Yes", Q826="Yes","Yes", Q826="N","No", Q826="No","No", Q826=1,"N/A", Q826=0,"N/A", TRUE,"")</f>
        <v>No</v>
      </c>
      <c r="S826">
        <f t="shared" si="102"/>
        <v>11</v>
      </c>
      <c r="T826">
        <f t="shared" si="103"/>
        <v>1</v>
      </c>
      <c r="U826" t="str" cm="1">
        <f t="array" ref="U826">_xlfn.IFS(D826&lt;40,"Young Adult",AND(D826&gt;=40,D826&lt;65),"Middle Aged", D826&gt;=65,"Elderly")</f>
        <v>Young Adult</v>
      </c>
    </row>
    <row r="827" spans="1:21" x14ac:dyDescent="0.2">
      <c r="A827">
        <v>1056</v>
      </c>
      <c r="B827">
        <f t="shared" si="96"/>
        <v>826</v>
      </c>
      <c r="C827" t="s">
        <v>2431</v>
      </c>
      <c r="D827">
        <v>26</v>
      </c>
      <c r="E827" t="s">
        <v>2937</v>
      </c>
      <c r="F827" t="str">
        <f t="shared" si="97"/>
        <v>N/A</v>
      </c>
      <c r="G827" s="1">
        <v>45987</v>
      </c>
      <c r="H827" s="1">
        <v>45764</v>
      </c>
      <c r="I827" t="s">
        <v>2432</v>
      </c>
      <c r="J827" t="str">
        <f t="shared" si="98"/>
        <v>James Nguyen</v>
      </c>
      <c r="K827" t="s">
        <v>24</v>
      </c>
      <c r="L827" t="str">
        <f t="shared" si="99"/>
        <v>Neurology</v>
      </c>
      <c r="M827" t="s">
        <v>2433</v>
      </c>
      <c r="N827" t="str">
        <f t="shared" si="100"/>
        <v>USD</v>
      </c>
      <c r="O827">
        <f t="shared" si="101"/>
        <v>340.47</v>
      </c>
      <c r="P827" cm="1">
        <f t="array" ref="P827">_xlfn.IFS(N827="USD",O827*1,N827="GBP",O827*1.27,N827="EUR",O827*1.09,N827="INR",O827*0.012,N827="N/A","N/A")</f>
        <v>340.47</v>
      </c>
      <c r="Q827" t="s">
        <v>30</v>
      </c>
      <c r="R827" t="str" cm="1">
        <f t="array" ref="R827">_xlfn.IFS(Q827="Y","Yes", Q827="Yes","Yes", Q827="N","No", Q827="No","No", Q827=1,"N/A", Q827=0,"N/A", TRUE,"")</f>
        <v>No</v>
      </c>
      <c r="S827">
        <f t="shared" si="102"/>
        <v>13</v>
      </c>
      <c r="T827">
        <f t="shared" si="103"/>
        <v>1</v>
      </c>
      <c r="U827" t="str" cm="1">
        <f t="array" ref="U827">_xlfn.IFS(D827&lt;40,"Young Adult",AND(D827&gt;=40,D827&lt;65),"Middle Aged", D827&gt;=65,"Elderly")</f>
        <v>Young Adult</v>
      </c>
    </row>
    <row r="828" spans="1:21" x14ac:dyDescent="0.2">
      <c r="A828">
        <v>1077</v>
      </c>
      <c r="B828">
        <f t="shared" si="96"/>
        <v>827</v>
      </c>
      <c r="C828" t="s">
        <v>2434</v>
      </c>
      <c r="D828">
        <v>78</v>
      </c>
      <c r="E828" t="s">
        <v>51</v>
      </c>
      <c r="F828" t="str">
        <f t="shared" si="97"/>
        <v>Male</v>
      </c>
      <c r="G828" s="1">
        <v>46031</v>
      </c>
      <c r="H828" s="1">
        <v>45784</v>
      </c>
      <c r="I828" t="s">
        <v>2435</v>
      </c>
      <c r="J828" t="str">
        <f t="shared" si="98"/>
        <v>Matthew Wilson</v>
      </c>
      <c r="K828" t="s">
        <v>13</v>
      </c>
      <c r="L828" t="str">
        <f t="shared" si="99"/>
        <v>Cardiology</v>
      </c>
      <c r="M828" t="s">
        <v>2436</v>
      </c>
      <c r="N828" t="str">
        <f t="shared" si="100"/>
        <v>GBP</v>
      </c>
      <c r="O828">
        <f t="shared" si="101"/>
        <v>414.94</v>
      </c>
      <c r="P828" cm="1">
        <f t="array" ref="P828">_xlfn.IFS(N828="USD",O828*1,N828="GBP",O828*1.27,N828="EUR",O828*1.09,N828="INR",O828*0.012,N828="N/A","N/A")</f>
        <v>526.97379999999998</v>
      </c>
      <c r="Q828">
        <v>0</v>
      </c>
      <c r="R828" t="str" cm="1">
        <f t="array" ref="R828">_xlfn.IFS(Q828="Y","Yes", Q828="Yes","Yes", Q828="N","No", Q828="No","No", Q828=1,"N/A", Q828=0,"N/A", TRUE,"")</f>
        <v>N/A</v>
      </c>
      <c r="S828">
        <f t="shared" si="102"/>
        <v>10</v>
      </c>
      <c r="T828">
        <f t="shared" si="103"/>
        <v>1</v>
      </c>
      <c r="U828" t="str" cm="1">
        <f t="array" ref="U828">_xlfn.IFS(D828&lt;40,"Young Adult",AND(D828&gt;=40,D828&lt;65),"Middle Aged", D828&gt;=65,"Elderly")</f>
        <v>Elderly</v>
      </c>
    </row>
    <row r="829" spans="1:21" x14ac:dyDescent="0.2">
      <c r="A829">
        <v>1036</v>
      </c>
      <c r="B829">
        <f t="shared" si="96"/>
        <v>828</v>
      </c>
      <c r="C829" t="s">
        <v>2437</v>
      </c>
      <c r="D829">
        <v>25</v>
      </c>
      <c r="E829" t="s">
        <v>71</v>
      </c>
      <c r="F829" t="str">
        <f t="shared" si="97"/>
        <v>Male</v>
      </c>
      <c r="G829" s="1">
        <v>45822</v>
      </c>
      <c r="H829" s="1">
        <v>45409</v>
      </c>
      <c r="I829" t="s">
        <v>2438</v>
      </c>
      <c r="J829" t="str">
        <f t="shared" si="98"/>
        <v>Kimberly Rangel</v>
      </c>
      <c r="K829" t="s">
        <v>24</v>
      </c>
      <c r="L829" t="str">
        <f t="shared" si="99"/>
        <v>Neurology</v>
      </c>
      <c r="M829" t="s">
        <v>2439</v>
      </c>
      <c r="N829" t="str">
        <f t="shared" si="100"/>
        <v>EUR</v>
      </c>
      <c r="O829">
        <f t="shared" si="101"/>
        <v>238.05</v>
      </c>
      <c r="P829" cm="1">
        <f t="array" ref="P829">_xlfn.IFS(N829="USD",O829*1,N829="GBP",O829*1.27,N829="EUR",O829*1.09,N829="INR",O829*0.012,N829="N/A","N/A")</f>
        <v>259.47450000000003</v>
      </c>
      <c r="Q829" t="s">
        <v>36</v>
      </c>
      <c r="R829" t="str" cm="1">
        <f t="array" ref="R829">_xlfn.IFS(Q829="Y","Yes", Q829="Yes","Yes", Q829="N","No", Q829="No","No", Q829=1,"N/A", Q829=0,"N/A", TRUE,"")</f>
        <v>Yes</v>
      </c>
      <c r="S829">
        <f t="shared" si="102"/>
        <v>14</v>
      </c>
      <c r="T829">
        <f t="shared" si="103"/>
        <v>1</v>
      </c>
      <c r="U829" t="str" cm="1">
        <f t="array" ref="U829">_xlfn.IFS(D829&lt;40,"Young Adult",AND(D829&gt;=40,D829&lt;65),"Middle Aged", D829&gt;=65,"Elderly")</f>
        <v>Young Adult</v>
      </c>
    </row>
    <row r="830" spans="1:21" x14ac:dyDescent="0.2">
      <c r="A830">
        <v>1050</v>
      </c>
      <c r="B830">
        <f t="shared" si="96"/>
        <v>829</v>
      </c>
      <c r="C830" t="s">
        <v>728</v>
      </c>
      <c r="D830">
        <v>41</v>
      </c>
      <c r="E830" t="s">
        <v>38</v>
      </c>
      <c r="F830" t="str">
        <f t="shared" si="97"/>
        <v>Female</v>
      </c>
      <c r="G830" s="1">
        <v>46060</v>
      </c>
      <c r="H830" s="1">
        <v>45804</v>
      </c>
      <c r="I830" t="s">
        <v>2440</v>
      </c>
      <c r="J830" t="str">
        <f t="shared" si="98"/>
        <v>Brian Mitchell</v>
      </c>
      <c r="K830" t="s">
        <v>18</v>
      </c>
      <c r="L830" t="str">
        <f t="shared" si="99"/>
        <v>Orthopedics</v>
      </c>
      <c r="M830" t="s">
        <v>2441</v>
      </c>
      <c r="N830" t="str">
        <f t="shared" si="100"/>
        <v>INR</v>
      </c>
      <c r="O830">
        <f t="shared" si="101"/>
        <v>63.62</v>
      </c>
      <c r="P830" cm="1">
        <f t="array" ref="P830">_xlfn.IFS(N830="USD",O830*1,N830="GBP",O830*1.27,N830="EUR",O830*1.09,N830="INR",O830*0.012,N830="N/A","N/A")</f>
        <v>0.76344000000000001</v>
      </c>
      <c r="Q830" t="s">
        <v>36</v>
      </c>
      <c r="R830" t="str" cm="1">
        <f t="array" ref="R830">_xlfn.IFS(Q830="Y","Yes", Q830="Yes","Yes", Q830="N","No", Q830="No","No", Q830=1,"N/A", Q830=0,"N/A", TRUE,"")</f>
        <v>Yes</v>
      </c>
      <c r="S830">
        <f t="shared" si="102"/>
        <v>12</v>
      </c>
      <c r="T830">
        <f t="shared" si="103"/>
        <v>1</v>
      </c>
      <c r="U830" t="str" cm="1">
        <f t="array" ref="U830">_xlfn.IFS(D830&lt;40,"Young Adult",AND(D830&gt;=40,D830&lt;65),"Middle Aged", D830&gt;=65,"Elderly")</f>
        <v>Middle Aged</v>
      </c>
    </row>
    <row r="831" spans="1:21" x14ac:dyDescent="0.2">
      <c r="A831">
        <v>1003</v>
      </c>
      <c r="B831">
        <f t="shared" si="96"/>
        <v>830</v>
      </c>
      <c r="C831" t="s">
        <v>2442</v>
      </c>
      <c r="D831">
        <v>85</v>
      </c>
      <c r="E831" t="s">
        <v>38</v>
      </c>
      <c r="F831" t="str">
        <f t="shared" si="97"/>
        <v>Female</v>
      </c>
      <c r="G831" s="1">
        <v>45868</v>
      </c>
      <c r="H831" s="1">
        <v>45579</v>
      </c>
      <c r="I831" t="s">
        <v>2443</v>
      </c>
      <c r="J831" t="str">
        <f t="shared" si="98"/>
        <v>Karen Grimes</v>
      </c>
      <c r="K831" t="s">
        <v>13</v>
      </c>
      <c r="L831" t="str">
        <f t="shared" si="99"/>
        <v>Cardiology</v>
      </c>
      <c r="M831" t="s">
        <v>2444</v>
      </c>
      <c r="N831" t="str">
        <f t="shared" si="100"/>
        <v>USD</v>
      </c>
      <c r="O831">
        <f t="shared" si="101"/>
        <v>101.59</v>
      </c>
      <c r="P831" cm="1">
        <f t="array" ref="P831">_xlfn.IFS(N831="USD",O831*1,N831="GBP",O831*1.27,N831="EUR",O831*1.09,N831="INR",O831*0.012,N831="N/A","N/A")</f>
        <v>101.59</v>
      </c>
      <c r="Q831">
        <v>1</v>
      </c>
      <c r="R831" t="str" cm="1">
        <f t="array" ref="R831">_xlfn.IFS(Q831="Y","Yes", Q831="Yes","Yes", Q831="N","No", Q831="No","No", Q831=1,"N/A", Q831=0,"N/A", TRUE,"")</f>
        <v>N/A</v>
      </c>
      <c r="S831">
        <f t="shared" si="102"/>
        <v>12</v>
      </c>
      <c r="T831">
        <f t="shared" si="103"/>
        <v>1</v>
      </c>
      <c r="U831" t="str" cm="1">
        <f t="array" ref="U831">_xlfn.IFS(D831&lt;40,"Young Adult",AND(D831&gt;=40,D831&lt;65),"Middle Aged", D831&gt;=65,"Elderly")</f>
        <v>Elderly</v>
      </c>
    </row>
    <row r="832" spans="1:21" x14ac:dyDescent="0.2">
      <c r="A832">
        <v>1042</v>
      </c>
      <c r="B832">
        <f t="shared" si="96"/>
        <v>831</v>
      </c>
      <c r="C832" t="s">
        <v>2445</v>
      </c>
      <c r="D832">
        <v>60</v>
      </c>
      <c r="E832" t="s">
        <v>38</v>
      </c>
      <c r="F832" t="str">
        <f t="shared" si="97"/>
        <v>Female</v>
      </c>
      <c r="G832" s="1">
        <v>45744</v>
      </c>
      <c r="H832" s="1">
        <v>45610</v>
      </c>
      <c r="I832" t="s">
        <v>2446</v>
      </c>
      <c r="J832" t="str">
        <f t="shared" si="98"/>
        <v>Richard Walker</v>
      </c>
      <c r="K832" t="s">
        <v>18</v>
      </c>
      <c r="L832" t="str">
        <f t="shared" si="99"/>
        <v>Orthopedics</v>
      </c>
      <c r="M832" t="s">
        <v>2447</v>
      </c>
      <c r="N832" t="str">
        <f t="shared" si="100"/>
        <v>USD</v>
      </c>
      <c r="O832">
        <f t="shared" si="101"/>
        <v>498.48</v>
      </c>
      <c r="P832" cm="1">
        <f t="array" ref="P832">_xlfn.IFS(N832="USD",O832*1,N832="GBP",O832*1.27,N832="EUR",O832*1.09,N832="INR",O832*0.012,N832="N/A","N/A")</f>
        <v>498.48</v>
      </c>
      <c r="Q832" t="s">
        <v>36</v>
      </c>
      <c r="R832" t="str" cm="1">
        <f t="array" ref="R832">_xlfn.IFS(Q832="Y","Yes", Q832="Yes","Yes", Q832="N","No", Q832="No","No", Q832=1,"N/A", Q832=0,"N/A", TRUE,"")</f>
        <v>Yes</v>
      </c>
      <c r="S832">
        <f t="shared" si="102"/>
        <v>4</v>
      </c>
      <c r="T832">
        <f t="shared" si="103"/>
        <v>1</v>
      </c>
      <c r="U832" t="str" cm="1">
        <f t="array" ref="U832">_xlfn.IFS(D832&lt;40,"Young Adult",AND(D832&gt;=40,D832&lt;65),"Middle Aged", D832&gt;=65,"Elderly")</f>
        <v>Middle Aged</v>
      </c>
    </row>
    <row r="833" spans="1:21" x14ac:dyDescent="0.2">
      <c r="A833">
        <v>1019</v>
      </c>
      <c r="B833">
        <f t="shared" si="96"/>
        <v>832</v>
      </c>
      <c r="C833" t="s">
        <v>2448</v>
      </c>
      <c r="D833">
        <v>34</v>
      </c>
      <c r="E833" t="s">
        <v>38</v>
      </c>
      <c r="F833" t="str">
        <f t="shared" si="97"/>
        <v>Female</v>
      </c>
      <c r="G833" s="1">
        <v>46081</v>
      </c>
      <c r="H833" s="1">
        <v>45869</v>
      </c>
      <c r="I833" t="s">
        <v>2449</v>
      </c>
      <c r="J833" t="str">
        <f t="shared" si="98"/>
        <v>Jamie Ford</v>
      </c>
      <c r="K833" t="s">
        <v>28</v>
      </c>
      <c r="L833" t="str">
        <f t="shared" si="99"/>
        <v>General</v>
      </c>
      <c r="M833" t="s">
        <v>2450</v>
      </c>
      <c r="N833" t="str">
        <f t="shared" si="100"/>
        <v>USD</v>
      </c>
      <c r="O833">
        <f t="shared" si="101"/>
        <v>305.83999999999997</v>
      </c>
      <c r="P833" cm="1">
        <f t="array" ref="P833">_xlfn.IFS(N833="USD",O833*1,N833="GBP",O833*1.27,N833="EUR",O833*1.09,N833="INR",O833*0.012,N833="N/A","N/A")</f>
        <v>305.83999999999997</v>
      </c>
      <c r="Q833" t="s">
        <v>36</v>
      </c>
      <c r="R833" t="str" cm="1">
        <f t="array" ref="R833">_xlfn.IFS(Q833="Y","Yes", Q833="Yes","Yes", Q833="N","No", Q833="No","No", Q833=1,"N/A", Q833=0,"N/A", TRUE,"")</f>
        <v>Yes</v>
      </c>
      <c r="S833">
        <f t="shared" si="102"/>
        <v>6</v>
      </c>
      <c r="T833">
        <f t="shared" si="103"/>
        <v>1</v>
      </c>
      <c r="U833" t="str" cm="1">
        <f t="array" ref="U833">_xlfn.IFS(D833&lt;40,"Young Adult",AND(D833&gt;=40,D833&lt;65),"Middle Aged", D833&gt;=65,"Elderly")</f>
        <v>Young Adult</v>
      </c>
    </row>
    <row r="834" spans="1:21" x14ac:dyDescent="0.2">
      <c r="A834">
        <v>1073</v>
      </c>
      <c r="B834">
        <f t="shared" si="96"/>
        <v>833</v>
      </c>
      <c r="C834" t="s">
        <v>2451</v>
      </c>
      <c r="D834">
        <v>32</v>
      </c>
      <c r="E834" t="s">
        <v>16</v>
      </c>
      <c r="F834" t="str">
        <f t="shared" si="97"/>
        <v>Female</v>
      </c>
      <c r="G834" s="1">
        <v>46044</v>
      </c>
      <c r="H834" s="1">
        <v>45625</v>
      </c>
      <c r="I834" t="s">
        <v>2452</v>
      </c>
      <c r="J834" t="str">
        <f t="shared" si="98"/>
        <v>Sarah Montgomery</v>
      </c>
      <c r="K834" t="s">
        <v>13</v>
      </c>
      <c r="L834" t="str">
        <f t="shared" si="99"/>
        <v>Cardiology</v>
      </c>
      <c r="M834" t="s">
        <v>2453</v>
      </c>
      <c r="N834" t="str">
        <f t="shared" si="100"/>
        <v>INR</v>
      </c>
      <c r="O834">
        <f t="shared" si="101"/>
        <v>160.05000000000001</v>
      </c>
      <c r="P834" cm="1">
        <f t="array" ref="P834">_xlfn.IFS(N834="USD",O834*1,N834="GBP",O834*1.27,N834="EUR",O834*1.09,N834="INR",O834*0.012,N834="N/A","N/A")</f>
        <v>1.9206000000000001</v>
      </c>
      <c r="Q834" t="s">
        <v>20</v>
      </c>
      <c r="R834" t="str" cm="1">
        <f t="array" ref="R834">_xlfn.IFS(Q834="Y","Yes", Q834="Yes","Yes", Q834="N","No", Q834="No","No", Q834=1,"N/A", Q834=0,"N/A", TRUE,"")</f>
        <v>Yes</v>
      </c>
      <c r="S834">
        <f t="shared" si="102"/>
        <v>11</v>
      </c>
      <c r="T834">
        <f t="shared" si="103"/>
        <v>1</v>
      </c>
      <c r="U834" t="str" cm="1">
        <f t="array" ref="U834">_xlfn.IFS(D834&lt;40,"Young Adult",AND(D834&gt;=40,D834&lt;65),"Middle Aged", D834&gt;=65,"Elderly")</f>
        <v>Young Adult</v>
      </c>
    </row>
    <row r="835" spans="1:21" x14ac:dyDescent="0.2">
      <c r="A835">
        <v>1027</v>
      </c>
      <c r="B835">
        <f t="shared" ref="B835:B898" si="104">ROW()-1</f>
        <v>834</v>
      </c>
      <c r="C835" t="s">
        <v>2454</v>
      </c>
      <c r="D835">
        <v>54</v>
      </c>
      <c r="E835" t="s">
        <v>16</v>
      </c>
      <c r="F835" t="str">
        <f t="shared" ref="F835:F898" si="105">IF(E835="male","Male",IF(E835="female","Female",IF(E835="F","Female",IF(E835="M","Male",IF(E835="N/A","N/A")))))</f>
        <v>Female</v>
      </c>
      <c r="G835" s="1">
        <v>46001</v>
      </c>
      <c r="H835" s="1">
        <v>45724</v>
      </c>
      <c r="I835" t="s">
        <v>2455</v>
      </c>
      <c r="J835" t="str">
        <f t="shared" ref="J835:J898" si="106">PROPER(I835)</f>
        <v>Allison Salazar</v>
      </c>
      <c r="K835" t="s">
        <v>18</v>
      </c>
      <c r="L835" t="str">
        <f t="shared" ref="L835:L898" si="107">PROPER(K835)</f>
        <v>Orthopedics</v>
      </c>
      <c r="M835" t="s">
        <v>2456</v>
      </c>
      <c r="N835" t="str">
        <f t="shared" ref="N835:N898" si="108">IF(LEFT(M835,1)="$","USD",IF(LEFT(M835,2)="Rs","INR",IF(LEFT(M835,2)="¬£","GBP",IF(LEFT(M835,3)="‚Ç¨","EUR","N/A"))))</f>
        <v>USD</v>
      </c>
      <c r="O835">
        <f t="shared" ref="O835:O898" si="109">IFERROR(VALUE(SUBSTITUTE(SUBSTITUTE(SUBSTITUTE(SUBSTITUTE(M835,"$",""), "Rs",""),"¬£",""),"‚Ç¨","")), "")</f>
        <v>406.61</v>
      </c>
      <c r="P835" cm="1">
        <f t="array" ref="P835">_xlfn.IFS(N835="USD",O835*1,N835="GBP",O835*1.27,N835="EUR",O835*1.09,N835="INR",O835*0.012,N835="N/A","N/A")</f>
        <v>406.61</v>
      </c>
      <c r="Q835" t="s">
        <v>20</v>
      </c>
      <c r="R835" t="str" cm="1">
        <f t="array" ref="R835">_xlfn.IFS(Q835="Y","Yes", Q835="Yes","Yes", Q835="N","No", Q835="No","No", Q835=1,"N/A", Q835=0,"N/A", TRUE,"")</f>
        <v>Yes</v>
      </c>
      <c r="S835">
        <f t="shared" ref="S835:S898" si="110">COUNTIF($A$2:$A$1001, A835)</f>
        <v>12</v>
      </c>
      <c r="T835">
        <f t="shared" ref="T835:T898" si="111">COUNTIFS($A$2:$A$1001, A835, $C$2:$C$1001, C835)</f>
        <v>1</v>
      </c>
      <c r="U835" t="str" cm="1">
        <f t="array" ref="U835">_xlfn.IFS(D835&lt;40,"Young Adult",AND(D835&gt;=40,D835&lt;65),"Middle Aged", D835&gt;=65,"Elderly")</f>
        <v>Middle Aged</v>
      </c>
    </row>
    <row r="836" spans="1:21" x14ac:dyDescent="0.2">
      <c r="A836">
        <v>1004</v>
      </c>
      <c r="B836">
        <f t="shared" si="104"/>
        <v>835</v>
      </c>
      <c r="C836" t="s">
        <v>2457</v>
      </c>
      <c r="D836">
        <v>47</v>
      </c>
      <c r="E836" t="s">
        <v>38</v>
      </c>
      <c r="F836" t="str">
        <f t="shared" si="105"/>
        <v>Female</v>
      </c>
      <c r="G836" s="1">
        <v>45986</v>
      </c>
      <c r="H836" s="1">
        <v>45571</v>
      </c>
      <c r="I836" t="s">
        <v>2458</v>
      </c>
      <c r="J836" t="str">
        <f t="shared" si="106"/>
        <v>Glenn Bond</v>
      </c>
      <c r="K836" t="s">
        <v>13</v>
      </c>
      <c r="L836" t="str">
        <f t="shared" si="107"/>
        <v>Cardiology</v>
      </c>
      <c r="M836" t="s">
        <v>2459</v>
      </c>
      <c r="N836" t="str">
        <f t="shared" si="108"/>
        <v>GBP</v>
      </c>
      <c r="O836">
        <f t="shared" si="109"/>
        <v>359.32</v>
      </c>
      <c r="P836" cm="1">
        <f t="array" ref="P836">_xlfn.IFS(N836="USD",O836*1,N836="GBP",O836*1.27,N836="EUR",O836*1.09,N836="INR",O836*0.012,N836="N/A","N/A")</f>
        <v>456.33640000000003</v>
      </c>
      <c r="Q836">
        <v>0</v>
      </c>
      <c r="R836" t="str" cm="1">
        <f t="array" ref="R836">_xlfn.IFS(Q836="Y","Yes", Q836="Yes","Yes", Q836="N","No", Q836="No","No", Q836=1,"N/A", Q836=0,"N/A", TRUE,"")</f>
        <v>N/A</v>
      </c>
      <c r="S836">
        <f t="shared" si="110"/>
        <v>9</v>
      </c>
      <c r="T836">
        <f t="shared" si="111"/>
        <v>1</v>
      </c>
      <c r="U836" t="str" cm="1">
        <f t="array" ref="U836">_xlfn.IFS(D836&lt;40,"Young Adult",AND(D836&gt;=40,D836&lt;65),"Middle Aged", D836&gt;=65,"Elderly")</f>
        <v>Middle Aged</v>
      </c>
    </row>
    <row r="837" spans="1:21" x14ac:dyDescent="0.2">
      <c r="A837">
        <v>1077</v>
      </c>
      <c r="B837">
        <f t="shared" si="104"/>
        <v>836</v>
      </c>
      <c r="C837" t="s">
        <v>2460</v>
      </c>
      <c r="D837">
        <v>21</v>
      </c>
      <c r="E837" t="s">
        <v>16</v>
      </c>
      <c r="F837" t="str">
        <f t="shared" si="105"/>
        <v>Female</v>
      </c>
      <c r="G837" s="1">
        <v>45886</v>
      </c>
      <c r="H837" s="1">
        <v>45475</v>
      </c>
      <c r="I837" t="s">
        <v>2461</v>
      </c>
      <c r="J837" t="str">
        <f t="shared" si="106"/>
        <v>Savannah Beltran</v>
      </c>
      <c r="K837" t="s">
        <v>18</v>
      </c>
      <c r="L837" t="str">
        <f t="shared" si="107"/>
        <v>Orthopedics</v>
      </c>
      <c r="M837" t="s">
        <v>2462</v>
      </c>
      <c r="N837" t="str">
        <f t="shared" si="108"/>
        <v>USD</v>
      </c>
      <c r="O837">
        <f t="shared" si="109"/>
        <v>315.17</v>
      </c>
      <c r="P837" cm="1">
        <f t="array" ref="P837">_xlfn.IFS(N837="USD",O837*1,N837="GBP",O837*1.27,N837="EUR",O837*1.09,N837="INR",O837*0.012,N837="N/A","N/A")</f>
        <v>315.17</v>
      </c>
      <c r="Q837" t="s">
        <v>30</v>
      </c>
      <c r="R837" t="str" cm="1">
        <f t="array" ref="R837">_xlfn.IFS(Q837="Y","Yes", Q837="Yes","Yes", Q837="N","No", Q837="No","No", Q837=1,"N/A", Q837=0,"N/A", TRUE,"")</f>
        <v>No</v>
      </c>
      <c r="S837">
        <f t="shared" si="110"/>
        <v>10</v>
      </c>
      <c r="T837">
        <f t="shared" si="111"/>
        <v>1</v>
      </c>
      <c r="U837" t="str" cm="1">
        <f t="array" ref="U837">_xlfn.IFS(D837&lt;40,"Young Adult",AND(D837&gt;=40,D837&lt;65),"Middle Aged", D837&gt;=65,"Elderly")</f>
        <v>Young Adult</v>
      </c>
    </row>
    <row r="838" spans="1:21" x14ac:dyDescent="0.2">
      <c r="A838">
        <v>1085</v>
      </c>
      <c r="B838">
        <f t="shared" si="104"/>
        <v>837</v>
      </c>
      <c r="C838" t="s">
        <v>2463</v>
      </c>
      <c r="D838">
        <v>85</v>
      </c>
      <c r="E838" t="s">
        <v>38</v>
      </c>
      <c r="F838" t="str">
        <f t="shared" si="105"/>
        <v>Female</v>
      </c>
      <c r="G838" s="1">
        <v>45906</v>
      </c>
      <c r="H838" s="1">
        <v>45715</v>
      </c>
      <c r="I838" t="s">
        <v>2464</v>
      </c>
      <c r="J838" t="str">
        <f t="shared" si="106"/>
        <v>Erika Turner</v>
      </c>
      <c r="K838" t="s">
        <v>24</v>
      </c>
      <c r="L838" t="str">
        <f t="shared" si="107"/>
        <v>Neurology</v>
      </c>
      <c r="M838" t="s">
        <v>2465</v>
      </c>
      <c r="N838" t="str">
        <f t="shared" si="108"/>
        <v>GBP</v>
      </c>
      <c r="O838">
        <f t="shared" si="109"/>
        <v>319.92</v>
      </c>
      <c r="P838" cm="1">
        <f t="array" ref="P838">_xlfn.IFS(N838="USD",O838*1,N838="GBP",O838*1.27,N838="EUR",O838*1.09,N838="INR",O838*0.012,N838="N/A","N/A")</f>
        <v>406.29840000000002</v>
      </c>
      <c r="Q838" t="s">
        <v>20</v>
      </c>
      <c r="R838" t="str" cm="1">
        <f t="array" ref="R838">_xlfn.IFS(Q838="Y","Yes", Q838="Yes","Yes", Q838="N","No", Q838="No","No", Q838=1,"N/A", Q838=0,"N/A", TRUE,"")</f>
        <v>Yes</v>
      </c>
      <c r="S838">
        <f t="shared" si="110"/>
        <v>12</v>
      </c>
      <c r="T838">
        <f t="shared" si="111"/>
        <v>1</v>
      </c>
      <c r="U838" t="str" cm="1">
        <f t="array" ref="U838">_xlfn.IFS(D838&lt;40,"Young Adult",AND(D838&gt;=40,D838&lt;65),"Middle Aged", D838&gt;=65,"Elderly")</f>
        <v>Elderly</v>
      </c>
    </row>
    <row r="839" spans="1:21" x14ac:dyDescent="0.2">
      <c r="A839">
        <v>1025</v>
      </c>
      <c r="B839">
        <f t="shared" si="104"/>
        <v>838</v>
      </c>
      <c r="C839" t="s">
        <v>2466</v>
      </c>
      <c r="D839">
        <v>42</v>
      </c>
      <c r="E839" t="s">
        <v>2937</v>
      </c>
      <c r="F839" t="str">
        <f t="shared" si="105"/>
        <v>N/A</v>
      </c>
      <c r="G839" s="1">
        <v>45921</v>
      </c>
      <c r="H839" s="1">
        <v>45631</v>
      </c>
      <c r="I839" t="s">
        <v>2467</v>
      </c>
      <c r="J839" t="str">
        <f t="shared" si="106"/>
        <v>William Coleman Md</v>
      </c>
      <c r="K839" t="s">
        <v>18</v>
      </c>
      <c r="L839" t="str">
        <f t="shared" si="107"/>
        <v>Orthopedics</v>
      </c>
      <c r="M839" t="s">
        <v>2468</v>
      </c>
      <c r="N839" t="str">
        <f t="shared" si="108"/>
        <v>GBP</v>
      </c>
      <c r="O839">
        <f t="shared" si="109"/>
        <v>352.01</v>
      </c>
      <c r="P839" cm="1">
        <f t="array" ref="P839">_xlfn.IFS(N839="USD",O839*1,N839="GBP",O839*1.27,N839="EUR",O839*1.09,N839="INR",O839*0.012,N839="N/A","N/A")</f>
        <v>447.05270000000002</v>
      </c>
      <c r="Q839" t="s">
        <v>30</v>
      </c>
      <c r="R839" t="str" cm="1">
        <f t="array" ref="R839">_xlfn.IFS(Q839="Y","Yes", Q839="Yes","Yes", Q839="N","No", Q839="No","No", Q839=1,"N/A", Q839=0,"N/A", TRUE,"")</f>
        <v>No</v>
      </c>
      <c r="S839">
        <f t="shared" si="110"/>
        <v>9</v>
      </c>
      <c r="T839">
        <f t="shared" si="111"/>
        <v>1</v>
      </c>
      <c r="U839" t="str" cm="1">
        <f t="array" ref="U839">_xlfn.IFS(D839&lt;40,"Young Adult",AND(D839&gt;=40,D839&lt;65),"Middle Aged", D839&gt;=65,"Elderly")</f>
        <v>Middle Aged</v>
      </c>
    </row>
    <row r="840" spans="1:21" x14ac:dyDescent="0.2">
      <c r="A840">
        <v>1029</v>
      </c>
      <c r="B840">
        <f t="shared" si="104"/>
        <v>839</v>
      </c>
      <c r="C840" t="s">
        <v>2469</v>
      </c>
      <c r="D840">
        <v>63</v>
      </c>
      <c r="E840" t="s">
        <v>2937</v>
      </c>
      <c r="F840" t="str">
        <f t="shared" si="105"/>
        <v>N/A</v>
      </c>
      <c r="G840" s="1">
        <v>45882</v>
      </c>
      <c r="H840" s="1">
        <v>45538</v>
      </c>
      <c r="I840" t="s">
        <v>2470</v>
      </c>
      <c r="J840" t="str">
        <f t="shared" si="106"/>
        <v>Wanda Cox</v>
      </c>
      <c r="K840" t="s">
        <v>18</v>
      </c>
      <c r="L840" t="str">
        <f t="shared" si="107"/>
        <v>Orthopedics</v>
      </c>
      <c r="M840" t="s">
        <v>2471</v>
      </c>
      <c r="N840" t="str">
        <f t="shared" si="108"/>
        <v>GBP</v>
      </c>
      <c r="O840">
        <f t="shared" si="109"/>
        <v>88.56</v>
      </c>
      <c r="P840" cm="1">
        <f t="array" ref="P840">_xlfn.IFS(N840="USD",O840*1,N840="GBP",O840*1.27,N840="EUR",O840*1.09,N840="INR",O840*0.012,N840="N/A","N/A")</f>
        <v>112.47120000000001</v>
      </c>
      <c r="Q840" t="s">
        <v>30</v>
      </c>
      <c r="R840" t="str" cm="1">
        <f t="array" ref="R840">_xlfn.IFS(Q840="Y","Yes", Q840="Yes","Yes", Q840="N","No", Q840="No","No", Q840=1,"N/A", Q840=0,"N/A", TRUE,"")</f>
        <v>No</v>
      </c>
      <c r="S840">
        <f t="shared" si="110"/>
        <v>8</v>
      </c>
      <c r="T840">
        <f t="shared" si="111"/>
        <v>1</v>
      </c>
      <c r="U840" t="str" cm="1">
        <f t="array" ref="U840">_xlfn.IFS(D840&lt;40,"Young Adult",AND(D840&gt;=40,D840&lt;65),"Middle Aged", D840&gt;=65,"Elderly")</f>
        <v>Middle Aged</v>
      </c>
    </row>
    <row r="841" spans="1:21" x14ac:dyDescent="0.2">
      <c r="A841">
        <v>1052</v>
      </c>
      <c r="B841">
        <f t="shared" si="104"/>
        <v>840</v>
      </c>
      <c r="C841" t="s">
        <v>2472</v>
      </c>
      <c r="D841">
        <v>26</v>
      </c>
      <c r="E841" t="s">
        <v>2937</v>
      </c>
      <c r="F841" t="str">
        <f t="shared" si="105"/>
        <v>N/A</v>
      </c>
      <c r="G841" s="1">
        <v>45961</v>
      </c>
      <c r="H841" s="1">
        <v>45738</v>
      </c>
      <c r="I841" t="s">
        <v>2473</v>
      </c>
      <c r="J841" t="str">
        <f t="shared" si="106"/>
        <v>Susan Stanton</v>
      </c>
      <c r="K841" t="s">
        <v>24</v>
      </c>
      <c r="L841" t="str">
        <f t="shared" si="107"/>
        <v>Neurology</v>
      </c>
      <c r="M841" t="s">
        <v>2474</v>
      </c>
      <c r="N841" t="str">
        <f t="shared" si="108"/>
        <v>USD</v>
      </c>
      <c r="O841">
        <f t="shared" si="109"/>
        <v>461.18</v>
      </c>
      <c r="P841" cm="1">
        <f t="array" ref="P841">_xlfn.IFS(N841="USD",O841*1,N841="GBP",O841*1.27,N841="EUR",O841*1.09,N841="INR",O841*0.012,N841="N/A","N/A")</f>
        <v>461.18</v>
      </c>
      <c r="Q841" t="s">
        <v>20</v>
      </c>
      <c r="R841" t="str" cm="1">
        <f t="array" ref="R841">_xlfn.IFS(Q841="Y","Yes", Q841="Yes","Yes", Q841="N","No", Q841="No","No", Q841=1,"N/A", Q841=0,"N/A", TRUE,"")</f>
        <v>Yes</v>
      </c>
      <c r="S841">
        <f t="shared" si="110"/>
        <v>8</v>
      </c>
      <c r="T841">
        <f t="shared" si="111"/>
        <v>1</v>
      </c>
      <c r="U841" t="str" cm="1">
        <f t="array" ref="U841">_xlfn.IFS(D841&lt;40,"Young Adult",AND(D841&gt;=40,D841&lt;65),"Middle Aged", D841&gt;=65,"Elderly")</f>
        <v>Young Adult</v>
      </c>
    </row>
    <row r="842" spans="1:21" x14ac:dyDescent="0.2">
      <c r="A842">
        <v>1062</v>
      </c>
      <c r="B842">
        <f t="shared" si="104"/>
        <v>841</v>
      </c>
      <c r="C842" t="s">
        <v>2475</v>
      </c>
      <c r="D842">
        <v>85</v>
      </c>
      <c r="E842" t="s">
        <v>38</v>
      </c>
      <c r="F842" t="str">
        <f t="shared" si="105"/>
        <v>Female</v>
      </c>
      <c r="G842" s="1">
        <v>46057</v>
      </c>
      <c r="H842" s="1">
        <v>45648</v>
      </c>
      <c r="I842" t="s">
        <v>2476</v>
      </c>
      <c r="J842" t="str">
        <f t="shared" si="106"/>
        <v>Paula Stone</v>
      </c>
      <c r="K842" t="s">
        <v>13</v>
      </c>
      <c r="L842" t="str">
        <f t="shared" si="107"/>
        <v>Cardiology</v>
      </c>
      <c r="M842" t="s">
        <v>2477</v>
      </c>
      <c r="N842" t="str">
        <f t="shared" si="108"/>
        <v>INR</v>
      </c>
      <c r="O842">
        <f t="shared" si="109"/>
        <v>206.57</v>
      </c>
      <c r="P842" cm="1">
        <f t="array" ref="P842">_xlfn.IFS(N842="USD",O842*1,N842="GBP",O842*1.27,N842="EUR",O842*1.09,N842="INR",O842*0.012,N842="N/A","N/A")</f>
        <v>2.4788399999999999</v>
      </c>
      <c r="Q842">
        <v>1</v>
      </c>
      <c r="R842" t="str" cm="1">
        <f t="array" ref="R842">_xlfn.IFS(Q842="Y","Yes", Q842="Yes","Yes", Q842="N","No", Q842="No","No", Q842=1,"N/A", Q842=0,"N/A", TRUE,"")</f>
        <v>N/A</v>
      </c>
      <c r="S842">
        <f t="shared" si="110"/>
        <v>6</v>
      </c>
      <c r="T842">
        <f t="shared" si="111"/>
        <v>1</v>
      </c>
      <c r="U842" t="str" cm="1">
        <f t="array" ref="U842">_xlfn.IFS(D842&lt;40,"Young Adult",AND(D842&gt;=40,D842&lt;65),"Middle Aged", D842&gt;=65,"Elderly")</f>
        <v>Elderly</v>
      </c>
    </row>
    <row r="843" spans="1:21" x14ac:dyDescent="0.2">
      <c r="A843">
        <v>1014</v>
      </c>
      <c r="B843">
        <f t="shared" si="104"/>
        <v>842</v>
      </c>
      <c r="C843" t="s">
        <v>2478</v>
      </c>
      <c r="D843">
        <v>29</v>
      </c>
      <c r="E843" t="s">
        <v>38</v>
      </c>
      <c r="F843" t="str">
        <f t="shared" si="105"/>
        <v>Female</v>
      </c>
      <c r="G843" s="1">
        <v>45903</v>
      </c>
      <c r="H843" s="1">
        <v>45500</v>
      </c>
      <c r="I843" t="s">
        <v>2479</v>
      </c>
      <c r="J843" t="str">
        <f t="shared" si="106"/>
        <v>Angie Smith</v>
      </c>
      <c r="K843" t="s">
        <v>28</v>
      </c>
      <c r="L843" t="str">
        <f t="shared" si="107"/>
        <v>General</v>
      </c>
      <c r="M843" t="s">
        <v>2480</v>
      </c>
      <c r="N843" t="str">
        <f t="shared" si="108"/>
        <v>GBP</v>
      </c>
      <c r="O843">
        <f t="shared" si="109"/>
        <v>107.34</v>
      </c>
      <c r="P843" cm="1">
        <f t="array" ref="P843">_xlfn.IFS(N843="USD",O843*1,N843="GBP",O843*1.27,N843="EUR",O843*1.09,N843="INR",O843*0.012,N843="N/A","N/A")</f>
        <v>136.3218</v>
      </c>
      <c r="Q843" t="s">
        <v>60</v>
      </c>
      <c r="R843" t="str" cm="1">
        <f t="array" ref="R843">_xlfn.IFS(Q843="Y","Yes", Q843="Yes","Yes", Q843="N","No", Q843="No","No", Q843=1,"N/A", Q843=0,"N/A", TRUE,"")</f>
        <v>No</v>
      </c>
      <c r="S843">
        <f t="shared" si="110"/>
        <v>10</v>
      </c>
      <c r="T843">
        <f t="shared" si="111"/>
        <v>1</v>
      </c>
      <c r="U843" t="str" cm="1">
        <f t="array" ref="U843">_xlfn.IFS(D843&lt;40,"Young Adult",AND(D843&gt;=40,D843&lt;65),"Middle Aged", D843&gt;=65,"Elderly")</f>
        <v>Young Adult</v>
      </c>
    </row>
    <row r="844" spans="1:21" x14ac:dyDescent="0.2">
      <c r="A844">
        <v>1056</v>
      </c>
      <c r="B844">
        <f t="shared" si="104"/>
        <v>843</v>
      </c>
      <c r="C844" t="s">
        <v>2481</v>
      </c>
      <c r="D844">
        <v>84</v>
      </c>
      <c r="E844" t="s">
        <v>38</v>
      </c>
      <c r="F844" t="str">
        <f t="shared" si="105"/>
        <v>Female</v>
      </c>
      <c r="G844" s="1">
        <v>45803</v>
      </c>
      <c r="H844" s="1">
        <v>45596</v>
      </c>
      <c r="I844" t="s">
        <v>2482</v>
      </c>
      <c r="J844" t="str">
        <f t="shared" si="106"/>
        <v>Kayla Norris</v>
      </c>
      <c r="K844" t="s">
        <v>13</v>
      </c>
      <c r="L844" t="str">
        <f t="shared" si="107"/>
        <v>Cardiology</v>
      </c>
      <c r="M844" t="s">
        <v>2483</v>
      </c>
      <c r="N844" t="str">
        <f t="shared" si="108"/>
        <v>USD</v>
      </c>
      <c r="O844">
        <f t="shared" si="109"/>
        <v>385.01</v>
      </c>
      <c r="P844" cm="1">
        <f t="array" ref="P844">_xlfn.IFS(N844="USD",O844*1,N844="GBP",O844*1.27,N844="EUR",O844*1.09,N844="INR",O844*0.012,N844="N/A","N/A")</f>
        <v>385.01</v>
      </c>
      <c r="Q844" t="s">
        <v>30</v>
      </c>
      <c r="R844" t="str" cm="1">
        <f t="array" ref="R844">_xlfn.IFS(Q844="Y","Yes", Q844="Yes","Yes", Q844="N","No", Q844="No","No", Q844=1,"N/A", Q844=0,"N/A", TRUE,"")</f>
        <v>No</v>
      </c>
      <c r="S844">
        <f t="shared" si="110"/>
        <v>13</v>
      </c>
      <c r="T844">
        <f t="shared" si="111"/>
        <v>1</v>
      </c>
      <c r="U844" t="str" cm="1">
        <f t="array" ref="U844">_xlfn.IFS(D844&lt;40,"Young Adult",AND(D844&gt;=40,D844&lt;65),"Middle Aged", D844&gt;=65,"Elderly")</f>
        <v>Elderly</v>
      </c>
    </row>
    <row r="845" spans="1:21" x14ac:dyDescent="0.2">
      <c r="A845">
        <v>1073</v>
      </c>
      <c r="B845">
        <f t="shared" si="104"/>
        <v>844</v>
      </c>
      <c r="C845" t="s">
        <v>2484</v>
      </c>
      <c r="D845">
        <v>18</v>
      </c>
      <c r="E845" t="s">
        <v>38</v>
      </c>
      <c r="F845" t="str">
        <f t="shared" si="105"/>
        <v>Female</v>
      </c>
      <c r="G845" s="1">
        <v>45886</v>
      </c>
      <c r="H845" s="1">
        <v>45833</v>
      </c>
      <c r="I845" t="s">
        <v>2485</v>
      </c>
      <c r="J845" t="str">
        <f t="shared" si="106"/>
        <v>Matthew Morse</v>
      </c>
      <c r="K845" t="s">
        <v>18</v>
      </c>
      <c r="L845" t="str">
        <f t="shared" si="107"/>
        <v>Orthopedics</v>
      </c>
      <c r="M845" t="s">
        <v>2486</v>
      </c>
      <c r="N845" t="str">
        <f t="shared" si="108"/>
        <v>GBP</v>
      </c>
      <c r="O845">
        <f t="shared" si="109"/>
        <v>490.93</v>
      </c>
      <c r="P845" cm="1">
        <f t="array" ref="P845">_xlfn.IFS(N845="USD",O845*1,N845="GBP",O845*1.27,N845="EUR",O845*1.09,N845="INR",O845*0.012,N845="N/A","N/A")</f>
        <v>623.48109999999997</v>
      </c>
      <c r="Q845" t="s">
        <v>20</v>
      </c>
      <c r="R845" t="str" cm="1">
        <f t="array" ref="R845">_xlfn.IFS(Q845="Y","Yes", Q845="Yes","Yes", Q845="N","No", Q845="No","No", Q845=1,"N/A", Q845=0,"N/A", TRUE,"")</f>
        <v>Yes</v>
      </c>
      <c r="S845">
        <f t="shared" si="110"/>
        <v>11</v>
      </c>
      <c r="T845">
        <f t="shared" si="111"/>
        <v>1</v>
      </c>
      <c r="U845" t="str" cm="1">
        <f t="array" ref="U845">_xlfn.IFS(D845&lt;40,"Young Adult",AND(D845&gt;=40,D845&lt;65),"Middle Aged", D845&gt;=65,"Elderly")</f>
        <v>Young Adult</v>
      </c>
    </row>
    <row r="846" spans="1:21" x14ac:dyDescent="0.2">
      <c r="A846">
        <v>1009</v>
      </c>
      <c r="B846">
        <f t="shared" si="104"/>
        <v>845</v>
      </c>
      <c r="C846" t="s">
        <v>2487</v>
      </c>
      <c r="D846">
        <v>30</v>
      </c>
      <c r="E846" t="s">
        <v>38</v>
      </c>
      <c r="F846" t="str">
        <f t="shared" si="105"/>
        <v>Female</v>
      </c>
      <c r="G846" s="1">
        <v>45835</v>
      </c>
      <c r="H846" s="1">
        <v>45798</v>
      </c>
      <c r="I846" t="s">
        <v>2488</v>
      </c>
      <c r="J846" t="str">
        <f t="shared" si="106"/>
        <v>Heather Diaz</v>
      </c>
      <c r="K846" t="s">
        <v>28</v>
      </c>
      <c r="L846" t="str">
        <f t="shared" si="107"/>
        <v>General</v>
      </c>
      <c r="M846" t="s">
        <v>2489</v>
      </c>
      <c r="N846" t="str">
        <f t="shared" si="108"/>
        <v>USD</v>
      </c>
      <c r="O846">
        <f t="shared" si="109"/>
        <v>168.86</v>
      </c>
      <c r="P846" cm="1">
        <f t="array" ref="P846">_xlfn.IFS(N846="USD",O846*1,N846="GBP",O846*1.27,N846="EUR",O846*1.09,N846="INR",O846*0.012,N846="N/A","N/A")</f>
        <v>168.86</v>
      </c>
      <c r="Q846" t="s">
        <v>36</v>
      </c>
      <c r="R846" t="str" cm="1">
        <f t="array" ref="R846">_xlfn.IFS(Q846="Y","Yes", Q846="Yes","Yes", Q846="N","No", Q846="No","No", Q846=1,"N/A", Q846=0,"N/A", TRUE,"")</f>
        <v>Yes</v>
      </c>
      <c r="S846">
        <f t="shared" si="110"/>
        <v>9</v>
      </c>
      <c r="T846">
        <f t="shared" si="111"/>
        <v>1</v>
      </c>
      <c r="U846" t="str" cm="1">
        <f t="array" ref="U846">_xlfn.IFS(D846&lt;40,"Young Adult",AND(D846&gt;=40,D846&lt;65),"Middle Aged", D846&gt;=65,"Elderly")</f>
        <v>Young Adult</v>
      </c>
    </row>
    <row r="847" spans="1:21" x14ac:dyDescent="0.2">
      <c r="A847">
        <v>1029</v>
      </c>
      <c r="B847">
        <f t="shared" si="104"/>
        <v>846</v>
      </c>
      <c r="C847" t="s">
        <v>2490</v>
      </c>
      <c r="D847">
        <v>23</v>
      </c>
      <c r="E847" t="s">
        <v>16</v>
      </c>
      <c r="F847" t="str">
        <f t="shared" si="105"/>
        <v>Female</v>
      </c>
      <c r="G847" s="1">
        <v>46054</v>
      </c>
      <c r="H847" s="1">
        <v>45904</v>
      </c>
      <c r="I847" t="s">
        <v>2491</v>
      </c>
      <c r="J847" t="str">
        <f t="shared" si="106"/>
        <v>Andrew Gordon</v>
      </c>
      <c r="K847" t="s">
        <v>18</v>
      </c>
      <c r="L847" t="str">
        <f t="shared" si="107"/>
        <v>Orthopedics</v>
      </c>
      <c r="M847" t="s">
        <v>2492</v>
      </c>
      <c r="N847" t="str">
        <f t="shared" si="108"/>
        <v>USD</v>
      </c>
      <c r="O847">
        <f t="shared" si="109"/>
        <v>463.06</v>
      </c>
      <c r="P847" cm="1">
        <f t="array" ref="P847">_xlfn.IFS(N847="USD",O847*1,N847="GBP",O847*1.27,N847="EUR",O847*1.09,N847="INR",O847*0.012,N847="N/A","N/A")</f>
        <v>463.06</v>
      </c>
      <c r="Q847" t="s">
        <v>36</v>
      </c>
      <c r="R847" t="str" cm="1">
        <f t="array" ref="R847">_xlfn.IFS(Q847="Y","Yes", Q847="Yes","Yes", Q847="N","No", Q847="No","No", Q847=1,"N/A", Q847=0,"N/A", TRUE,"")</f>
        <v>Yes</v>
      </c>
      <c r="S847">
        <f t="shared" si="110"/>
        <v>8</v>
      </c>
      <c r="T847">
        <f t="shared" si="111"/>
        <v>1</v>
      </c>
      <c r="U847" t="str" cm="1">
        <f t="array" ref="U847">_xlfn.IFS(D847&lt;40,"Young Adult",AND(D847&gt;=40,D847&lt;65),"Middle Aged", D847&gt;=65,"Elderly")</f>
        <v>Young Adult</v>
      </c>
    </row>
    <row r="848" spans="1:21" x14ac:dyDescent="0.2">
      <c r="A848">
        <v>1047</v>
      </c>
      <c r="B848">
        <f t="shared" si="104"/>
        <v>847</v>
      </c>
      <c r="C848" t="s">
        <v>2493</v>
      </c>
      <c r="D848">
        <v>66</v>
      </c>
      <c r="E848" t="s">
        <v>71</v>
      </c>
      <c r="F848" t="str">
        <f t="shared" si="105"/>
        <v>Male</v>
      </c>
      <c r="G848" s="1">
        <v>45890</v>
      </c>
      <c r="H848" s="1">
        <v>45448</v>
      </c>
      <c r="I848" t="s">
        <v>2494</v>
      </c>
      <c r="J848" t="str">
        <f t="shared" si="106"/>
        <v>Ashley Gomez</v>
      </c>
      <c r="K848" t="s">
        <v>28</v>
      </c>
      <c r="L848" t="str">
        <f t="shared" si="107"/>
        <v>General</v>
      </c>
      <c r="M848" t="s">
        <v>2495</v>
      </c>
      <c r="N848" t="str">
        <f t="shared" si="108"/>
        <v>USD</v>
      </c>
      <c r="O848">
        <f t="shared" si="109"/>
        <v>261.87</v>
      </c>
      <c r="P848" cm="1">
        <f t="array" ref="P848">_xlfn.IFS(N848="USD",O848*1,N848="GBP",O848*1.27,N848="EUR",O848*1.09,N848="INR",O848*0.012,N848="N/A","N/A")</f>
        <v>261.87</v>
      </c>
      <c r="Q848">
        <v>0</v>
      </c>
      <c r="R848" t="str" cm="1">
        <f t="array" ref="R848">_xlfn.IFS(Q848="Y","Yes", Q848="Yes","Yes", Q848="N","No", Q848="No","No", Q848=1,"N/A", Q848=0,"N/A", TRUE,"")</f>
        <v>N/A</v>
      </c>
      <c r="S848">
        <f t="shared" si="110"/>
        <v>17</v>
      </c>
      <c r="T848">
        <f t="shared" si="111"/>
        <v>1</v>
      </c>
      <c r="U848" t="str" cm="1">
        <f t="array" ref="U848">_xlfn.IFS(D848&lt;40,"Young Adult",AND(D848&gt;=40,D848&lt;65),"Middle Aged", D848&gt;=65,"Elderly")</f>
        <v>Elderly</v>
      </c>
    </row>
    <row r="849" spans="1:21" x14ac:dyDescent="0.2">
      <c r="A849">
        <v>1091</v>
      </c>
      <c r="B849">
        <f t="shared" si="104"/>
        <v>848</v>
      </c>
      <c r="C849" t="s">
        <v>2496</v>
      </c>
      <c r="D849">
        <v>25</v>
      </c>
      <c r="E849" t="s">
        <v>22</v>
      </c>
      <c r="F849" t="str">
        <f t="shared" si="105"/>
        <v>Male</v>
      </c>
      <c r="G849" s="1">
        <v>45980</v>
      </c>
      <c r="H849" s="1">
        <v>45976</v>
      </c>
      <c r="I849" t="s">
        <v>2497</v>
      </c>
      <c r="J849" t="str">
        <f t="shared" si="106"/>
        <v>John Wallace</v>
      </c>
      <c r="K849" t="s">
        <v>13</v>
      </c>
      <c r="L849" t="str">
        <f t="shared" si="107"/>
        <v>Cardiology</v>
      </c>
      <c r="M849" t="s">
        <v>2498</v>
      </c>
      <c r="N849" t="str">
        <f t="shared" si="108"/>
        <v>INR</v>
      </c>
      <c r="O849">
        <f t="shared" si="109"/>
        <v>170.53</v>
      </c>
      <c r="P849" cm="1">
        <f t="array" ref="P849">_xlfn.IFS(N849="USD",O849*1,N849="GBP",O849*1.27,N849="EUR",O849*1.09,N849="INR",O849*0.012,N849="N/A","N/A")</f>
        <v>2.04636</v>
      </c>
      <c r="Q849" t="s">
        <v>60</v>
      </c>
      <c r="R849" t="str" cm="1">
        <f t="array" ref="R849">_xlfn.IFS(Q849="Y","Yes", Q849="Yes","Yes", Q849="N","No", Q849="No","No", Q849=1,"N/A", Q849=0,"N/A", TRUE,"")</f>
        <v>No</v>
      </c>
      <c r="S849">
        <f t="shared" si="110"/>
        <v>9</v>
      </c>
      <c r="T849">
        <f t="shared" si="111"/>
        <v>1</v>
      </c>
      <c r="U849" t="str" cm="1">
        <f t="array" ref="U849">_xlfn.IFS(D849&lt;40,"Young Adult",AND(D849&gt;=40,D849&lt;65),"Middle Aged", D849&gt;=65,"Elderly")</f>
        <v>Young Adult</v>
      </c>
    </row>
    <row r="850" spans="1:21" x14ac:dyDescent="0.2">
      <c r="A850">
        <v>1026</v>
      </c>
      <c r="B850">
        <f t="shared" si="104"/>
        <v>849</v>
      </c>
      <c r="C850" t="s">
        <v>2499</v>
      </c>
      <c r="D850">
        <v>56</v>
      </c>
      <c r="E850" t="s">
        <v>16</v>
      </c>
      <c r="F850" t="str">
        <f t="shared" si="105"/>
        <v>Female</v>
      </c>
      <c r="G850" s="1">
        <v>46011</v>
      </c>
      <c r="H850" s="1">
        <v>45832</v>
      </c>
      <c r="I850" t="s">
        <v>2500</v>
      </c>
      <c r="J850" t="str">
        <f t="shared" si="106"/>
        <v>Michael Morris</v>
      </c>
      <c r="K850" t="s">
        <v>28</v>
      </c>
      <c r="L850" t="str">
        <f t="shared" si="107"/>
        <v>General</v>
      </c>
      <c r="M850" t="s">
        <v>2501</v>
      </c>
      <c r="N850" t="str">
        <f t="shared" si="108"/>
        <v>USD</v>
      </c>
      <c r="O850">
        <f t="shared" si="109"/>
        <v>197.66</v>
      </c>
      <c r="P850" cm="1">
        <f t="array" ref="P850">_xlfn.IFS(N850="USD",O850*1,N850="GBP",O850*1.27,N850="EUR",O850*1.09,N850="INR",O850*0.012,N850="N/A","N/A")</f>
        <v>197.66</v>
      </c>
      <c r="Q850" t="s">
        <v>60</v>
      </c>
      <c r="R850" t="str" cm="1">
        <f t="array" ref="R850">_xlfn.IFS(Q850="Y","Yes", Q850="Yes","Yes", Q850="N","No", Q850="No","No", Q850=1,"N/A", Q850=0,"N/A", TRUE,"")</f>
        <v>No</v>
      </c>
      <c r="S850">
        <f t="shared" si="110"/>
        <v>10</v>
      </c>
      <c r="T850">
        <f t="shared" si="111"/>
        <v>1</v>
      </c>
      <c r="U850" t="str" cm="1">
        <f t="array" ref="U850">_xlfn.IFS(D850&lt;40,"Young Adult",AND(D850&gt;=40,D850&lt;65),"Middle Aged", D850&gt;=65,"Elderly")</f>
        <v>Middle Aged</v>
      </c>
    </row>
    <row r="851" spans="1:21" x14ac:dyDescent="0.2">
      <c r="A851">
        <v>1075</v>
      </c>
      <c r="B851">
        <f t="shared" si="104"/>
        <v>850</v>
      </c>
      <c r="C851" t="s">
        <v>2502</v>
      </c>
      <c r="D851">
        <v>85</v>
      </c>
      <c r="E851" t="s">
        <v>2937</v>
      </c>
      <c r="F851" t="str">
        <f t="shared" si="105"/>
        <v>N/A</v>
      </c>
      <c r="G851" s="1">
        <v>46090</v>
      </c>
      <c r="H851" s="1">
        <v>45734</v>
      </c>
      <c r="I851" t="s">
        <v>2503</v>
      </c>
      <c r="J851" t="str">
        <f t="shared" si="106"/>
        <v>Scott Vega</v>
      </c>
      <c r="K851" t="s">
        <v>24</v>
      </c>
      <c r="L851" t="str">
        <f t="shared" si="107"/>
        <v>Neurology</v>
      </c>
      <c r="M851" t="s">
        <v>2504</v>
      </c>
      <c r="N851" t="str">
        <f t="shared" si="108"/>
        <v>GBP</v>
      </c>
      <c r="O851">
        <f t="shared" si="109"/>
        <v>454.23</v>
      </c>
      <c r="P851" cm="1">
        <f t="array" ref="P851">_xlfn.IFS(N851="USD",O851*1,N851="GBP",O851*1.27,N851="EUR",O851*1.09,N851="INR",O851*0.012,N851="N/A","N/A")</f>
        <v>576.87210000000005</v>
      </c>
      <c r="Q851" t="s">
        <v>30</v>
      </c>
      <c r="R851" t="str" cm="1">
        <f t="array" ref="R851">_xlfn.IFS(Q851="Y","Yes", Q851="Yes","Yes", Q851="N","No", Q851="No","No", Q851=1,"N/A", Q851=0,"N/A", TRUE,"")</f>
        <v>No</v>
      </c>
      <c r="S851">
        <f t="shared" si="110"/>
        <v>11</v>
      </c>
      <c r="T851">
        <f t="shared" si="111"/>
        <v>1</v>
      </c>
      <c r="U851" t="str" cm="1">
        <f t="array" ref="U851">_xlfn.IFS(D851&lt;40,"Young Adult",AND(D851&gt;=40,D851&lt;65),"Middle Aged", D851&gt;=65,"Elderly")</f>
        <v>Elderly</v>
      </c>
    </row>
    <row r="852" spans="1:21" x14ac:dyDescent="0.2">
      <c r="A852">
        <v>1089</v>
      </c>
      <c r="B852">
        <f t="shared" si="104"/>
        <v>851</v>
      </c>
      <c r="C852" t="s">
        <v>2505</v>
      </c>
      <c r="D852">
        <v>76</v>
      </c>
      <c r="E852" t="s">
        <v>38</v>
      </c>
      <c r="F852" t="str">
        <f t="shared" si="105"/>
        <v>Female</v>
      </c>
      <c r="G852" s="1">
        <v>46102</v>
      </c>
      <c r="H852" s="1">
        <v>45555</v>
      </c>
      <c r="I852" t="s">
        <v>2506</v>
      </c>
      <c r="J852" t="str">
        <f t="shared" si="106"/>
        <v>Lynn Dorsey</v>
      </c>
      <c r="K852" t="s">
        <v>24</v>
      </c>
      <c r="L852" t="str">
        <f t="shared" si="107"/>
        <v>Neurology</v>
      </c>
      <c r="M852" t="s">
        <v>2507</v>
      </c>
      <c r="N852" t="str">
        <f t="shared" si="108"/>
        <v>EUR</v>
      </c>
      <c r="O852">
        <f t="shared" si="109"/>
        <v>104.3</v>
      </c>
      <c r="P852" cm="1">
        <f t="array" ref="P852">_xlfn.IFS(N852="USD",O852*1,N852="GBP",O852*1.27,N852="EUR",O852*1.09,N852="INR",O852*0.012,N852="N/A","N/A")</f>
        <v>113.68700000000001</v>
      </c>
      <c r="Q852" t="s">
        <v>20</v>
      </c>
      <c r="R852" t="str" cm="1">
        <f t="array" ref="R852">_xlfn.IFS(Q852="Y","Yes", Q852="Yes","Yes", Q852="N","No", Q852="No","No", Q852=1,"N/A", Q852=0,"N/A", TRUE,"")</f>
        <v>Yes</v>
      </c>
      <c r="S852">
        <f t="shared" si="110"/>
        <v>16</v>
      </c>
      <c r="T852">
        <f t="shared" si="111"/>
        <v>1</v>
      </c>
      <c r="U852" t="str" cm="1">
        <f t="array" ref="U852">_xlfn.IFS(D852&lt;40,"Young Adult",AND(D852&gt;=40,D852&lt;65),"Middle Aged", D852&gt;=65,"Elderly")</f>
        <v>Elderly</v>
      </c>
    </row>
    <row r="853" spans="1:21" x14ac:dyDescent="0.2">
      <c r="A853">
        <v>1031</v>
      </c>
      <c r="B853">
        <f t="shared" si="104"/>
        <v>852</v>
      </c>
      <c r="C853" t="s">
        <v>2508</v>
      </c>
      <c r="D853">
        <v>43</v>
      </c>
      <c r="E853" t="s">
        <v>22</v>
      </c>
      <c r="F853" t="str">
        <f t="shared" si="105"/>
        <v>Male</v>
      </c>
      <c r="G853" s="1">
        <v>45896</v>
      </c>
      <c r="H853" s="1">
        <v>45423</v>
      </c>
      <c r="I853" t="s">
        <v>2509</v>
      </c>
      <c r="J853" t="str">
        <f t="shared" si="106"/>
        <v>Vanessa Jackson</v>
      </c>
      <c r="K853" t="s">
        <v>24</v>
      </c>
      <c r="L853" t="str">
        <f t="shared" si="107"/>
        <v>Neurology</v>
      </c>
      <c r="M853" t="s">
        <v>2510</v>
      </c>
      <c r="N853" t="str">
        <f t="shared" si="108"/>
        <v>USD</v>
      </c>
      <c r="O853">
        <f t="shared" si="109"/>
        <v>263.10000000000002</v>
      </c>
      <c r="P853" cm="1">
        <f t="array" ref="P853">_xlfn.IFS(N853="USD",O853*1,N853="GBP",O853*1.27,N853="EUR",O853*1.09,N853="INR",O853*0.012,N853="N/A","N/A")</f>
        <v>263.10000000000002</v>
      </c>
      <c r="Q853">
        <v>1</v>
      </c>
      <c r="R853" t="str" cm="1">
        <f t="array" ref="R853">_xlfn.IFS(Q853="Y","Yes", Q853="Yes","Yes", Q853="N","No", Q853="No","No", Q853=1,"N/A", Q853=0,"N/A", TRUE,"")</f>
        <v>N/A</v>
      </c>
      <c r="S853">
        <f t="shared" si="110"/>
        <v>13</v>
      </c>
      <c r="T853">
        <f t="shared" si="111"/>
        <v>1</v>
      </c>
      <c r="U853" t="str" cm="1">
        <f t="array" ref="U853">_xlfn.IFS(D853&lt;40,"Young Adult",AND(D853&gt;=40,D853&lt;65),"Middle Aged", D853&gt;=65,"Elderly")</f>
        <v>Middle Aged</v>
      </c>
    </row>
    <row r="854" spans="1:21" x14ac:dyDescent="0.2">
      <c r="A854">
        <v>1082</v>
      </c>
      <c r="B854">
        <f t="shared" si="104"/>
        <v>853</v>
      </c>
      <c r="C854" t="s">
        <v>2511</v>
      </c>
      <c r="D854">
        <v>51</v>
      </c>
      <c r="E854" t="s">
        <v>71</v>
      </c>
      <c r="F854" t="str">
        <f t="shared" si="105"/>
        <v>Male</v>
      </c>
      <c r="G854" s="1">
        <v>45902</v>
      </c>
      <c r="H854" s="1">
        <v>45884</v>
      </c>
      <c r="I854" t="s">
        <v>2512</v>
      </c>
      <c r="J854" t="str">
        <f t="shared" si="106"/>
        <v>Nicholas Jones</v>
      </c>
      <c r="K854" t="s">
        <v>18</v>
      </c>
      <c r="L854" t="str">
        <f t="shared" si="107"/>
        <v>Orthopedics</v>
      </c>
      <c r="M854" t="s">
        <v>2513</v>
      </c>
      <c r="N854" t="str">
        <f t="shared" si="108"/>
        <v>GBP</v>
      </c>
      <c r="O854">
        <f t="shared" si="109"/>
        <v>229.44</v>
      </c>
      <c r="P854" cm="1">
        <f t="array" ref="P854">_xlfn.IFS(N854="USD",O854*1,N854="GBP",O854*1.27,N854="EUR",O854*1.09,N854="INR",O854*0.012,N854="N/A","N/A")</f>
        <v>291.3888</v>
      </c>
      <c r="Q854" t="s">
        <v>60</v>
      </c>
      <c r="R854" t="str" cm="1">
        <f t="array" ref="R854">_xlfn.IFS(Q854="Y","Yes", Q854="Yes","Yes", Q854="N","No", Q854="No","No", Q854=1,"N/A", Q854=0,"N/A", TRUE,"")</f>
        <v>No</v>
      </c>
      <c r="S854">
        <f t="shared" si="110"/>
        <v>14</v>
      </c>
      <c r="T854">
        <f t="shared" si="111"/>
        <v>1</v>
      </c>
      <c r="U854" t="str" cm="1">
        <f t="array" ref="U854">_xlfn.IFS(D854&lt;40,"Young Adult",AND(D854&gt;=40,D854&lt;65),"Middle Aged", D854&gt;=65,"Elderly")</f>
        <v>Middle Aged</v>
      </c>
    </row>
    <row r="855" spans="1:21" x14ac:dyDescent="0.2">
      <c r="A855">
        <v>1022</v>
      </c>
      <c r="B855">
        <f t="shared" si="104"/>
        <v>854</v>
      </c>
      <c r="C855" t="s">
        <v>2514</v>
      </c>
      <c r="D855">
        <v>89</v>
      </c>
      <c r="E855" t="s">
        <v>2937</v>
      </c>
      <c r="F855" t="str">
        <f t="shared" si="105"/>
        <v>N/A</v>
      </c>
      <c r="G855" s="1">
        <v>46055</v>
      </c>
      <c r="H855" s="1">
        <v>45665</v>
      </c>
      <c r="I855" t="s">
        <v>2515</v>
      </c>
      <c r="J855" t="str">
        <f t="shared" si="106"/>
        <v>Tiffany Sullivan</v>
      </c>
      <c r="K855" t="s">
        <v>24</v>
      </c>
      <c r="L855" t="str">
        <f t="shared" si="107"/>
        <v>Neurology</v>
      </c>
      <c r="M855" t="s">
        <v>2516</v>
      </c>
      <c r="N855" t="str">
        <f t="shared" si="108"/>
        <v>GBP</v>
      </c>
      <c r="O855">
        <f t="shared" si="109"/>
        <v>424.53</v>
      </c>
      <c r="P855" cm="1">
        <f t="array" ref="P855">_xlfn.IFS(N855="USD",O855*1,N855="GBP",O855*1.27,N855="EUR",O855*1.09,N855="INR",O855*0.012,N855="N/A","N/A")</f>
        <v>539.15309999999999</v>
      </c>
      <c r="Q855">
        <v>1</v>
      </c>
      <c r="R855" t="str" cm="1">
        <f t="array" ref="R855">_xlfn.IFS(Q855="Y","Yes", Q855="Yes","Yes", Q855="N","No", Q855="No","No", Q855=1,"N/A", Q855=0,"N/A", TRUE,"")</f>
        <v>N/A</v>
      </c>
      <c r="S855">
        <f t="shared" si="110"/>
        <v>9</v>
      </c>
      <c r="T855">
        <f t="shared" si="111"/>
        <v>1</v>
      </c>
      <c r="U855" t="str" cm="1">
        <f t="array" ref="U855">_xlfn.IFS(D855&lt;40,"Young Adult",AND(D855&gt;=40,D855&lt;65),"Middle Aged", D855&gt;=65,"Elderly")</f>
        <v>Elderly</v>
      </c>
    </row>
    <row r="856" spans="1:21" x14ac:dyDescent="0.2">
      <c r="A856">
        <v>1063</v>
      </c>
      <c r="B856">
        <f t="shared" si="104"/>
        <v>855</v>
      </c>
      <c r="C856" t="s">
        <v>2517</v>
      </c>
      <c r="D856">
        <v>48</v>
      </c>
      <c r="E856" t="s">
        <v>16</v>
      </c>
      <c r="F856" t="str">
        <f t="shared" si="105"/>
        <v>Female</v>
      </c>
      <c r="G856" s="1">
        <v>46045</v>
      </c>
      <c r="H856" s="1">
        <v>45943</v>
      </c>
      <c r="I856" t="s">
        <v>2518</v>
      </c>
      <c r="J856" t="str">
        <f t="shared" si="106"/>
        <v>William Harris</v>
      </c>
      <c r="K856" t="s">
        <v>18</v>
      </c>
      <c r="L856" t="str">
        <f t="shared" si="107"/>
        <v>Orthopedics</v>
      </c>
      <c r="M856" t="s">
        <v>2519</v>
      </c>
      <c r="N856" t="str">
        <f t="shared" si="108"/>
        <v>USD</v>
      </c>
      <c r="O856">
        <f t="shared" si="109"/>
        <v>248.84</v>
      </c>
      <c r="P856" cm="1">
        <f t="array" ref="P856">_xlfn.IFS(N856="USD",O856*1,N856="GBP",O856*1.27,N856="EUR",O856*1.09,N856="INR",O856*0.012,N856="N/A","N/A")</f>
        <v>248.84</v>
      </c>
      <c r="Q856" t="s">
        <v>30</v>
      </c>
      <c r="R856" t="str" cm="1">
        <f t="array" ref="R856">_xlfn.IFS(Q856="Y","Yes", Q856="Yes","Yes", Q856="N","No", Q856="No","No", Q856=1,"N/A", Q856=0,"N/A", TRUE,"")</f>
        <v>No</v>
      </c>
      <c r="S856">
        <f t="shared" si="110"/>
        <v>11</v>
      </c>
      <c r="T856">
        <f t="shared" si="111"/>
        <v>1</v>
      </c>
      <c r="U856" t="str" cm="1">
        <f t="array" ref="U856">_xlfn.IFS(D856&lt;40,"Young Adult",AND(D856&gt;=40,D856&lt;65),"Middle Aged", D856&gt;=65,"Elderly")</f>
        <v>Middle Aged</v>
      </c>
    </row>
    <row r="857" spans="1:21" x14ac:dyDescent="0.2">
      <c r="A857">
        <v>1009</v>
      </c>
      <c r="B857">
        <f t="shared" si="104"/>
        <v>856</v>
      </c>
      <c r="C857" t="s">
        <v>2520</v>
      </c>
      <c r="D857">
        <v>37</v>
      </c>
      <c r="E857" t="s">
        <v>22</v>
      </c>
      <c r="F857" t="str">
        <f t="shared" si="105"/>
        <v>Male</v>
      </c>
      <c r="G857" s="1">
        <v>45861</v>
      </c>
      <c r="H857" s="1">
        <v>45730</v>
      </c>
      <c r="I857" t="s">
        <v>2521</v>
      </c>
      <c r="J857" t="str">
        <f t="shared" si="106"/>
        <v>Julie Smith</v>
      </c>
      <c r="K857" t="s">
        <v>13</v>
      </c>
      <c r="L857" t="str">
        <f t="shared" si="107"/>
        <v>Cardiology</v>
      </c>
      <c r="M857" t="s">
        <v>2522</v>
      </c>
      <c r="N857" t="str">
        <f t="shared" si="108"/>
        <v>USD</v>
      </c>
      <c r="O857">
        <f t="shared" si="109"/>
        <v>89.38</v>
      </c>
      <c r="P857" cm="1">
        <f t="array" ref="P857">_xlfn.IFS(N857="USD",O857*1,N857="GBP",O857*1.27,N857="EUR",O857*1.09,N857="INR",O857*0.012,N857="N/A","N/A")</f>
        <v>89.38</v>
      </c>
      <c r="Q857" t="s">
        <v>30</v>
      </c>
      <c r="R857" t="str" cm="1">
        <f t="array" ref="R857">_xlfn.IFS(Q857="Y","Yes", Q857="Yes","Yes", Q857="N","No", Q857="No","No", Q857=1,"N/A", Q857=0,"N/A", TRUE,"")</f>
        <v>No</v>
      </c>
      <c r="S857">
        <f t="shared" si="110"/>
        <v>9</v>
      </c>
      <c r="T857">
        <f t="shared" si="111"/>
        <v>1</v>
      </c>
      <c r="U857" t="str" cm="1">
        <f t="array" ref="U857">_xlfn.IFS(D857&lt;40,"Young Adult",AND(D857&gt;=40,D857&lt;65),"Middle Aged", D857&gt;=65,"Elderly")</f>
        <v>Young Adult</v>
      </c>
    </row>
    <row r="858" spans="1:21" x14ac:dyDescent="0.2">
      <c r="A858">
        <v>1079</v>
      </c>
      <c r="B858">
        <f t="shared" si="104"/>
        <v>857</v>
      </c>
      <c r="C858" t="s">
        <v>2523</v>
      </c>
      <c r="D858">
        <v>64</v>
      </c>
      <c r="E858" t="s">
        <v>2937</v>
      </c>
      <c r="F858" t="str">
        <f t="shared" si="105"/>
        <v>N/A</v>
      </c>
      <c r="G858" s="1">
        <v>45871</v>
      </c>
      <c r="H858" s="1">
        <v>45808</v>
      </c>
      <c r="I858" t="s">
        <v>2524</v>
      </c>
      <c r="J858" t="str">
        <f t="shared" si="106"/>
        <v>Patrick Morrison</v>
      </c>
      <c r="K858" t="s">
        <v>24</v>
      </c>
      <c r="L858" t="str">
        <f t="shared" si="107"/>
        <v>Neurology</v>
      </c>
      <c r="M858" t="s">
        <v>2525</v>
      </c>
      <c r="N858" t="str">
        <f t="shared" si="108"/>
        <v>EUR</v>
      </c>
      <c r="O858">
        <f t="shared" si="109"/>
        <v>110.8</v>
      </c>
      <c r="P858" cm="1">
        <f t="array" ref="P858">_xlfn.IFS(N858="USD",O858*1,N858="GBP",O858*1.27,N858="EUR",O858*1.09,N858="INR",O858*0.012,N858="N/A","N/A")</f>
        <v>120.77200000000001</v>
      </c>
      <c r="Q858" t="s">
        <v>36</v>
      </c>
      <c r="R858" t="str" cm="1">
        <f t="array" ref="R858">_xlfn.IFS(Q858="Y","Yes", Q858="Yes","Yes", Q858="N","No", Q858="No","No", Q858=1,"N/A", Q858=0,"N/A", TRUE,"")</f>
        <v>Yes</v>
      </c>
      <c r="S858">
        <f t="shared" si="110"/>
        <v>4</v>
      </c>
      <c r="T858">
        <f t="shared" si="111"/>
        <v>1</v>
      </c>
      <c r="U858" t="str" cm="1">
        <f t="array" ref="U858">_xlfn.IFS(D858&lt;40,"Young Adult",AND(D858&gt;=40,D858&lt;65),"Middle Aged", D858&gt;=65,"Elderly")</f>
        <v>Middle Aged</v>
      </c>
    </row>
    <row r="859" spans="1:21" x14ac:dyDescent="0.2">
      <c r="A859">
        <v>1001</v>
      </c>
      <c r="B859">
        <f t="shared" si="104"/>
        <v>858</v>
      </c>
      <c r="C859" t="s">
        <v>2526</v>
      </c>
      <c r="D859">
        <v>25</v>
      </c>
      <c r="E859" t="s">
        <v>16</v>
      </c>
      <c r="F859" t="str">
        <f t="shared" si="105"/>
        <v>Female</v>
      </c>
      <c r="G859" s="1">
        <v>46062</v>
      </c>
      <c r="H859" s="1">
        <v>45676</v>
      </c>
      <c r="I859" t="s">
        <v>2527</v>
      </c>
      <c r="J859" t="str">
        <f t="shared" si="106"/>
        <v>Traci Hopkins</v>
      </c>
      <c r="K859" t="s">
        <v>18</v>
      </c>
      <c r="L859" t="str">
        <f t="shared" si="107"/>
        <v>Orthopedics</v>
      </c>
      <c r="M859" t="s">
        <v>2528</v>
      </c>
      <c r="N859" t="str">
        <f t="shared" si="108"/>
        <v>USD</v>
      </c>
      <c r="O859">
        <f t="shared" si="109"/>
        <v>217.51</v>
      </c>
      <c r="P859" cm="1">
        <f t="array" ref="P859">_xlfn.IFS(N859="USD",O859*1,N859="GBP",O859*1.27,N859="EUR",O859*1.09,N859="INR",O859*0.012,N859="N/A","N/A")</f>
        <v>217.51</v>
      </c>
      <c r="Q859">
        <v>1</v>
      </c>
      <c r="R859" t="str" cm="1">
        <f t="array" ref="R859">_xlfn.IFS(Q859="Y","Yes", Q859="Yes","Yes", Q859="N","No", Q859="No","No", Q859=1,"N/A", Q859=0,"N/A", TRUE,"")</f>
        <v>N/A</v>
      </c>
      <c r="S859">
        <f t="shared" si="110"/>
        <v>12</v>
      </c>
      <c r="T859">
        <f t="shared" si="111"/>
        <v>1</v>
      </c>
      <c r="U859" t="str" cm="1">
        <f t="array" ref="U859">_xlfn.IFS(D859&lt;40,"Young Adult",AND(D859&gt;=40,D859&lt;65),"Middle Aged", D859&gt;=65,"Elderly")</f>
        <v>Young Adult</v>
      </c>
    </row>
    <row r="860" spans="1:21" x14ac:dyDescent="0.2">
      <c r="A860">
        <v>1022</v>
      </c>
      <c r="B860">
        <f t="shared" si="104"/>
        <v>859</v>
      </c>
      <c r="C860" t="s">
        <v>2529</v>
      </c>
      <c r="D860">
        <v>78</v>
      </c>
      <c r="E860" t="s">
        <v>51</v>
      </c>
      <c r="F860" t="str">
        <f t="shared" si="105"/>
        <v>Male</v>
      </c>
      <c r="G860" s="1">
        <v>45939</v>
      </c>
      <c r="H860" s="1">
        <v>45832</v>
      </c>
      <c r="I860" t="s">
        <v>2530</v>
      </c>
      <c r="J860" t="str">
        <f t="shared" si="106"/>
        <v>Adam Hall</v>
      </c>
      <c r="K860" t="s">
        <v>28</v>
      </c>
      <c r="L860" t="str">
        <f t="shared" si="107"/>
        <v>General</v>
      </c>
      <c r="M860" t="s">
        <v>2531</v>
      </c>
      <c r="N860" t="str">
        <f t="shared" si="108"/>
        <v>EUR</v>
      </c>
      <c r="O860">
        <f t="shared" si="109"/>
        <v>427.98</v>
      </c>
      <c r="P860" cm="1">
        <f t="array" ref="P860">_xlfn.IFS(N860="USD",O860*1,N860="GBP",O860*1.27,N860="EUR",O860*1.09,N860="INR",O860*0.012,N860="N/A","N/A")</f>
        <v>466.49820000000005</v>
      </c>
      <c r="Q860" t="s">
        <v>20</v>
      </c>
      <c r="R860" t="str" cm="1">
        <f t="array" ref="R860">_xlfn.IFS(Q860="Y","Yes", Q860="Yes","Yes", Q860="N","No", Q860="No","No", Q860=1,"N/A", Q860=0,"N/A", TRUE,"")</f>
        <v>Yes</v>
      </c>
      <c r="S860">
        <f t="shared" si="110"/>
        <v>9</v>
      </c>
      <c r="T860">
        <f t="shared" si="111"/>
        <v>1</v>
      </c>
      <c r="U860" t="str" cm="1">
        <f t="array" ref="U860">_xlfn.IFS(D860&lt;40,"Young Adult",AND(D860&gt;=40,D860&lt;65),"Middle Aged", D860&gt;=65,"Elderly")</f>
        <v>Elderly</v>
      </c>
    </row>
    <row r="861" spans="1:21" x14ac:dyDescent="0.2">
      <c r="A861">
        <v>1008</v>
      </c>
      <c r="B861">
        <f t="shared" si="104"/>
        <v>860</v>
      </c>
      <c r="C861" t="s">
        <v>2532</v>
      </c>
      <c r="D861">
        <v>77</v>
      </c>
      <c r="E861" t="s">
        <v>38</v>
      </c>
      <c r="F861" t="str">
        <f t="shared" si="105"/>
        <v>Female</v>
      </c>
      <c r="G861" s="1">
        <v>46029</v>
      </c>
      <c r="H861" s="1">
        <v>45472</v>
      </c>
      <c r="I861" t="s">
        <v>2533</v>
      </c>
      <c r="J861" t="str">
        <f t="shared" si="106"/>
        <v>Jennifer Perez</v>
      </c>
      <c r="K861" t="s">
        <v>13</v>
      </c>
      <c r="L861" t="str">
        <f t="shared" si="107"/>
        <v>Cardiology</v>
      </c>
      <c r="M861" t="s">
        <v>2534</v>
      </c>
      <c r="N861" t="str">
        <f t="shared" si="108"/>
        <v>USD</v>
      </c>
      <c r="O861">
        <f t="shared" si="109"/>
        <v>298.89</v>
      </c>
      <c r="P861" cm="1">
        <f t="array" ref="P861">_xlfn.IFS(N861="USD",O861*1,N861="GBP",O861*1.27,N861="EUR",O861*1.09,N861="INR",O861*0.012,N861="N/A","N/A")</f>
        <v>298.89</v>
      </c>
      <c r="Q861" t="s">
        <v>20</v>
      </c>
      <c r="R861" t="str" cm="1">
        <f t="array" ref="R861">_xlfn.IFS(Q861="Y","Yes", Q861="Yes","Yes", Q861="N","No", Q861="No","No", Q861=1,"N/A", Q861=0,"N/A", TRUE,"")</f>
        <v>Yes</v>
      </c>
      <c r="S861">
        <f t="shared" si="110"/>
        <v>11</v>
      </c>
      <c r="T861">
        <f t="shared" si="111"/>
        <v>1</v>
      </c>
      <c r="U861" t="str" cm="1">
        <f t="array" ref="U861">_xlfn.IFS(D861&lt;40,"Young Adult",AND(D861&gt;=40,D861&lt;65),"Middle Aged", D861&gt;=65,"Elderly")</f>
        <v>Elderly</v>
      </c>
    </row>
    <row r="862" spans="1:21" x14ac:dyDescent="0.2">
      <c r="A862">
        <v>1100</v>
      </c>
      <c r="B862">
        <f t="shared" si="104"/>
        <v>861</v>
      </c>
      <c r="C862" t="s">
        <v>2535</v>
      </c>
      <c r="D862">
        <v>46</v>
      </c>
      <c r="E862" t="s">
        <v>51</v>
      </c>
      <c r="F862" t="str">
        <f t="shared" si="105"/>
        <v>Male</v>
      </c>
      <c r="G862" s="1">
        <v>46054</v>
      </c>
      <c r="H862" s="1">
        <v>45835</v>
      </c>
      <c r="I862" t="s">
        <v>2536</v>
      </c>
      <c r="J862" t="str">
        <f t="shared" si="106"/>
        <v>Natalie Rodriguez</v>
      </c>
      <c r="K862" t="s">
        <v>13</v>
      </c>
      <c r="L862" t="str">
        <f t="shared" si="107"/>
        <v>Cardiology</v>
      </c>
      <c r="M862" t="s">
        <v>2537</v>
      </c>
      <c r="N862" t="str">
        <f t="shared" si="108"/>
        <v>GBP</v>
      </c>
      <c r="O862">
        <f t="shared" si="109"/>
        <v>182.71</v>
      </c>
      <c r="P862" cm="1">
        <f t="array" ref="P862">_xlfn.IFS(N862="USD",O862*1,N862="GBP",O862*1.27,N862="EUR",O862*1.09,N862="INR",O862*0.012,N862="N/A","N/A")</f>
        <v>232.04170000000002</v>
      </c>
      <c r="Q862" t="s">
        <v>20</v>
      </c>
      <c r="R862" t="str" cm="1">
        <f t="array" ref="R862">_xlfn.IFS(Q862="Y","Yes", Q862="Yes","Yes", Q862="N","No", Q862="No","No", Q862=1,"N/A", Q862=0,"N/A", TRUE,"")</f>
        <v>Yes</v>
      </c>
      <c r="S862">
        <f t="shared" si="110"/>
        <v>8</v>
      </c>
      <c r="T862">
        <f t="shared" si="111"/>
        <v>1</v>
      </c>
      <c r="U862" t="str" cm="1">
        <f t="array" ref="U862">_xlfn.IFS(D862&lt;40,"Young Adult",AND(D862&gt;=40,D862&lt;65),"Middle Aged", D862&gt;=65,"Elderly")</f>
        <v>Middle Aged</v>
      </c>
    </row>
    <row r="863" spans="1:21" x14ac:dyDescent="0.2">
      <c r="A863">
        <v>1074</v>
      </c>
      <c r="B863">
        <f t="shared" si="104"/>
        <v>862</v>
      </c>
      <c r="C863" t="s">
        <v>2538</v>
      </c>
      <c r="D863">
        <v>90</v>
      </c>
      <c r="E863" t="s">
        <v>16</v>
      </c>
      <c r="F863" t="str">
        <f t="shared" si="105"/>
        <v>Female</v>
      </c>
      <c r="G863" s="1">
        <v>45966</v>
      </c>
      <c r="H863" s="1">
        <v>45449</v>
      </c>
      <c r="I863" t="s">
        <v>2539</v>
      </c>
      <c r="J863" t="str">
        <f t="shared" si="106"/>
        <v>Jacob Diaz</v>
      </c>
      <c r="K863" t="s">
        <v>28</v>
      </c>
      <c r="L863" t="str">
        <f t="shared" si="107"/>
        <v>General</v>
      </c>
      <c r="M863" t="s">
        <v>2540</v>
      </c>
      <c r="N863" t="str">
        <f t="shared" si="108"/>
        <v>EUR</v>
      </c>
      <c r="O863">
        <f t="shared" si="109"/>
        <v>350.12</v>
      </c>
      <c r="P863" cm="1">
        <f t="array" ref="P863">_xlfn.IFS(N863="USD",O863*1,N863="GBP",O863*1.27,N863="EUR",O863*1.09,N863="INR",O863*0.012,N863="N/A","N/A")</f>
        <v>381.63080000000002</v>
      </c>
      <c r="Q863">
        <v>0</v>
      </c>
      <c r="R863" t="str" cm="1">
        <f t="array" ref="R863">_xlfn.IFS(Q863="Y","Yes", Q863="Yes","Yes", Q863="N","No", Q863="No","No", Q863=1,"N/A", Q863=0,"N/A", TRUE,"")</f>
        <v>N/A</v>
      </c>
      <c r="S863">
        <f t="shared" si="110"/>
        <v>17</v>
      </c>
      <c r="T863">
        <f t="shared" si="111"/>
        <v>1</v>
      </c>
      <c r="U863" t="str" cm="1">
        <f t="array" ref="U863">_xlfn.IFS(D863&lt;40,"Young Adult",AND(D863&gt;=40,D863&lt;65),"Middle Aged", D863&gt;=65,"Elderly")</f>
        <v>Elderly</v>
      </c>
    </row>
    <row r="864" spans="1:21" x14ac:dyDescent="0.2">
      <c r="A864">
        <v>1037</v>
      </c>
      <c r="B864">
        <f t="shared" si="104"/>
        <v>863</v>
      </c>
      <c r="C864" t="s">
        <v>2541</v>
      </c>
      <c r="D864">
        <v>26</v>
      </c>
      <c r="E864" t="s">
        <v>2937</v>
      </c>
      <c r="F864" t="str">
        <f t="shared" si="105"/>
        <v>N/A</v>
      </c>
      <c r="G864" s="1">
        <v>46039</v>
      </c>
      <c r="H864" s="1">
        <v>45471</v>
      </c>
      <c r="I864" t="s">
        <v>2542</v>
      </c>
      <c r="J864" t="str">
        <f t="shared" si="106"/>
        <v>Tyler Cunningham</v>
      </c>
      <c r="K864" t="s">
        <v>28</v>
      </c>
      <c r="L864" t="str">
        <f t="shared" si="107"/>
        <v>General</v>
      </c>
      <c r="M864" t="s">
        <v>2543</v>
      </c>
      <c r="N864" t="str">
        <f t="shared" si="108"/>
        <v>EUR</v>
      </c>
      <c r="O864">
        <f t="shared" si="109"/>
        <v>158.91</v>
      </c>
      <c r="P864" cm="1">
        <f t="array" ref="P864">_xlfn.IFS(N864="USD",O864*1,N864="GBP",O864*1.27,N864="EUR",O864*1.09,N864="INR",O864*0.012,N864="N/A","N/A")</f>
        <v>173.21190000000001</v>
      </c>
      <c r="Q864">
        <v>0</v>
      </c>
      <c r="R864" t="str" cm="1">
        <f t="array" ref="R864">_xlfn.IFS(Q864="Y","Yes", Q864="Yes","Yes", Q864="N","No", Q864="No","No", Q864=1,"N/A", Q864=0,"N/A", TRUE,"")</f>
        <v>N/A</v>
      </c>
      <c r="S864">
        <f t="shared" si="110"/>
        <v>5</v>
      </c>
      <c r="T864">
        <f t="shared" si="111"/>
        <v>1</v>
      </c>
      <c r="U864" t="str" cm="1">
        <f t="array" ref="U864">_xlfn.IFS(D864&lt;40,"Young Adult",AND(D864&gt;=40,D864&lt;65),"Middle Aged", D864&gt;=65,"Elderly")</f>
        <v>Young Adult</v>
      </c>
    </row>
    <row r="865" spans="1:21" x14ac:dyDescent="0.2">
      <c r="A865">
        <v>1094</v>
      </c>
      <c r="B865">
        <f t="shared" si="104"/>
        <v>864</v>
      </c>
      <c r="C865" t="s">
        <v>2544</v>
      </c>
      <c r="D865">
        <v>22</v>
      </c>
      <c r="E865" t="s">
        <v>16</v>
      </c>
      <c r="F865" t="str">
        <f t="shared" si="105"/>
        <v>Female</v>
      </c>
      <c r="G865" s="1">
        <v>46097</v>
      </c>
      <c r="H865" s="1">
        <v>45622</v>
      </c>
      <c r="I865" t="s">
        <v>2545</v>
      </c>
      <c r="J865" t="str">
        <f t="shared" si="106"/>
        <v>Megan Smith</v>
      </c>
      <c r="K865" t="s">
        <v>18</v>
      </c>
      <c r="L865" t="str">
        <f t="shared" si="107"/>
        <v>Orthopedics</v>
      </c>
      <c r="M865" t="s">
        <v>2546</v>
      </c>
      <c r="N865" t="str">
        <f t="shared" si="108"/>
        <v>GBP</v>
      </c>
      <c r="O865">
        <f t="shared" si="109"/>
        <v>457.94</v>
      </c>
      <c r="P865" cm="1">
        <f t="array" ref="P865">_xlfn.IFS(N865="USD",O865*1,N865="GBP",O865*1.27,N865="EUR",O865*1.09,N865="INR",O865*0.012,N865="N/A","N/A")</f>
        <v>581.5838</v>
      </c>
      <c r="Q865">
        <v>1</v>
      </c>
      <c r="R865" t="str" cm="1">
        <f t="array" ref="R865">_xlfn.IFS(Q865="Y","Yes", Q865="Yes","Yes", Q865="N","No", Q865="No","No", Q865=1,"N/A", Q865=0,"N/A", TRUE,"")</f>
        <v>N/A</v>
      </c>
      <c r="S865">
        <f t="shared" si="110"/>
        <v>8</v>
      </c>
      <c r="T865">
        <f t="shared" si="111"/>
        <v>1</v>
      </c>
      <c r="U865" t="str" cm="1">
        <f t="array" ref="U865">_xlfn.IFS(D865&lt;40,"Young Adult",AND(D865&gt;=40,D865&lt;65),"Middle Aged", D865&gt;=65,"Elderly")</f>
        <v>Young Adult</v>
      </c>
    </row>
    <row r="866" spans="1:21" x14ac:dyDescent="0.2">
      <c r="A866">
        <v>1066</v>
      </c>
      <c r="B866">
        <f t="shared" si="104"/>
        <v>865</v>
      </c>
      <c r="C866" t="s">
        <v>2547</v>
      </c>
      <c r="D866">
        <v>36</v>
      </c>
      <c r="E866" t="s">
        <v>2937</v>
      </c>
      <c r="F866" t="str">
        <f t="shared" si="105"/>
        <v>N/A</v>
      </c>
      <c r="G866" s="1">
        <v>46033</v>
      </c>
      <c r="H866" s="1">
        <v>45930</v>
      </c>
      <c r="I866" t="s">
        <v>2548</v>
      </c>
      <c r="J866" t="str">
        <f t="shared" si="106"/>
        <v>Karen Griffin</v>
      </c>
      <c r="K866" t="s">
        <v>13</v>
      </c>
      <c r="L866" t="str">
        <f t="shared" si="107"/>
        <v>Cardiology</v>
      </c>
      <c r="M866" t="s">
        <v>2549</v>
      </c>
      <c r="N866" t="str">
        <f t="shared" si="108"/>
        <v>EUR</v>
      </c>
      <c r="O866">
        <f t="shared" si="109"/>
        <v>130.9</v>
      </c>
      <c r="P866" cm="1">
        <f t="array" ref="P866">_xlfn.IFS(N866="USD",O866*1,N866="GBP",O866*1.27,N866="EUR",O866*1.09,N866="INR",O866*0.012,N866="N/A","N/A")</f>
        <v>142.68100000000001</v>
      </c>
      <c r="Q866" t="s">
        <v>60</v>
      </c>
      <c r="R866" t="str" cm="1">
        <f t="array" ref="R866">_xlfn.IFS(Q866="Y","Yes", Q866="Yes","Yes", Q866="N","No", Q866="No","No", Q866=1,"N/A", Q866=0,"N/A", TRUE,"")</f>
        <v>No</v>
      </c>
      <c r="S866">
        <f t="shared" si="110"/>
        <v>11</v>
      </c>
      <c r="T866">
        <f t="shared" si="111"/>
        <v>1</v>
      </c>
      <c r="U866" t="str" cm="1">
        <f t="array" ref="U866">_xlfn.IFS(D866&lt;40,"Young Adult",AND(D866&gt;=40,D866&lt;65),"Middle Aged", D866&gt;=65,"Elderly")</f>
        <v>Young Adult</v>
      </c>
    </row>
    <row r="867" spans="1:21" x14ac:dyDescent="0.2">
      <c r="A867">
        <v>1084</v>
      </c>
      <c r="B867">
        <f t="shared" si="104"/>
        <v>866</v>
      </c>
      <c r="C867" t="s">
        <v>2550</v>
      </c>
      <c r="D867">
        <v>83</v>
      </c>
      <c r="E867" t="s">
        <v>38</v>
      </c>
      <c r="F867" t="str">
        <f t="shared" si="105"/>
        <v>Female</v>
      </c>
      <c r="G867" s="1">
        <v>45865</v>
      </c>
      <c r="H867" s="1">
        <v>45744</v>
      </c>
      <c r="I867" t="s">
        <v>2551</v>
      </c>
      <c r="J867" t="str">
        <f t="shared" si="106"/>
        <v>Ian Castillo</v>
      </c>
      <c r="K867" t="s">
        <v>18</v>
      </c>
      <c r="L867" t="str">
        <f t="shared" si="107"/>
        <v>Orthopedics</v>
      </c>
      <c r="M867" t="s">
        <v>2552</v>
      </c>
      <c r="N867" t="str">
        <f t="shared" si="108"/>
        <v>USD</v>
      </c>
      <c r="O867">
        <f t="shared" si="109"/>
        <v>318.44</v>
      </c>
      <c r="P867" cm="1">
        <f t="array" ref="P867">_xlfn.IFS(N867="USD",O867*1,N867="GBP",O867*1.27,N867="EUR",O867*1.09,N867="INR",O867*0.012,N867="N/A","N/A")</f>
        <v>318.44</v>
      </c>
      <c r="Q867" t="s">
        <v>30</v>
      </c>
      <c r="R867" t="str" cm="1">
        <f t="array" ref="R867">_xlfn.IFS(Q867="Y","Yes", Q867="Yes","Yes", Q867="N","No", Q867="No","No", Q867=1,"N/A", Q867=0,"N/A", TRUE,"")</f>
        <v>No</v>
      </c>
      <c r="S867">
        <f t="shared" si="110"/>
        <v>15</v>
      </c>
      <c r="T867">
        <f t="shared" si="111"/>
        <v>1</v>
      </c>
      <c r="U867" t="str" cm="1">
        <f t="array" ref="U867">_xlfn.IFS(D867&lt;40,"Young Adult",AND(D867&gt;=40,D867&lt;65),"Middle Aged", D867&gt;=65,"Elderly")</f>
        <v>Elderly</v>
      </c>
    </row>
    <row r="868" spans="1:21" x14ac:dyDescent="0.2">
      <c r="A868">
        <v>1008</v>
      </c>
      <c r="B868">
        <f t="shared" si="104"/>
        <v>867</v>
      </c>
      <c r="C868" t="s">
        <v>2553</v>
      </c>
      <c r="D868">
        <v>44</v>
      </c>
      <c r="E868" t="s">
        <v>16</v>
      </c>
      <c r="F868" t="str">
        <f t="shared" si="105"/>
        <v>Female</v>
      </c>
      <c r="G868" s="1">
        <v>45937</v>
      </c>
      <c r="H868" s="1">
        <v>45613</v>
      </c>
      <c r="I868" t="s">
        <v>2554</v>
      </c>
      <c r="J868" t="str">
        <f t="shared" si="106"/>
        <v>Andre Jones</v>
      </c>
      <c r="K868" t="s">
        <v>24</v>
      </c>
      <c r="L868" t="str">
        <f t="shared" si="107"/>
        <v>Neurology</v>
      </c>
      <c r="M868" t="s">
        <v>2555</v>
      </c>
      <c r="N868" t="str">
        <f t="shared" si="108"/>
        <v>INR</v>
      </c>
      <c r="O868">
        <f t="shared" si="109"/>
        <v>291.99</v>
      </c>
      <c r="P868" cm="1">
        <f t="array" ref="P868">_xlfn.IFS(N868="USD",O868*1,N868="GBP",O868*1.27,N868="EUR",O868*1.09,N868="INR",O868*0.012,N868="N/A","N/A")</f>
        <v>3.5038800000000001</v>
      </c>
      <c r="Q868">
        <v>0</v>
      </c>
      <c r="R868" t="str" cm="1">
        <f t="array" ref="R868">_xlfn.IFS(Q868="Y","Yes", Q868="Yes","Yes", Q868="N","No", Q868="No","No", Q868=1,"N/A", Q868=0,"N/A", TRUE,"")</f>
        <v>N/A</v>
      </c>
      <c r="S868">
        <f t="shared" si="110"/>
        <v>11</v>
      </c>
      <c r="T868">
        <f t="shared" si="111"/>
        <v>1</v>
      </c>
      <c r="U868" t="str" cm="1">
        <f t="array" ref="U868">_xlfn.IFS(D868&lt;40,"Young Adult",AND(D868&gt;=40,D868&lt;65),"Middle Aged", D868&gt;=65,"Elderly")</f>
        <v>Middle Aged</v>
      </c>
    </row>
    <row r="869" spans="1:21" x14ac:dyDescent="0.2">
      <c r="A869">
        <v>1039</v>
      </c>
      <c r="B869">
        <f t="shared" si="104"/>
        <v>868</v>
      </c>
      <c r="C869" t="s">
        <v>2556</v>
      </c>
      <c r="D869">
        <v>69</v>
      </c>
      <c r="E869" t="s">
        <v>38</v>
      </c>
      <c r="F869" t="str">
        <f t="shared" si="105"/>
        <v>Female</v>
      </c>
      <c r="G869" s="1">
        <v>46057</v>
      </c>
      <c r="H869" s="1">
        <v>45582</v>
      </c>
      <c r="I869" t="s">
        <v>2557</v>
      </c>
      <c r="J869" t="str">
        <f t="shared" si="106"/>
        <v>Sean Hernandez</v>
      </c>
      <c r="K869" t="s">
        <v>13</v>
      </c>
      <c r="L869" t="str">
        <f t="shared" si="107"/>
        <v>Cardiology</v>
      </c>
      <c r="M869" t="s">
        <v>2558</v>
      </c>
      <c r="N869" t="str">
        <f t="shared" si="108"/>
        <v>USD</v>
      </c>
      <c r="O869">
        <f t="shared" si="109"/>
        <v>161.56</v>
      </c>
      <c r="P869" cm="1">
        <f t="array" ref="P869">_xlfn.IFS(N869="USD",O869*1,N869="GBP",O869*1.27,N869="EUR",O869*1.09,N869="INR",O869*0.012,N869="N/A","N/A")</f>
        <v>161.56</v>
      </c>
      <c r="Q869" t="s">
        <v>20</v>
      </c>
      <c r="R869" t="str" cm="1">
        <f t="array" ref="R869">_xlfn.IFS(Q869="Y","Yes", Q869="Yes","Yes", Q869="N","No", Q869="No","No", Q869=1,"N/A", Q869=0,"N/A", TRUE,"")</f>
        <v>Yes</v>
      </c>
      <c r="S869">
        <f t="shared" si="110"/>
        <v>8</v>
      </c>
      <c r="T869">
        <f t="shared" si="111"/>
        <v>1</v>
      </c>
      <c r="U869" t="str" cm="1">
        <f t="array" ref="U869">_xlfn.IFS(D869&lt;40,"Young Adult",AND(D869&gt;=40,D869&lt;65),"Middle Aged", D869&gt;=65,"Elderly")</f>
        <v>Elderly</v>
      </c>
    </row>
    <row r="870" spans="1:21" x14ac:dyDescent="0.2">
      <c r="A870">
        <v>1092</v>
      </c>
      <c r="B870">
        <f t="shared" si="104"/>
        <v>869</v>
      </c>
      <c r="C870" t="s">
        <v>2559</v>
      </c>
      <c r="D870">
        <v>58</v>
      </c>
      <c r="E870" t="s">
        <v>22</v>
      </c>
      <c r="F870" t="str">
        <f t="shared" si="105"/>
        <v>Male</v>
      </c>
      <c r="G870" s="1">
        <v>45843</v>
      </c>
      <c r="H870" s="1">
        <v>45793</v>
      </c>
      <c r="I870" t="s">
        <v>2560</v>
      </c>
      <c r="J870" t="str">
        <f t="shared" si="106"/>
        <v>Katrina Jones</v>
      </c>
      <c r="K870" t="s">
        <v>28</v>
      </c>
      <c r="L870" t="str">
        <f t="shared" si="107"/>
        <v>General</v>
      </c>
      <c r="M870" t="s">
        <v>2561</v>
      </c>
      <c r="N870" t="str">
        <f t="shared" si="108"/>
        <v>EUR</v>
      </c>
      <c r="O870">
        <f t="shared" si="109"/>
        <v>79.8</v>
      </c>
      <c r="P870" cm="1">
        <f t="array" ref="P870">_xlfn.IFS(N870="USD",O870*1,N870="GBP",O870*1.27,N870="EUR",O870*1.09,N870="INR",O870*0.012,N870="N/A","N/A")</f>
        <v>86.981999999999999</v>
      </c>
      <c r="Q870" t="s">
        <v>20</v>
      </c>
      <c r="R870" t="str" cm="1">
        <f t="array" ref="R870">_xlfn.IFS(Q870="Y","Yes", Q870="Yes","Yes", Q870="N","No", Q870="No","No", Q870=1,"N/A", Q870=0,"N/A", TRUE,"")</f>
        <v>Yes</v>
      </c>
      <c r="S870">
        <f t="shared" si="110"/>
        <v>11</v>
      </c>
      <c r="T870">
        <f t="shared" si="111"/>
        <v>1</v>
      </c>
      <c r="U870" t="str" cm="1">
        <f t="array" ref="U870">_xlfn.IFS(D870&lt;40,"Young Adult",AND(D870&gt;=40,D870&lt;65),"Middle Aged", D870&gt;=65,"Elderly")</f>
        <v>Middle Aged</v>
      </c>
    </row>
    <row r="871" spans="1:21" x14ac:dyDescent="0.2">
      <c r="A871">
        <v>1023</v>
      </c>
      <c r="B871">
        <f t="shared" si="104"/>
        <v>870</v>
      </c>
      <c r="C871" t="s">
        <v>2562</v>
      </c>
      <c r="D871">
        <v>76</v>
      </c>
      <c r="E871" t="s">
        <v>2937</v>
      </c>
      <c r="F871" t="str">
        <f t="shared" si="105"/>
        <v>N/A</v>
      </c>
      <c r="G871" s="1">
        <v>45888</v>
      </c>
      <c r="H871" s="1">
        <v>45884</v>
      </c>
      <c r="I871" t="s">
        <v>2563</v>
      </c>
      <c r="J871" t="str">
        <f t="shared" si="106"/>
        <v>Steven Scott</v>
      </c>
      <c r="K871" t="s">
        <v>28</v>
      </c>
      <c r="L871" t="str">
        <f t="shared" si="107"/>
        <v>General</v>
      </c>
      <c r="M871" t="s">
        <v>2564</v>
      </c>
      <c r="N871" t="str">
        <f t="shared" si="108"/>
        <v>INR</v>
      </c>
      <c r="O871">
        <f t="shared" si="109"/>
        <v>151.58000000000001</v>
      </c>
      <c r="P871" cm="1">
        <f t="array" ref="P871">_xlfn.IFS(N871="USD",O871*1,N871="GBP",O871*1.27,N871="EUR",O871*1.09,N871="INR",O871*0.012,N871="N/A","N/A")</f>
        <v>1.8189600000000001</v>
      </c>
      <c r="Q871">
        <v>1</v>
      </c>
      <c r="R871" t="str" cm="1">
        <f t="array" ref="R871">_xlfn.IFS(Q871="Y","Yes", Q871="Yes","Yes", Q871="N","No", Q871="No","No", Q871=1,"N/A", Q871=0,"N/A", TRUE,"")</f>
        <v>N/A</v>
      </c>
      <c r="S871">
        <f t="shared" si="110"/>
        <v>4</v>
      </c>
      <c r="T871">
        <f t="shared" si="111"/>
        <v>1</v>
      </c>
      <c r="U871" t="str" cm="1">
        <f t="array" ref="U871">_xlfn.IFS(D871&lt;40,"Young Adult",AND(D871&gt;=40,D871&lt;65),"Middle Aged", D871&gt;=65,"Elderly")</f>
        <v>Elderly</v>
      </c>
    </row>
    <row r="872" spans="1:21" x14ac:dyDescent="0.2">
      <c r="A872">
        <v>1004</v>
      </c>
      <c r="B872">
        <f t="shared" si="104"/>
        <v>871</v>
      </c>
      <c r="C872" t="s">
        <v>2565</v>
      </c>
      <c r="D872">
        <v>67</v>
      </c>
      <c r="E872" t="s">
        <v>2937</v>
      </c>
      <c r="F872" t="str">
        <f t="shared" si="105"/>
        <v>N/A</v>
      </c>
      <c r="G872" s="1">
        <v>45981</v>
      </c>
      <c r="H872" s="1">
        <v>45871</v>
      </c>
      <c r="I872" t="s">
        <v>2566</v>
      </c>
      <c r="J872" t="str">
        <f t="shared" si="106"/>
        <v>Lydia Baker</v>
      </c>
      <c r="K872" t="s">
        <v>24</v>
      </c>
      <c r="L872" t="str">
        <f t="shared" si="107"/>
        <v>Neurology</v>
      </c>
      <c r="M872" t="s">
        <v>2567</v>
      </c>
      <c r="N872" t="str">
        <f t="shared" si="108"/>
        <v>INR</v>
      </c>
      <c r="O872">
        <f t="shared" si="109"/>
        <v>338.13</v>
      </c>
      <c r="P872" cm="1">
        <f t="array" ref="P872">_xlfn.IFS(N872="USD",O872*1,N872="GBP",O872*1.27,N872="EUR",O872*1.09,N872="INR",O872*0.012,N872="N/A","N/A")</f>
        <v>4.0575599999999996</v>
      </c>
      <c r="Q872" t="s">
        <v>36</v>
      </c>
      <c r="R872" t="str" cm="1">
        <f t="array" ref="R872">_xlfn.IFS(Q872="Y","Yes", Q872="Yes","Yes", Q872="N","No", Q872="No","No", Q872=1,"N/A", Q872=0,"N/A", TRUE,"")</f>
        <v>Yes</v>
      </c>
      <c r="S872">
        <f t="shared" si="110"/>
        <v>9</v>
      </c>
      <c r="T872">
        <f t="shared" si="111"/>
        <v>1</v>
      </c>
      <c r="U872" t="str" cm="1">
        <f t="array" ref="U872">_xlfn.IFS(D872&lt;40,"Young Adult",AND(D872&gt;=40,D872&lt;65),"Middle Aged", D872&gt;=65,"Elderly")</f>
        <v>Elderly</v>
      </c>
    </row>
    <row r="873" spans="1:21" x14ac:dyDescent="0.2">
      <c r="A873">
        <v>1056</v>
      </c>
      <c r="B873">
        <f t="shared" si="104"/>
        <v>872</v>
      </c>
      <c r="C873" t="s">
        <v>2568</v>
      </c>
      <c r="D873">
        <v>30</v>
      </c>
      <c r="E873" t="s">
        <v>2937</v>
      </c>
      <c r="F873" t="str">
        <f t="shared" si="105"/>
        <v>N/A</v>
      </c>
      <c r="G873" s="1">
        <v>45806</v>
      </c>
      <c r="H873" s="1">
        <v>45443</v>
      </c>
      <c r="I873" t="s">
        <v>2569</v>
      </c>
      <c r="J873" t="str">
        <f t="shared" si="106"/>
        <v>Donald Clark</v>
      </c>
      <c r="K873" t="s">
        <v>18</v>
      </c>
      <c r="L873" t="str">
        <f t="shared" si="107"/>
        <v>Orthopedics</v>
      </c>
      <c r="M873" t="s">
        <v>2570</v>
      </c>
      <c r="N873" t="str">
        <f t="shared" si="108"/>
        <v>EUR</v>
      </c>
      <c r="O873">
        <f t="shared" si="109"/>
        <v>441.92</v>
      </c>
      <c r="P873" cm="1">
        <f t="array" ref="P873">_xlfn.IFS(N873="USD",O873*1,N873="GBP",O873*1.27,N873="EUR",O873*1.09,N873="INR",O873*0.012,N873="N/A","N/A")</f>
        <v>481.69280000000003</v>
      </c>
      <c r="Q873" t="s">
        <v>36</v>
      </c>
      <c r="R873" t="str" cm="1">
        <f t="array" ref="R873">_xlfn.IFS(Q873="Y","Yes", Q873="Yes","Yes", Q873="N","No", Q873="No","No", Q873=1,"N/A", Q873=0,"N/A", TRUE,"")</f>
        <v>Yes</v>
      </c>
      <c r="S873">
        <f t="shared" si="110"/>
        <v>13</v>
      </c>
      <c r="T873">
        <f t="shared" si="111"/>
        <v>1</v>
      </c>
      <c r="U873" t="str" cm="1">
        <f t="array" ref="U873">_xlfn.IFS(D873&lt;40,"Young Adult",AND(D873&gt;=40,D873&lt;65),"Middle Aged", D873&gt;=65,"Elderly")</f>
        <v>Young Adult</v>
      </c>
    </row>
    <row r="874" spans="1:21" x14ac:dyDescent="0.2">
      <c r="A874">
        <v>1077</v>
      </c>
      <c r="B874">
        <f t="shared" si="104"/>
        <v>873</v>
      </c>
      <c r="C874" t="s">
        <v>2571</v>
      </c>
      <c r="D874">
        <v>78</v>
      </c>
      <c r="E874" t="s">
        <v>22</v>
      </c>
      <c r="F874" t="str">
        <f t="shared" si="105"/>
        <v>Male</v>
      </c>
      <c r="G874" s="1">
        <v>45970</v>
      </c>
      <c r="H874" s="1">
        <v>45852</v>
      </c>
      <c r="I874" t="s">
        <v>2572</v>
      </c>
      <c r="J874" t="str">
        <f t="shared" si="106"/>
        <v>Dana Ewing</v>
      </c>
      <c r="K874" t="s">
        <v>18</v>
      </c>
      <c r="L874" t="str">
        <f t="shared" si="107"/>
        <v>Orthopedics</v>
      </c>
      <c r="M874" t="s">
        <v>2573</v>
      </c>
      <c r="N874" t="str">
        <f t="shared" si="108"/>
        <v>INR</v>
      </c>
      <c r="O874">
        <f t="shared" si="109"/>
        <v>114.73</v>
      </c>
      <c r="P874" cm="1">
        <f t="array" ref="P874">_xlfn.IFS(N874="USD",O874*1,N874="GBP",O874*1.27,N874="EUR",O874*1.09,N874="INR",O874*0.012,N874="N/A","N/A")</f>
        <v>1.37676</v>
      </c>
      <c r="Q874" t="s">
        <v>36</v>
      </c>
      <c r="R874" t="str" cm="1">
        <f t="array" ref="R874">_xlfn.IFS(Q874="Y","Yes", Q874="Yes","Yes", Q874="N","No", Q874="No","No", Q874=1,"N/A", Q874=0,"N/A", TRUE,"")</f>
        <v>Yes</v>
      </c>
      <c r="S874">
        <f t="shared" si="110"/>
        <v>10</v>
      </c>
      <c r="T874">
        <f t="shared" si="111"/>
        <v>1</v>
      </c>
      <c r="U874" t="str" cm="1">
        <f t="array" ref="U874">_xlfn.IFS(D874&lt;40,"Young Adult",AND(D874&gt;=40,D874&lt;65),"Middle Aged", D874&gt;=65,"Elderly")</f>
        <v>Elderly</v>
      </c>
    </row>
    <row r="875" spans="1:21" x14ac:dyDescent="0.2">
      <c r="A875">
        <v>1081</v>
      </c>
      <c r="B875">
        <f t="shared" si="104"/>
        <v>874</v>
      </c>
      <c r="C875" t="s">
        <v>2396</v>
      </c>
      <c r="D875">
        <v>45</v>
      </c>
      <c r="E875" t="s">
        <v>22</v>
      </c>
      <c r="F875" t="str">
        <f t="shared" si="105"/>
        <v>Male</v>
      </c>
      <c r="G875" s="1">
        <v>46102</v>
      </c>
      <c r="H875" s="1">
        <v>45416</v>
      </c>
      <c r="I875" t="s">
        <v>2574</v>
      </c>
      <c r="J875" t="str">
        <f t="shared" si="106"/>
        <v>Kevin Pearson</v>
      </c>
      <c r="K875" t="s">
        <v>28</v>
      </c>
      <c r="L875" t="str">
        <f t="shared" si="107"/>
        <v>General</v>
      </c>
      <c r="M875" t="s">
        <v>2575</v>
      </c>
      <c r="N875" t="str">
        <f t="shared" si="108"/>
        <v>GBP</v>
      </c>
      <c r="O875">
        <f t="shared" si="109"/>
        <v>405.59</v>
      </c>
      <c r="P875" cm="1">
        <f t="array" ref="P875">_xlfn.IFS(N875="USD",O875*1,N875="GBP",O875*1.27,N875="EUR",O875*1.09,N875="INR",O875*0.012,N875="N/A","N/A")</f>
        <v>515.09929999999997</v>
      </c>
      <c r="Q875" t="s">
        <v>20</v>
      </c>
      <c r="R875" t="str" cm="1">
        <f t="array" ref="R875">_xlfn.IFS(Q875="Y","Yes", Q875="Yes","Yes", Q875="N","No", Q875="No","No", Q875=1,"N/A", Q875=0,"N/A", TRUE,"")</f>
        <v>Yes</v>
      </c>
      <c r="S875">
        <f t="shared" si="110"/>
        <v>9</v>
      </c>
      <c r="T875">
        <f t="shared" si="111"/>
        <v>1</v>
      </c>
      <c r="U875" t="str" cm="1">
        <f t="array" ref="U875">_xlfn.IFS(D875&lt;40,"Young Adult",AND(D875&gt;=40,D875&lt;65),"Middle Aged", D875&gt;=65,"Elderly")</f>
        <v>Middle Aged</v>
      </c>
    </row>
    <row r="876" spans="1:21" x14ac:dyDescent="0.2">
      <c r="A876">
        <v>1078</v>
      </c>
      <c r="B876">
        <f t="shared" si="104"/>
        <v>875</v>
      </c>
      <c r="C876" t="s">
        <v>2576</v>
      </c>
      <c r="D876">
        <v>25</v>
      </c>
      <c r="E876" t="s">
        <v>38</v>
      </c>
      <c r="F876" t="str">
        <f t="shared" si="105"/>
        <v>Female</v>
      </c>
      <c r="G876" s="1">
        <v>45977</v>
      </c>
      <c r="H876" s="1">
        <v>45557</v>
      </c>
      <c r="I876" t="s">
        <v>2577</v>
      </c>
      <c r="J876" t="str">
        <f t="shared" si="106"/>
        <v>Lisa Norris</v>
      </c>
      <c r="K876" t="s">
        <v>13</v>
      </c>
      <c r="L876" t="str">
        <f t="shared" si="107"/>
        <v>Cardiology</v>
      </c>
      <c r="M876" t="s">
        <v>2578</v>
      </c>
      <c r="N876" t="str">
        <f t="shared" si="108"/>
        <v>USD</v>
      </c>
      <c r="O876">
        <f t="shared" si="109"/>
        <v>368.56</v>
      </c>
      <c r="P876" cm="1">
        <f t="array" ref="P876">_xlfn.IFS(N876="USD",O876*1,N876="GBP",O876*1.27,N876="EUR",O876*1.09,N876="INR",O876*0.012,N876="N/A","N/A")</f>
        <v>368.56</v>
      </c>
      <c r="Q876" t="s">
        <v>30</v>
      </c>
      <c r="R876" t="str" cm="1">
        <f t="array" ref="R876">_xlfn.IFS(Q876="Y","Yes", Q876="Yes","Yes", Q876="N","No", Q876="No","No", Q876=1,"N/A", Q876=0,"N/A", TRUE,"")</f>
        <v>No</v>
      </c>
      <c r="S876">
        <f t="shared" si="110"/>
        <v>8</v>
      </c>
      <c r="T876">
        <f t="shared" si="111"/>
        <v>1</v>
      </c>
      <c r="U876" t="str" cm="1">
        <f t="array" ref="U876">_xlfn.IFS(D876&lt;40,"Young Adult",AND(D876&gt;=40,D876&lt;65),"Middle Aged", D876&gt;=65,"Elderly")</f>
        <v>Young Adult</v>
      </c>
    </row>
    <row r="877" spans="1:21" x14ac:dyDescent="0.2">
      <c r="A877">
        <v>1054</v>
      </c>
      <c r="B877">
        <f t="shared" si="104"/>
        <v>876</v>
      </c>
      <c r="C877" t="s">
        <v>2579</v>
      </c>
      <c r="D877">
        <v>50</v>
      </c>
      <c r="E877" t="s">
        <v>38</v>
      </c>
      <c r="F877" t="str">
        <f t="shared" si="105"/>
        <v>Female</v>
      </c>
      <c r="G877" s="1">
        <v>45813</v>
      </c>
      <c r="H877" s="1">
        <v>45645</v>
      </c>
      <c r="I877" t="s">
        <v>2580</v>
      </c>
      <c r="J877" t="str">
        <f t="shared" si="106"/>
        <v>Terri Stewart</v>
      </c>
      <c r="K877" t="s">
        <v>28</v>
      </c>
      <c r="L877" t="str">
        <f t="shared" si="107"/>
        <v>General</v>
      </c>
      <c r="M877" t="s">
        <v>2581</v>
      </c>
      <c r="N877" t="str">
        <f t="shared" si="108"/>
        <v>INR</v>
      </c>
      <c r="O877">
        <f t="shared" si="109"/>
        <v>496.31</v>
      </c>
      <c r="P877" cm="1">
        <f t="array" ref="P877">_xlfn.IFS(N877="USD",O877*1,N877="GBP",O877*1.27,N877="EUR",O877*1.09,N877="INR",O877*0.012,N877="N/A","N/A")</f>
        <v>5.9557200000000003</v>
      </c>
      <c r="Q877" t="s">
        <v>30</v>
      </c>
      <c r="R877" t="str" cm="1">
        <f t="array" ref="R877">_xlfn.IFS(Q877="Y","Yes", Q877="Yes","Yes", Q877="N","No", Q877="No","No", Q877=1,"N/A", Q877=0,"N/A", TRUE,"")</f>
        <v>No</v>
      </c>
      <c r="S877">
        <f t="shared" si="110"/>
        <v>12</v>
      </c>
      <c r="T877">
        <f t="shared" si="111"/>
        <v>1</v>
      </c>
      <c r="U877" t="str" cm="1">
        <f t="array" ref="U877">_xlfn.IFS(D877&lt;40,"Young Adult",AND(D877&gt;=40,D877&lt;65),"Middle Aged", D877&gt;=65,"Elderly")</f>
        <v>Middle Aged</v>
      </c>
    </row>
    <row r="878" spans="1:21" x14ac:dyDescent="0.2">
      <c r="A878">
        <v>1085</v>
      </c>
      <c r="B878">
        <f t="shared" si="104"/>
        <v>877</v>
      </c>
      <c r="C878" t="s">
        <v>2582</v>
      </c>
      <c r="D878">
        <v>85</v>
      </c>
      <c r="E878" t="s">
        <v>71</v>
      </c>
      <c r="F878" t="str">
        <f t="shared" si="105"/>
        <v>Male</v>
      </c>
      <c r="G878" s="1">
        <v>46031</v>
      </c>
      <c r="H878" s="1">
        <v>45780</v>
      </c>
      <c r="I878" t="s">
        <v>2583</v>
      </c>
      <c r="J878" t="str">
        <f t="shared" si="106"/>
        <v>Taylor Hicks</v>
      </c>
      <c r="K878" t="s">
        <v>13</v>
      </c>
      <c r="L878" t="str">
        <f t="shared" si="107"/>
        <v>Cardiology</v>
      </c>
      <c r="M878" t="s">
        <v>2584</v>
      </c>
      <c r="N878" t="str">
        <f t="shared" si="108"/>
        <v>EUR</v>
      </c>
      <c r="O878">
        <f t="shared" si="109"/>
        <v>213.17</v>
      </c>
      <c r="P878" cm="1">
        <f t="array" ref="P878">_xlfn.IFS(N878="USD",O878*1,N878="GBP",O878*1.27,N878="EUR",O878*1.09,N878="INR",O878*0.012,N878="N/A","N/A")</f>
        <v>232.3553</v>
      </c>
      <c r="Q878" t="s">
        <v>30</v>
      </c>
      <c r="R878" t="str" cm="1">
        <f t="array" ref="R878">_xlfn.IFS(Q878="Y","Yes", Q878="Yes","Yes", Q878="N","No", Q878="No","No", Q878=1,"N/A", Q878=0,"N/A", TRUE,"")</f>
        <v>No</v>
      </c>
      <c r="S878">
        <f t="shared" si="110"/>
        <v>12</v>
      </c>
      <c r="T878">
        <f t="shared" si="111"/>
        <v>1</v>
      </c>
      <c r="U878" t="str" cm="1">
        <f t="array" ref="U878">_xlfn.IFS(D878&lt;40,"Young Adult",AND(D878&gt;=40,D878&lt;65),"Middle Aged", D878&gt;=65,"Elderly")</f>
        <v>Elderly</v>
      </c>
    </row>
    <row r="879" spans="1:21" x14ac:dyDescent="0.2">
      <c r="A879">
        <v>1028</v>
      </c>
      <c r="B879">
        <f t="shared" si="104"/>
        <v>878</v>
      </c>
      <c r="C879" t="s">
        <v>2585</v>
      </c>
      <c r="D879">
        <v>22</v>
      </c>
      <c r="E879" t="s">
        <v>2937</v>
      </c>
      <c r="F879" t="str">
        <f t="shared" si="105"/>
        <v>N/A</v>
      </c>
      <c r="G879" s="1">
        <v>46008</v>
      </c>
      <c r="H879" s="1">
        <v>45875</v>
      </c>
      <c r="I879" t="s">
        <v>2586</v>
      </c>
      <c r="J879" t="str">
        <f t="shared" si="106"/>
        <v>John Moran</v>
      </c>
      <c r="K879" t="s">
        <v>18</v>
      </c>
      <c r="L879" t="str">
        <f t="shared" si="107"/>
        <v>Orthopedics</v>
      </c>
      <c r="M879" t="s">
        <v>2587</v>
      </c>
      <c r="N879" t="str">
        <f t="shared" si="108"/>
        <v>EUR</v>
      </c>
      <c r="O879">
        <f t="shared" si="109"/>
        <v>150.15</v>
      </c>
      <c r="P879" cm="1">
        <f t="array" ref="P879">_xlfn.IFS(N879="USD",O879*1,N879="GBP",O879*1.27,N879="EUR",O879*1.09,N879="INR",O879*0.012,N879="N/A","N/A")</f>
        <v>163.66350000000003</v>
      </c>
      <c r="Q879" t="s">
        <v>30</v>
      </c>
      <c r="R879" t="str" cm="1">
        <f t="array" ref="R879">_xlfn.IFS(Q879="Y","Yes", Q879="Yes","Yes", Q879="N","No", Q879="No","No", Q879=1,"N/A", Q879=0,"N/A", TRUE,"")</f>
        <v>No</v>
      </c>
      <c r="S879">
        <f t="shared" si="110"/>
        <v>8</v>
      </c>
      <c r="T879">
        <f t="shared" si="111"/>
        <v>1</v>
      </c>
      <c r="U879" t="str" cm="1">
        <f t="array" ref="U879">_xlfn.IFS(D879&lt;40,"Young Adult",AND(D879&gt;=40,D879&lt;65),"Middle Aged", D879&gt;=65,"Elderly")</f>
        <v>Young Adult</v>
      </c>
    </row>
    <row r="880" spans="1:21" x14ac:dyDescent="0.2">
      <c r="A880">
        <v>1048</v>
      </c>
      <c r="B880">
        <f t="shared" si="104"/>
        <v>879</v>
      </c>
      <c r="C880" t="s">
        <v>2588</v>
      </c>
      <c r="D880">
        <v>89</v>
      </c>
      <c r="E880" t="s">
        <v>2937</v>
      </c>
      <c r="F880" t="str">
        <f t="shared" si="105"/>
        <v>N/A</v>
      </c>
      <c r="G880" s="1">
        <v>45858</v>
      </c>
      <c r="H880" s="1">
        <v>45455</v>
      </c>
      <c r="I880" t="s">
        <v>2589</v>
      </c>
      <c r="J880" t="str">
        <f t="shared" si="106"/>
        <v>David Wright</v>
      </c>
      <c r="K880" t="s">
        <v>24</v>
      </c>
      <c r="L880" t="str">
        <f t="shared" si="107"/>
        <v>Neurology</v>
      </c>
      <c r="M880" t="s">
        <v>2590</v>
      </c>
      <c r="N880" t="str">
        <f t="shared" si="108"/>
        <v>EUR</v>
      </c>
      <c r="O880">
        <f t="shared" si="109"/>
        <v>371.69</v>
      </c>
      <c r="P880" cm="1">
        <f t="array" ref="P880">_xlfn.IFS(N880="USD",O880*1,N880="GBP",O880*1.27,N880="EUR",O880*1.09,N880="INR",O880*0.012,N880="N/A","N/A")</f>
        <v>405.14210000000003</v>
      </c>
      <c r="Q880" t="s">
        <v>30</v>
      </c>
      <c r="R880" t="str" cm="1">
        <f t="array" ref="R880">_xlfn.IFS(Q880="Y","Yes", Q880="Yes","Yes", Q880="N","No", Q880="No","No", Q880=1,"N/A", Q880=0,"N/A", TRUE,"")</f>
        <v>No</v>
      </c>
      <c r="S880">
        <f t="shared" si="110"/>
        <v>8</v>
      </c>
      <c r="T880">
        <f t="shared" si="111"/>
        <v>1</v>
      </c>
      <c r="U880" t="str" cm="1">
        <f t="array" ref="U880">_xlfn.IFS(D880&lt;40,"Young Adult",AND(D880&gt;=40,D880&lt;65),"Middle Aged", D880&gt;=65,"Elderly")</f>
        <v>Elderly</v>
      </c>
    </row>
    <row r="881" spans="1:21" x14ac:dyDescent="0.2">
      <c r="A881">
        <v>1008</v>
      </c>
      <c r="B881">
        <f t="shared" si="104"/>
        <v>880</v>
      </c>
      <c r="C881" t="s">
        <v>2591</v>
      </c>
      <c r="D881">
        <v>34</v>
      </c>
      <c r="E881" t="s">
        <v>38</v>
      </c>
      <c r="F881" t="str">
        <f t="shared" si="105"/>
        <v>Female</v>
      </c>
      <c r="G881" s="1">
        <v>45940</v>
      </c>
      <c r="H881" s="1">
        <v>45779</v>
      </c>
      <c r="I881" t="s">
        <v>2592</v>
      </c>
      <c r="J881" t="str">
        <f t="shared" si="106"/>
        <v>Megan Morales</v>
      </c>
      <c r="K881" t="s">
        <v>24</v>
      </c>
      <c r="L881" t="str">
        <f t="shared" si="107"/>
        <v>Neurology</v>
      </c>
      <c r="M881" t="s">
        <v>2593</v>
      </c>
      <c r="N881" t="str">
        <f t="shared" si="108"/>
        <v>USD</v>
      </c>
      <c r="O881">
        <f t="shared" si="109"/>
        <v>431.45</v>
      </c>
      <c r="P881" cm="1">
        <f t="array" ref="P881">_xlfn.IFS(N881="USD",O881*1,N881="GBP",O881*1.27,N881="EUR",O881*1.09,N881="INR",O881*0.012,N881="N/A","N/A")</f>
        <v>431.45</v>
      </c>
      <c r="Q881">
        <v>0</v>
      </c>
      <c r="R881" t="str" cm="1">
        <f t="array" ref="R881">_xlfn.IFS(Q881="Y","Yes", Q881="Yes","Yes", Q881="N","No", Q881="No","No", Q881=1,"N/A", Q881=0,"N/A", TRUE,"")</f>
        <v>N/A</v>
      </c>
      <c r="S881">
        <f t="shared" si="110"/>
        <v>11</v>
      </c>
      <c r="T881">
        <f t="shared" si="111"/>
        <v>1</v>
      </c>
      <c r="U881" t="str" cm="1">
        <f t="array" ref="U881">_xlfn.IFS(D881&lt;40,"Young Adult",AND(D881&gt;=40,D881&lt;65),"Middle Aged", D881&gt;=65,"Elderly")</f>
        <v>Young Adult</v>
      </c>
    </row>
    <row r="882" spans="1:21" x14ac:dyDescent="0.2">
      <c r="A882">
        <v>1002</v>
      </c>
      <c r="B882">
        <f t="shared" si="104"/>
        <v>881</v>
      </c>
      <c r="C882" t="s">
        <v>2594</v>
      </c>
      <c r="D882">
        <v>22</v>
      </c>
      <c r="E882" t="s">
        <v>22</v>
      </c>
      <c r="F882" t="str">
        <f t="shared" si="105"/>
        <v>Male</v>
      </c>
      <c r="G882" s="1">
        <v>45886</v>
      </c>
      <c r="H882" s="1">
        <v>45662</v>
      </c>
      <c r="I882" t="s">
        <v>2595</v>
      </c>
      <c r="J882" t="str">
        <f t="shared" si="106"/>
        <v>Brandi Thomas</v>
      </c>
      <c r="K882" t="s">
        <v>18</v>
      </c>
      <c r="L882" t="str">
        <f t="shared" si="107"/>
        <v>Orthopedics</v>
      </c>
      <c r="M882" t="s">
        <v>2596</v>
      </c>
      <c r="N882" t="str">
        <f t="shared" si="108"/>
        <v>GBP</v>
      </c>
      <c r="O882">
        <f t="shared" si="109"/>
        <v>189.17</v>
      </c>
      <c r="P882" cm="1">
        <f t="array" ref="P882">_xlfn.IFS(N882="USD",O882*1,N882="GBP",O882*1.27,N882="EUR",O882*1.09,N882="INR",O882*0.012,N882="N/A","N/A")</f>
        <v>240.24589999999998</v>
      </c>
      <c r="Q882">
        <v>0</v>
      </c>
      <c r="R882" t="str" cm="1">
        <f t="array" ref="R882">_xlfn.IFS(Q882="Y","Yes", Q882="Yes","Yes", Q882="N","No", Q882="No","No", Q882=1,"N/A", Q882=0,"N/A", TRUE,"")</f>
        <v>N/A</v>
      </c>
      <c r="S882">
        <f t="shared" si="110"/>
        <v>7</v>
      </c>
      <c r="T882">
        <f t="shared" si="111"/>
        <v>1</v>
      </c>
      <c r="U882" t="str" cm="1">
        <f t="array" ref="U882">_xlfn.IFS(D882&lt;40,"Young Adult",AND(D882&gt;=40,D882&lt;65),"Middle Aged", D882&gt;=65,"Elderly")</f>
        <v>Young Adult</v>
      </c>
    </row>
    <row r="883" spans="1:21" x14ac:dyDescent="0.2">
      <c r="A883">
        <v>1013</v>
      </c>
      <c r="B883">
        <f t="shared" si="104"/>
        <v>882</v>
      </c>
      <c r="C883" t="s">
        <v>2597</v>
      </c>
      <c r="D883">
        <v>24</v>
      </c>
      <c r="E883" t="s">
        <v>2937</v>
      </c>
      <c r="F883" t="str">
        <f t="shared" si="105"/>
        <v>N/A</v>
      </c>
      <c r="G883" s="1">
        <v>45757</v>
      </c>
      <c r="H883" s="1">
        <v>45738</v>
      </c>
      <c r="I883" t="s">
        <v>2598</v>
      </c>
      <c r="J883" t="str">
        <f t="shared" si="106"/>
        <v>Vanessa Brown</v>
      </c>
      <c r="K883" t="s">
        <v>18</v>
      </c>
      <c r="L883" t="str">
        <f t="shared" si="107"/>
        <v>Orthopedics</v>
      </c>
      <c r="M883" t="s">
        <v>2599</v>
      </c>
      <c r="N883" t="str">
        <f t="shared" si="108"/>
        <v>USD</v>
      </c>
      <c r="O883">
        <f t="shared" si="109"/>
        <v>281.70999999999998</v>
      </c>
      <c r="P883" cm="1">
        <f t="array" ref="P883">_xlfn.IFS(N883="USD",O883*1,N883="GBP",O883*1.27,N883="EUR",O883*1.09,N883="INR",O883*0.012,N883="N/A","N/A")</f>
        <v>281.70999999999998</v>
      </c>
      <c r="Q883" t="s">
        <v>30</v>
      </c>
      <c r="R883" t="str" cm="1">
        <f t="array" ref="R883">_xlfn.IFS(Q883="Y","Yes", Q883="Yes","Yes", Q883="N","No", Q883="No","No", Q883=1,"N/A", Q883=0,"N/A", TRUE,"")</f>
        <v>No</v>
      </c>
      <c r="S883">
        <f t="shared" si="110"/>
        <v>10</v>
      </c>
      <c r="T883">
        <f t="shared" si="111"/>
        <v>1</v>
      </c>
      <c r="U883" t="str" cm="1">
        <f t="array" ref="U883">_xlfn.IFS(D883&lt;40,"Young Adult",AND(D883&gt;=40,D883&lt;65),"Middle Aged", D883&gt;=65,"Elderly")</f>
        <v>Young Adult</v>
      </c>
    </row>
    <row r="884" spans="1:21" x14ac:dyDescent="0.2">
      <c r="A884">
        <v>1032</v>
      </c>
      <c r="B884">
        <f t="shared" si="104"/>
        <v>883</v>
      </c>
      <c r="C884" t="s">
        <v>2600</v>
      </c>
      <c r="D884">
        <v>21</v>
      </c>
      <c r="E884" t="s">
        <v>71</v>
      </c>
      <c r="F884" t="str">
        <f t="shared" si="105"/>
        <v>Male</v>
      </c>
      <c r="G884" s="1">
        <v>46061</v>
      </c>
      <c r="H884" s="1">
        <v>45791</v>
      </c>
      <c r="I884" t="s">
        <v>2090</v>
      </c>
      <c r="J884" t="str">
        <f t="shared" si="106"/>
        <v>Lisa Smith</v>
      </c>
      <c r="K884" t="s">
        <v>28</v>
      </c>
      <c r="L884" t="str">
        <f t="shared" si="107"/>
        <v>General</v>
      </c>
      <c r="M884" t="s">
        <v>2601</v>
      </c>
      <c r="N884" t="str">
        <f t="shared" si="108"/>
        <v>EUR</v>
      </c>
      <c r="O884">
        <f t="shared" si="109"/>
        <v>309.31</v>
      </c>
      <c r="P884" cm="1">
        <f t="array" ref="P884">_xlfn.IFS(N884="USD",O884*1,N884="GBP",O884*1.27,N884="EUR",O884*1.09,N884="INR",O884*0.012,N884="N/A","N/A")</f>
        <v>337.14790000000005</v>
      </c>
      <c r="Q884" t="s">
        <v>60</v>
      </c>
      <c r="R884" t="str" cm="1">
        <f t="array" ref="R884">_xlfn.IFS(Q884="Y","Yes", Q884="Yes","Yes", Q884="N","No", Q884="No","No", Q884=1,"N/A", Q884=0,"N/A", TRUE,"")</f>
        <v>No</v>
      </c>
      <c r="S884">
        <f t="shared" si="110"/>
        <v>7</v>
      </c>
      <c r="T884">
        <f t="shared" si="111"/>
        <v>1</v>
      </c>
      <c r="U884" t="str" cm="1">
        <f t="array" ref="U884">_xlfn.IFS(D884&lt;40,"Young Adult",AND(D884&gt;=40,D884&lt;65),"Middle Aged", D884&gt;=65,"Elderly")</f>
        <v>Young Adult</v>
      </c>
    </row>
    <row r="885" spans="1:21" x14ac:dyDescent="0.2">
      <c r="A885">
        <v>1074</v>
      </c>
      <c r="B885">
        <f t="shared" si="104"/>
        <v>884</v>
      </c>
      <c r="C885" t="s">
        <v>2602</v>
      </c>
      <c r="D885">
        <v>23</v>
      </c>
      <c r="E885" t="s">
        <v>51</v>
      </c>
      <c r="F885" t="str">
        <f t="shared" si="105"/>
        <v>Male</v>
      </c>
      <c r="G885" s="1">
        <v>45803</v>
      </c>
      <c r="H885" s="1">
        <v>45674</v>
      </c>
      <c r="I885" t="s">
        <v>2603</v>
      </c>
      <c r="J885" t="str">
        <f t="shared" si="106"/>
        <v>April Randall Dds</v>
      </c>
      <c r="K885" t="s">
        <v>24</v>
      </c>
      <c r="L885" t="str">
        <f t="shared" si="107"/>
        <v>Neurology</v>
      </c>
      <c r="M885" t="s">
        <v>2604</v>
      </c>
      <c r="N885" t="str">
        <f t="shared" si="108"/>
        <v>INR</v>
      </c>
      <c r="O885">
        <f t="shared" si="109"/>
        <v>57.03</v>
      </c>
      <c r="P885" cm="1">
        <f t="array" ref="P885">_xlfn.IFS(N885="USD",O885*1,N885="GBP",O885*1.27,N885="EUR",O885*1.09,N885="INR",O885*0.012,N885="N/A","N/A")</f>
        <v>0.68436000000000008</v>
      </c>
      <c r="Q885" t="s">
        <v>36</v>
      </c>
      <c r="R885" t="str" cm="1">
        <f t="array" ref="R885">_xlfn.IFS(Q885="Y","Yes", Q885="Yes","Yes", Q885="N","No", Q885="No","No", Q885=1,"N/A", Q885=0,"N/A", TRUE,"")</f>
        <v>Yes</v>
      </c>
      <c r="S885">
        <f t="shared" si="110"/>
        <v>17</v>
      </c>
      <c r="T885">
        <f t="shared" si="111"/>
        <v>1</v>
      </c>
      <c r="U885" t="str" cm="1">
        <f t="array" ref="U885">_xlfn.IFS(D885&lt;40,"Young Adult",AND(D885&gt;=40,D885&lt;65),"Middle Aged", D885&gt;=65,"Elderly")</f>
        <v>Young Adult</v>
      </c>
    </row>
    <row r="886" spans="1:21" x14ac:dyDescent="0.2">
      <c r="A886">
        <v>1025</v>
      </c>
      <c r="B886">
        <f t="shared" si="104"/>
        <v>885</v>
      </c>
      <c r="C886" t="s">
        <v>2605</v>
      </c>
      <c r="D886">
        <v>52</v>
      </c>
      <c r="E886" t="s">
        <v>2937</v>
      </c>
      <c r="F886" t="str">
        <f t="shared" si="105"/>
        <v>N/A</v>
      </c>
      <c r="G886" s="1">
        <v>45813</v>
      </c>
      <c r="H886" s="1">
        <v>45602</v>
      </c>
      <c r="I886" t="s">
        <v>2606</v>
      </c>
      <c r="J886" t="str">
        <f t="shared" si="106"/>
        <v>Russell Zimmerman</v>
      </c>
      <c r="K886" t="s">
        <v>18</v>
      </c>
      <c r="L886" t="str">
        <f t="shared" si="107"/>
        <v>Orthopedics</v>
      </c>
      <c r="M886" t="s">
        <v>2607</v>
      </c>
      <c r="N886" t="str">
        <f t="shared" si="108"/>
        <v>INR</v>
      </c>
      <c r="O886">
        <f t="shared" si="109"/>
        <v>219.97</v>
      </c>
      <c r="P886" cm="1">
        <f t="array" ref="P886">_xlfn.IFS(N886="USD",O886*1,N886="GBP",O886*1.27,N886="EUR",O886*1.09,N886="INR",O886*0.012,N886="N/A","N/A")</f>
        <v>2.63964</v>
      </c>
      <c r="Q886" t="s">
        <v>60</v>
      </c>
      <c r="R886" t="str" cm="1">
        <f t="array" ref="R886">_xlfn.IFS(Q886="Y","Yes", Q886="Yes","Yes", Q886="N","No", Q886="No","No", Q886=1,"N/A", Q886=0,"N/A", TRUE,"")</f>
        <v>No</v>
      </c>
      <c r="S886">
        <f t="shared" si="110"/>
        <v>9</v>
      </c>
      <c r="T886">
        <f t="shared" si="111"/>
        <v>1</v>
      </c>
      <c r="U886" t="str" cm="1">
        <f t="array" ref="U886">_xlfn.IFS(D886&lt;40,"Young Adult",AND(D886&gt;=40,D886&lt;65),"Middle Aged", D886&gt;=65,"Elderly")</f>
        <v>Middle Aged</v>
      </c>
    </row>
    <row r="887" spans="1:21" x14ac:dyDescent="0.2">
      <c r="A887">
        <v>1040</v>
      </c>
      <c r="B887">
        <f t="shared" si="104"/>
        <v>886</v>
      </c>
      <c r="C887" t="s">
        <v>2608</v>
      </c>
      <c r="D887">
        <v>36</v>
      </c>
      <c r="E887" t="s">
        <v>2937</v>
      </c>
      <c r="F887" t="str">
        <f t="shared" si="105"/>
        <v>N/A</v>
      </c>
      <c r="G887" s="1">
        <v>45804</v>
      </c>
      <c r="H887" s="1">
        <v>45628</v>
      </c>
      <c r="I887" t="s">
        <v>2609</v>
      </c>
      <c r="J887" t="str">
        <f t="shared" si="106"/>
        <v>Kyle Evans</v>
      </c>
      <c r="K887" t="s">
        <v>18</v>
      </c>
      <c r="L887" t="str">
        <f t="shared" si="107"/>
        <v>Orthopedics</v>
      </c>
      <c r="M887" t="s">
        <v>2610</v>
      </c>
      <c r="N887" t="str">
        <f t="shared" si="108"/>
        <v>GBP</v>
      </c>
      <c r="O887">
        <f t="shared" si="109"/>
        <v>186.51</v>
      </c>
      <c r="P887" cm="1">
        <f t="array" ref="P887">_xlfn.IFS(N887="USD",O887*1,N887="GBP",O887*1.27,N887="EUR",O887*1.09,N887="INR",O887*0.012,N887="N/A","N/A")</f>
        <v>236.86769999999999</v>
      </c>
      <c r="Q887" t="s">
        <v>30</v>
      </c>
      <c r="R887" t="str" cm="1">
        <f t="array" ref="R887">_xlfn.IFS(Q887="Y","Yes", Q887="Yes","Yes", Q887="N","No", Q887="No","No", Q887=1,"N/A", Q887=0,"N/A", TRUE,"")</f>
        <v>No</v>
      </c>
      <c r="S887">
        <f t="shared" si="110"/>
        <v>13</v>
      </c>
      <c r="T887">
        <f t="shared" si="111"/>
        <v>1</v>
      </c>
      <c r="U887" t="str" cm="1">
        <f t="array" ref="U887">_xlfn.IFS(D887&lt;40,"Young Adult",AND(D887&gt;=40,D887&lt;65),"Middle Aged", D887&gt;=65,"Elderly")</f>
        <v>Young Adult</v>
      </c>
    </row>
    <row r="888" spans="1:21" x14ac:dyDescent="0.2">
      <c r="A888">
        <v>1089</v>
      </c>
      <c r="B888">
        <f t="shared" si="104"/>
        <v>887</v>
      </c>
      <c r="C888" t="s">
        <v>2611</v>
      </c>
      <c r="D888">
        <v>20</v>
      </c>
      <c r="E888" t="s">
        <v>2937</v>
      </c>
      <c r="F888" t="str">
        <f t="shared" si="105"/>
        <v>N/A</v>
      </c>
      <c r="G888" s="1">
        <v>45933</v>
      </c>
      <c r="H888" s="1">
        <v>45868</v>
      </c>
      <c r="I888" t="s">
        <v>2612</v>
      </c>
      <c r="J888" t="str">
        <f t="shared" si="106"/>
        <v>Andrea Myers</v>
      </c>
      <c r="K888" t="s">
        <v>24</v>
      </c>
      <c r="L888" t="str">
        <f t="shared" si="107"/>
        <v>Neurology</v>
      </c>
      <c r="M888" t="s">
        <v>2613</v>
      </c>
      <c r="N888" t="str">
        <f t="shared" si="108"/>
        <v>EUR</v>
      </c>
      <c r="O888">
        <f t="shared" si="109"/>
        <v>77.05</v>
      </c>
      <c r="P888" cm="1">
        <f t="array" ref="P888">_xlfn.IFS(N888="USD",O888*1,N888="GBP",O888*1.27,N888="EUR",O888*1.09,N888="INR",O888*0.012,N888="N/A","N/A")</f>
        <v>83.984499999999997</v>
      </c>
      <c r="Q888">
        <v>0</v>
      </c>
      <c r="R888" t="str" cm="1">
        <f t="array" ref="R888">_xlfn.IFS(Q888="Y","Yes", Q888="Yes","Yes", Q888="N","No", Q888="No","No", Q888=1,"N/A", Q888=0,"N/A", TRUE,"")</f>
        <v>N/A</v>
      </c>
      <c r="S888">
        <f t="shared" si="110"/>
        <v>16</v>
      </c>
      <c r="T888">
        <f t="shared" si="111"/>
        <v>1</v>
      </c>
      <c r="U888" t="str" cm="1">
        <f t="array" ref="U888">_xlfn.IFS(D888&lt;40,"Young Adult",AND(D888&gt;=40,D888&lt;65),"Middle Aged", D888&gt;=65,"Elderly")</f>
        <v>Young Adult</v>
      </c>
    </row>
    <row r="889" spans="1:21" x14ac:dyDescent="0.2">
      <c r="A889">
        <v>1069</v>
      </c>
      <c r="B889">
        <f t="shared" si="104"/>
        <v>888</v>
      </c>
      <c r="C889" t="s">
        <v>2614</v>
      </c>
      <c r="D889">
        <v>32</v>
      </c>
      <c r="E889" t="s">
        <v>2937</v>
      </c>
      <c r="F889" t="str">
        <f t="shared" si="105"/>
        <v>N/A</v>
      </c>
      <c r="G889" s="1">
        <v>46076</v>
      </c>
      <c r="H889" s="1">
        <v>45671</v>
      </c>
      <c r="I889" t="s">
        <v>2615</v>
      </c>
      <c r="J889" t="str">
        <f t="shared" si="106"/>
        <v>Melinda Cannon</v>
      </c>
      <c r="K889" t="s">
        <v>28</v>
      </c>
      <c r="L889" t="str">
        <f t="shared" si="107"/>
        <v>General</v>
      </c>
      <c r="M889" t="s">
        <v>2616</v>
      </c>
      <c r="N889" t="str">
        <f t="shared" si="108"/>
        <v>GBP</v>
      </c>
      <c r="O889">
        <f t="shared" si="109"/>
        <v>208.72</v>
      </c>
      <c r="P889" cm="1">
        <f t="array" ref="P889">_xlfn.IFS(N889="USD",O889*1,N889="GBP",O889*1.27,N889="EUR",O889*1.09,N889="INR",O889*0.012,N889="N/A","N/A")</f>
        <v>265.07440000000003</v>
      </c>
      <c r="Q889">
        <v>1</v>
      </c>
      <c r="R889" t="str" cm="1">
        <f t="array" ref="R889">_xlfn.IFS(Q889="Y","Yes", Q889="Yes","Yes", Q889="N","No", Q889="No","No", Q889=1,"N/A", Q889=0,"N/A", TRUE,"")</f>
        <v>N/A</v>
      </c>
      <c r="S889">
        <f t="shared" si="110"/>
        <v>10</v>
      </c>
      <c r="T889">
        <f t="shared" si="111"/>
        <v>1</v>
      </c>
      <c r="U889" t="str" cm="1">
        <f t="array" ref="U889">_xlfn.IFS(D889&lt;40,"Young Adult",AND(D889&gt;=40,D889&lt;65),"Middle Aged", D889&gt;=65,"Elderly")</f>
        <v>Young Adult</v>
      </c>
    </row>
    <row r="890" spans="1:21" x14ac:dyDescent="0.2">
      <c r="A890">
        <v>1070</v>
      </c>
      <c r="B890">
        <f t="shared" si="104"/>
        <v>889</v>
      </c>
      <c r="C890" t="s">
        <v>2617</v>
      </c>
      <c r="D890">
        <v>38</v>
      </c>
      <c r="E890" t="s">
        <v>2937</v>
      </c>
      <c r="F890" t="str">
        <f t="shared" si="105"/>
        <v>N/A</v>
      </c>
      <c r="G890" s="1">
        <v>45844</v>
      </c>
      <c r="H890" s="1">
        <v>45770</v>
      </c>
      <c r="I890" t="s">
        <v>2618</v>
      </c>
      <c r="J890" t="str">
        <f t="shared" si="106"/>
        <v>Gregory Tapia</v>
      </c>
      <c r="K890" t="s">
        <v>24</v>
      </c>
      <c r="L890" t="str">
        <f t="shared" si="107"/>
        <v>Neurology</v>
      </c>
      <c r="M890" t="s">
        <v>2619</v>
      </c>
      <c r="N890" t="str">
        <f t="shared" si="108"/>
        <v>GBP</v>
      </c>
      <c r="O890">
        <f t="shared" si="109"/>
        <v>390.16</v>
      </c>
      <c r="P890" cm="1">
        <f t="array" ref="P890">_xlfn.IFS(N890="USD",O890*1,N890="GBP",O890*1.27,N890="EUR",O890*1.09,N890="INR",O890*0.012,N890="N/A","N/A")</f>
        <v>495.50320000000005</v>
      </c>
      <c r="Q890" t="s">
        <v>20</v>
      </c>
      <c r="R890" t="str" cm="1">
        <f t="array" ref="R890">_xlfn.IFS(Q890="Y","Yes", Q890="Yes","Yes", Q890="N","No", Q890="No","No", Q890=1,"N/A", Q890=0,"N/A", TRUE,"")</f>
        <v>Yes</v>
      </c>
      <c r="S890">
        <f t="shared" si="110"/>
        <v>13</v>
      </c>
      <c r="T890">
        <f t="shared" si="111"/>
        <v>1</v>
      </c>
      <c r="U890" t="str" cm="1">
        <f t="array" ref="U890">_xlfn.IFS(D890&lt;40,"Young Adult",AND(D890&gt;=40,D890&lt;65),"Middle Aged", D890&gt;=65,"Elderly")</f>
        <v>Young Adult</v>
      </c>
    </row>
    <row r="891" spans="1:21" x14ac:dyDescent="0.2">
      <c r="A891">
        <v>1070</v>
      </c>
      <c r="B891">
        <f t="shared" si="104"/>
        <v>890</v>
      </c>
      <c r="C891" t="s">
        <v>2620</v>
      </c>
      <c r="D891">
        <v>53</v>
      </c>
      <c r="E891" t="s">
        <v>2937</v>
      </c>
      <c r="F891" t="str">
        <f t="shared" si="105"/>
        <v>N/A</v>
      </c>
      <c r="G891" s="1">
        <v>46040</v>
      </c>
      <c r="H891" s="1">
        <v>45727</v>
      </c>
      <c r="I891" t="s">
        <v>2621</v>
      </c>
      <c r="J891" t="str">
        <f t="shared" si="106"/>
        <v>Michael Campbell</v>
      </c>
      <c r="K891" t="s">
        <v>24</v>
      </c>
      <c r="L891" t="str">
        <f t="shared" si="107"/>
        <v>Neurology</v>
      </c>
      <c r="M891" t="s">
        <v>2622</v>
      </c>
      <c r="N891" t="str">
        <f t="shared" si="108"/>
        <v>GBP</v>
      </c>
      <c r="O891">
        <f t="shared" si="109"/>
        <v>74.78</v>
      </c>
      <c r="P891" cm="1">
        <f t="array" ref="P891">_xlfn.IFS(N891="USD",O891*1,N891="GBP",O891*1.27,N891="EUR",O891*1.09,N891="INR",O891*0.012,N891="N/A","N/A")</f>
        <v>94.970600000000005</v>
      </c>
      <c r="Q891" t="s">
        <v>36</v>
      </c>
      <c r="R891" t="str" cm="1">
        <f t="array" ref="R891">_xlfn.IFS(Q891="Y","Yes", Q891="Yes","Yes", Q891="N","No", Q891="No","No", Q891=1,"N/A", Q891=0,"N/A", TRUE,"")</f>
        <v>Yes</v>
      </c>
      <c r="S891">
        <f t="shared" si="110"/>
        <v>13</v>
      </c>
      <c r="T891">
        <f t="shared" si="111"/>
        <v>1</v>
      </c>
      <c r="U891" t="str" cm="1">
        <f t="array" ref="U891">_xlfn.IFS(D891&lt;40,"Young Adult",AND(D891&gt;=40,D891&lt;65),"Middle Aged", D891&gt;=65,"Elderly")</f>
        <v>Middle Aged</v>
      </c>
    </row>
    <row r="892" spans="1:21" x14ac:dyDescent="0.2">
      <c r="A892">
        <v>1077</v>
      </c>
      <c r="B892">
        <f t="shared" si="104"/>
        <v>891</v>
      </c>
      <c r="C892" t="s">
        <v>2623</v>
      </c>
      <c r="D892">
        <v>58</v>
      </c>
      <c r="E892" t="s">
        <v>16</v>
      </c>
      <c r="F892" t="str">
        <f t="shared" si="105"/>
        <v>Female</v>
      </c>
      <c r="G892" s="1">
        <v>46106</v>
      </c>
      <c r="H892" s="1">
        <v>45954</v>
      </c>
      <c r="I892" t="s">
        <v>2624</v>
      </c>
      <c r="J892" t="str">
        <f t="shared" si="106"/>
        <v>Ellen Miller</v>
      </c>
      <c r="K892" t="s">
        <v>24</v>
      </c>
      <c r="L892" t="str">
        <f t="shared" si="107"/>
        <v>Neurology</v>
      </c>
      <c r="M892" t="s">
        <v>2625</v>
      </c>
      <c r="N892" t="str">
        <f t="shared" si="108"/>
        <v>USD</v>
      </c>
      <c r="O892">
        <f t="shared" si="109"/>
        <v>199.03</v>
      </c>
      <c r="P892" cm="1">
        <f t="array" ref="P892">_xlfn.IFS(N892="USD",O892*1,N892="GBP",O892*1.27,N892="EUR",O892*1.09,N892="INR",O892*0.012,N892="N/A","N/A")</f>
        <v>199.03</v>
      </c>
      <c r="Q892" t="s">
        <v>30</v>
      </c>
      <c r="R892" t="str" cm="1">
        <f t="array" ref="R892">_xlfn.IFS(Q892="Y","Yes", Q892="Yes","Yes", Q892="N","No", Q892="No","No", Q892=1,"N/A", Q892=0,"N/A", TRUE,"")</f>
        <v>No</v>
      </c>
      <c r="S892">
        <f t="shared" si="110"/>
        <v>10</v>
      </c>
      <c r="T892">
        <f t="shared" si="111"/>
        <v>1</v>
      </c>
      <c r="U892" t="str" cm="1">
        <f t="array" ref="U892">_xlfn.IFS(D892&lt;40,"Young Adult",AND(D892&gt;=40,D892&lt;65),"Middle Aged", D892&gt;=65,"Elderly")</f>
        <v>Middle Aged</v>
      </c>
    </row>
    <row r="893" spans="1:21" x14ac:dyDescent="0.2">
      <c r="A893">
        <v>1082</v>
      </c>
      <c r="B893">
        <f t="shared" si="104"/>
        <v>892</v>
      </c>
      <c r="C893" t="s">
        <v>2626</v>
      </c>
      <c r="D893">
        <v>61</v>
      </c>
      <c r="E893" t="s">
        <v>22</v>
      </c>
      <c r="F893" t="str">
        <f t="shared" si="105"/>
        <v>Male</v>
      </c>
      <c r="G893" s="1">
        <v>45966</v>
      </c>
      <c r="H893" s="1">
        <v>45920</v>
      </c>
      <c r="I893" t="s">
        <v>1022</v>
      </c>
      <c r="J893" t="str">
        <f t="shared" si="106"/>
        <v>Tammy Thomas</v>
      </c>
      <c r="K893" t="s">
        <v>13</v>
      </c>
      <c r="L893" t="str">
        <f t="shared" si="107"/>
        <v>Cardiology</v>
      </c>
      <c r="M893" t="s">
        <v>2627</v>
      </c>
      <c r="N893" t="str">
        <f t="shared" si="108"/>
        <v>GBP</v>
      </c>
      <c r="O893">
        <f t="shared" si="109"/>
        <v>245.09</v>
      </c>
      <c r="P893" cm="1">
        <f t="array" ref="P893">_xlfn.IFS(N893="USD",O893*1,N893="GBP",O893*1.27,N893="EUR",O893*1.09,N893="INR",O893*0.012,N893="N/A","N/A")</f>
        <v>311.26429999999999</v>
      </c>
      <c r="Q893">
        <v>0</v>
      </c>
      <c r="R893" t="str" cm="1">
        <f t="array" ref="R893">_xlfn.IFS(Q893="Y","Yes", Q893="Yes","Yes", Q893="N","No", Q893="No","No", Q893=1,"N/A", Q893=0,"N/A", TRUE,"")</f>
        <v>N/A</v>
      </c>
      <c r="S893">
        <f t="shared" si="110"/>
        <v>14</v>
      </c>
      <c r="T893">
        <f t="shared" si="111"/>
        <v>1</v>
      </c>
      <c r="U893" t="str" cm="1">
        <f t="array" ref="U893">_xlfn.IFS(D893&lt;40,"Young Adult",AND(D893&gt;=40,D893&lt;65),"Middle Aged", D893&gt;=65,"Elderly")</f>
        <v>Middle Aged</v>
      </c>
    </row>
    <row r="894" spans="1:21" x14ac:dyDescent="0.2">
      <c r="A894">
        <v>1053</v>
      </c>
      <c r="B894">
        <f t="shared" si="104"/>
        <v>893</v>
      </c>
      <c r="C894" t="s">
        <v>2628</v>
      </c>
      <c r="D894">
        <v>66</v>
      </c>
      <c r="E894" t="s">
        <v>2937</v>
      </c>
      <c r="F894" t="str">
        <f t="shared" si="105"/>
        <v>N/A</v>
      </c>
      <c r="G894" s="1">
        <v>45893</v>
      </c>
      <c r="H894" s="1">
        <v>45431</v>
      </c>
      <c r="I894" t="s">
        <v>2629</v>
      </c>
      <c r="J894" t="str">
        <f t="shared" si="106"/>
        <v>John Oliver</v>
      </c>
      <c r="K894" t="s">
        <v>18</v>
      </c>
      <c r="L894" t="str">
        <f t="shared" si="107"/>
        <v>Orthopedics</v>
      </c>
      <c r="M894" t="s">
        <v>2630</v>
      </c>
      <c r="N894" t="str">
        <f t="shared" si="108"/>
        <v>GBP</v>
      </c>
      <c r="O894">
        <f t="shared" si="109"/>
        <v>282.02999999999997</v>
      </c>
      <c r="P894" cm="1">
        <f t="array" ref="P894">_xlfn.IFS(N894="USD",O894*1,N894="GBP",O894*1.27,N894="EUR",O894*1.09,N894="INR",O894*0.012,N894="N/A","N/A")</f>
        <v>358.17809999999997</v>
      </c>
      <c r="Q894">
        <v>0</v>
      </c>
      <c r="R894" t="str" cm="1">
        <f t="array" ref="R894">_xlfn.IFS(Q894="Y","Yes", Q894="Yes","Yes", Q894="N","No", Q894="No","No", Q894=1,"N/A", Q894=0,"N/A", TRUE,"")</f>
        <v>N/A</v>
      </c>
      <c r="S894">
        <f t="shared" si="110"/>
        <v>14</v>
      </c>
      <c r="T894">
        <f t="shared" si="111"/>
        <v>1</v>
      </c>
      <c r="U894" t="str" cm="1">
        <f t="array" ref="U894">_xlfn.IFS(D894&lt;40,"Young Adult",AND(D894&gt;=40,D894&lt;65),"Middle Aged", D894&gt;=65,"Elderly")</f>
        <v>Elderly</v>
      </c>
    </row>
    <row r="895" spans="1:21" x14ac:dyDescent="0.2">
      <c r="A895">
        <v>1083</v>
      </c>
      <c r="B895">
        <f t="shared" si="104"/>
        <v>894</v>
      </c>
      <c r="C895" t="s">
        <v>2631</v>
      </c>
      <c r="D895">
        <v>18</v>
      </c>
      <c r="E895" t="s">
        <v>71</v>
      </c>
      <c r="F895" t="str">
        <f t="shared" si="105"/>
        <v>Male</v>
      </c>
      <c r="G895" s="1">
        <v>45768</v>
      </c>
      <c r="H895" s="1">
        <v>45539</v>
      </c>
      <c r="I895" t="s">
        <v>2632</v>
      </c>
      <c r="J895" t="str">
        <f t="shared" si="106"/>
        <v>Jeffrey Martin</v>
      </c>
      <c r="K895" t="s">
        <v>24</v>
      </c>
      <c r="L895" t="str">
        <f t="shared" si="107"/>
        <v>Neurology</v>
      </c>
      <c r="M895" t="s">
        <v>2633</v>
      </c>
      <c r="N895" t="str">
        <f t="shared" si="108"/>
        <v>INR</v>
      </c>
      <c r="O895">
        <f t="shared" si="109"/>
        <v>411.85</v>
      </c>
      <c r="P895" cm="1">
        <f t="array" ref="P895">_xlfn.IFS(N895="USD",O895*1,N895="GBP",O895*1.27,N895="EUR",O895*1.09,N895="INR",O895*0.012,N895="N/A","N/A")</f>
        <v>4.9422000000000006</v>
      </c>
      <c r="Q895" t="s">
        <v>36</v>
      </c>
      <c r="R895" t="str" cm="1">
        <f t="array" ref="R895">_xlfn.IFS(Q895="Y","Yes", Q895="Yes","Yes", Q895="N","No", Q895="No","No", Q895=1,"N/A", Q895=0,"N/A", TRUE,"")</f>
        <v>Yes</v>
      </c>
      <c r="S895">
        <f t="shared" si="110"/>
        <v>7</v>
      </c>
      <c r="T895">
        <f t="shared" si="111"/>
        <v>1</v>
      </c>
      <c r="U895" t="str" cm="1">
        <f t="array" ref="U895">_xlfn.IFS(D895&lt;40,"Young Adult",AND(D895&gt;=40,D895&lt;65),"Middle Aged", D895&gt;=65,"Elderly")</f>
        <v>Young Adult</v>
      </c>
    </row>
    <row r="896" spans="1:21" x14ac:dyDescent="0.2">
      <c r="A896">
        <v>1096</v>
      </c>
      <c r="B896">
        <f t="shared" si="104"/>
        <v>895</v>
      </c>
      <c r="C896" t="s">
        <v>2634</v>
      </c>
      <c r="D896">
        <v>70</v>
      </c>
      <c r="E896" t="s">
        <v>2937</v>
      </c>
      <c r="F896" t="str">
        <f t="shared" si="105"/>
        <v>N/A</v>
      </c>
      <c r="G896" s="1">
        <v>45820</v>
      </c>
      <c r="H896" s="1">
        <v>45623</v>
      </c>
      <c r="I896" t="s">
        <v>2635</v>
      </c>
      <c r="J896" t="str">
        <f t="shared" si="106"/>
        <v>Ana Hunt</v>
      </c>
      <c r="K896" t="s">
        <v>24</v>
      </c>
      <c r="L896" t="str">
        <f t="shared" si="107"/>
        <v>Neurology</v>
      </c>
      <c r="M896" t="s">
        <v>2636</v>
      </c>
      <c r="N896" t="str">
        <f t="shared" si="108"/>
        <v>GBP</v>
      </c>
      <c r="O896">
        <f t="shared" si="109"/>
        <v>144.88999999999999</v>
      </c>
      <c r="P896" cm="1">
        <f t="array" ref="P896">_xlfn.IFS(N896="USD",O896*1,N896="GBP",O896*1.27,N896="EUR",O896*1.09,N896="INR",O896*0.012,N896="N/A","N/A")</f>
        <v>184.01029999999997</v>
      </c>
      <c r="Q896" t="s">
        <v>36</v>
      </c>
      <c r="R896" t="str" cm="1">
        <f t="array" ref="R896">_xlfn.IFS(Q896="Y","Yes", Q896="Yes","Yes", Q896="N","No", Q896="No","No", Q896=1,"N/A", Q896=0,"N/A", TRUE,"")</f>
        <v>Yes</v>
      </c>
      <c r="S896">
        <f t="shared" si="110"/>
        <v>4</v>
      </c>
      <c r="T896">
        <f t="shared" si="111"/>
        <v>1</v>
      </c>
      <c r="U896" t="str" cm="1">
        <f t="array" ref="U896">_xlfn.IFS(D896&lt;40,"Young Adult",AND(D896&gt;=40,D896&lt;65),"Middle Aged", D896&gt;=65,"Elderly")</f>
        <v>Elderly</v>
      </c>
    </row>
    <row r="897" spans="1:21" x14ac:dyDescent="0.2">
      <c r="A897">
        <v>1043</v>
      </c>
      <c r="B897">
        <f t="shared" si="104"/>
        <v>896</v>
      </c>
      <c r="C897" t="s">
        <v>2637</v>
      </c>
      <c r="D897">
        <v>31</v>
      </c>
      <c r="E897" t="s">
        <v>51</v>
      </c>
      <c r="F897" t="str">
        <f t="shared" si="105"/>
        <v>Male</v>
      </c>
      <c r="G897" s="1">
        <v>45982</v>
      </c>
      <c r="H897" s="1">
        <v>45885</v>
      </c>
      <c r="I897" t="s">
        <v>2638</v>
      </c>
      <c r="J897" t="str">
        <f t="shared" si="106"/>
        <v>Rachel Moore</v>
      </c>
      <c r="K897" t="s">
        <v>24</v>
      </c>
      <c r="L897" t="str">
        <f t="shared" si="107"/>
        <v>Neurology</v>
      </c>
      <c r="M897" t="s">
        <v>2639</v>
      </c>
      <c r="N897" t="str">
        <f t="shared" si="108"/>
        <v>INR</v>
      </c>
      <c r="O897">
        <f t="shared" si="109"/>
        <v>198.95</v>
      </c>
      <c r="P897" cm="1">
        <f t="array" ref="P897">_xlfn.IFS(N897="USD",O897*1,N897="GBP",O897*1.27,N897="EUR",O897*1.09,N897="INR",O897*0.012,N897="N/A","N/A")</f>
        <v>2.3874</v>
      </c>
      <c r="Q897" t="s">
        <v>60</v>
      </c>
      <c r="R897" t="str" cm="1">
        <f t="array" ref="R897">_xlfn.IFS(Q897="Y","Yes", Q897="Yes","Yes", Q897="N","No", Q897="No","No", Q897=1,"N/A", Q897=0,"N/A", TRUE,"")</f>
        <v>No</v>
      </c>
      <c r="S897">
        <f t="shared" si="110"/>
        <v>12</v>
      </c>
      <c r="T897">
        <f t="shared" si="111"/>
        <v>1</v>
      </c>
      <c r="U897" t="str" cm="1">
        <f t="array" ref="U897">_xlfn.IFS(D897&lt;40,"Young Adult",AND(D897&gt;=40,D897&lt;65),"Middle Aged", D897&gt;=65,"Elderly")</f>
        <v>Young Adult</v>
      </c>
    </row>
    <row r="898" spans="1:21" x14ac:dyDescent="0.2">
      <c r="A898">
        <v>1058</v>
      </c>
      <c r="B898">
        <f t="shared" si="104"/>
        <v>897</v>
      </c>
      <c r="C898" t="s">
        <v>2640</v>
      </c>
      <c r="D898">
        <v>64</v>
      </c>
      <c r="E898" t="s">
        <v>71</v>
      </c>
      <c r="F898" t="str">
        <f t="shared" si="105"/>
        <v>Male</v>
      </c>
      <c r="G898" s="1">
        <v>45761</v>
      </c>
      <c r="H898" s="1">
        <v>45692</v>
      </c>
      <c r="I898" t="s">
        <v>2641</v>
      </c>
      <c r="J898" t="str">
        <f t="shared" si="106"/>
        <v>Brian Olson</v>
      </c>
      <c r="K898" t="s">
        <v>24</v>
      </c>
      <c r="L898" t="str">
        <f t="shared" si="107"/>
        <v>Neurology</v>
      </c>
      <c r="M898" t="s">
        <v>2642</v>
      </c>
      <c r="N898" t="str">
        <f t="shared" si="108"/>
        <v>INR</v>
      </c>
      <c r="O898">
        <f t="shared" si="109"/>
        <v>246.05</v>
      </c>
      <c r="P898" cm="1">
        <f t="array" ref="P898">_xlfn.IFS(N898="USD",O898*1,N898="GBP",O898*1.27,N898="EUR",O898*1.09,N898="INR",O898*0.012,N898="N/A","N/A")</f>
        <v>2.9526000000000003</v>
      </c>
      <c r="Q898">
        <v>1</v>
      </c>
      <c r="R898" t="str" cm="1">
        <f t="array" ref="R898">_xlfn.IFS(Q898="Y","Yes", Q898="Yes","Yes", Q898="N","No", Q898="No","No", Q898=1,"N/A", Q898=0,"N/A", TRUE,"")</f>
        <v>N/A</v>
      </c>
      <c r="S898">
        <f t="shared" si="110"/>
        <v>17</v>
      </c>
      <c r="T898">
        <f t="shared" si="111"/>
        <v>1</v>
      </c>
      <c r="U898" t="str" cm="1">
        <f t="array" ref="U898">_xlfn.IFS(D898&lt;40,"Young Adult",AND(D898&gt;=40,D898&lt;65),"Middle Aged", D898&gt;=65,"Elderly")</f>
        <v>Middle Aged</v>
      </c>
    </row>
    <row r="899" spans="1:21" x14ac:dyDescent="0.2">
      <c r="A899">
        <v>1080</v>
      </c>
      <c r="B899">
        <f t="shared" ref="B899:B962" si="112">ROW()-1</f>
        <v>898</v>
      </c>
      <c r="C899" t="s">
        <v>2643</v>
      </c>
      <c r="D899">
        <v>21</v>
      </c>
      <c r="E899" t="s">
        <v>51</v>
      </c>
      <c r="F899" t="str">
        <f t="shared" ref="F899:F962" si="113">IF(E899="male","Male",IF(E899="female","Female",IF(E899="F","Female",IF(E899="M","Male",IF(E899="N/A","N/A")))))</f>
        <v>Male</v>
      </c>
      <c r="G899" s="1">
        <v>45774</v>
      </c>
      <c r="H899" s="1">
        <v>45729</v>
      </c>
      <c r="I899" t="s">
        <v>2644</v>
      </c>
      <c r="J899" t="str">
        <f t="shared" ref="J899:J962" si="114">PROPER(I899)</f>
        <v>Mark Morrison</v>
      </c>
      <c r="K899" t="s">
        <v>24</v>
      </c>
      <c r="L899" t="str">
        <f t="shared" ref="L899:L962" si="115">PROPER(K899)</f>
        <v>Neurology</v>
      </c>
      <c r="M899" t="s">
        <v>2645</v>
      </c>
      <c r="N899" t="str">
        <f t="shared" ref="N899:N962" si="116">IF(LEFT(M899,1)="$","USD",IF(LEFT(M899,2)="Rs","INR",IF(LEFT(M899,2)="¬£","GBP",IF(LEFT(M899,3)="‚Ç¨","EUR","N/A"))))</f>
        <v>EUR</v>
      </c>
      <c r="O899">
        <f t="shared" ref="O899:O962" si="117">IFERROR(VALUE(SUBSTITUTE(SUBSTITUTE(SUBSTITUTE(SUBSTITUTE(M899,"$",""), "Rs",""),"¬£",""),"‚Ç¨","")), "")</f>
        <v>164.43</v>
      </c>
      <c r="P899" cm="1">
        <f t="array" ref="P899">_xlfn.IFS(N899="USD",O899*1,N899="GBP",O899*1.27,N899="EUR",O899*1.09,N899="INR",O899*0.012,N899="N/A","N/A")</f>
        <v>179.22870000000003</v>
      </c>
      <c r="Q899" t="s">
        <v>36</v>
      </c>
      <c r="R899" t="str" cm="1">
        <f t="array" ref="R899">_xlfn.IFS(Q899="Y","Yes", Q899="Yes","Yes", Q899="N","No", Q899="No","No", Q899=1,"N/A", Q899=0,"N/A", TRUE,"")</f>
        <v>Yes</v>
      </c>
      <c r="S899">
        <f t="shared" ref="S899:S962" si="118">COUNTIF($A$2:$A$1001, A899)</f>
        <v>11</v>
      </c>
      <c r="T899">
        <f t="shared" ref="T899:T962" si="119">COUNTIFS($A$2:$A$1001, A899, $C$2:$C$1001, C899)</f>
        <v>1</v>
      </c>
      <c r="U899" t="str" cm="1">
        <f t="array" ref="U899">_xlfn.IFS(D899&lt;40,"Young Adult",AND(D899&gt;=40,D899&lt;65),"Middle Aged", D899&gt;=65,"Elderly")</f>
        <v>Young Adult</v>
      </c>
    </row>
    <row r="900" spans="1:21" x14ac:dyDescent="0.2">
      <c r="A900">
        <v>1097</v>
      </c>
      <c r="B900">
        <f t="shared" si="112"/>
        <v>899</v>
      </c>
      <c r="C900" t="s">
        <v>2646</v>
      </c>
      <c r="D900">
        <v>51</v>
      </c>
      <c r="E900" t="s">
        <v>38</v>
      </c>
      <c r="F900" t="str">
        <f t="shared" si="113"/>
        <v>Female</v>
      </c>
      <c r="G900" s="1">
        <v>45911</v>
      </c>
      <c r="H900" s="1">
        <v>45456</v>
      </c>
      <c r="I900" t="s">
        <v>2647</v>
      </c>
      <c r="J900" t="str">
        <f t="shared" si="114"/>
        <v>Madeline Sharp</v>
      </c>
      <c r="K900" t="s">
        <v>28</v>
      </c>
      <c r="L900" t="str">
        <f t="shared" si="115"/>
        <v>General</v>
      </c>
      <c r="M900" t="s">
        <v>2648</v>
      </c>
      <c r="N900" t="str">
        <f t="shared" si="116"/>
        <v>INR</v>
      </c>
      <c r="O900">
        <f t="shared" si="117"/>
        <v>381.59</v>
      </c>
      <c r="P900" cm="1">
        <f t="array" ref="P900">_xlfn.IFS(N900="USD",O900*1,N900="GBP",O900*1.27,N900="EUR",O900*1.09,N900="INR",O900*0.012,N900="N/A","N/A")</f>
        <v>4.5790799999999994</v>
      </c>
      <c r="Q900" t="s">
        <v>30</v>
      </c>
      <c r="R900" t="str" cm="1">
        <f t="array" ref="R900">_xlfn.IFS(Q900="Y","Yes", Q900="Yes","Yes", Q900="N","No", Q900="No","No", Q900=1,"N/A", Q900=0,"N/A", TRUE,"")</f>
        <v>No</v>
      </c>
      <c r="S900">
        <f t="shared" si="118"/>
        <v>10</v>
      </c>
      <c r="T900">
        <f t="shared" si="119"/>
        <v>1</v>
      </c>
      <c r="U900" t="str" cm="1">
        <f t="array" ref="U900">_xlfn.IFS(D900&lt;40,"Young Adult",AND(D900&gt;=40,D900&lt;65),"Middle Aged", D900&gt;=65,"Elderly")</f>
        <v>Middle Aged</v>
      </c>
    </row>
    <row r="901" spans="1:21" x14ac:dyDescent="0.2">
      <c r="A901">
        <v>1054</v>
      </c>
      <c r="B901">
        <f t="shared" si="112"/>
        <v>900</v>
      </c>
      <c r="C901" t="s">
        <v>2649</v>
      </c>
      <c r="D901">
        <v>29</v>
      </c>
      <c r="E901" t="s">
        <v>22</v>
      </c>
      <c r="F901" t="str">
        <f t="shared" si="113"/>
        <v>Male</v>
      </c>
      <c r="G901" s="1">
        <v>45794</v>
      </c>
      <c r="H901" s="1">
        <v>45571</v>
      </c>
      <c r="I901" t="s">
        <v>2650</v>
      </c>
      <c r="J901" t="str">
        <f t="shared" si="114"/>
        <v>Patrick Russell</v>
      </c>
      <c r="K901" t="s">
        <v>24</v>
      </c>
      <c r="L901" t="str">
        <f t="shared" si="115"/>
        <v>Neurology</v>
      </c>
      <c r="M901" t="s">
        <v>2651</v>
      </c>
      <c r="N901" t="str">
        <f t="shared" si="116"/>
        <v>EUR</v>
      </c>
      <c r="O901">
        <f t="shared" si="117"/>
        <v>341.42</v>
      </c>
      <c r="P901" cm="1">
        <f t="array" ref="P901">_xlfn.IFS(N901="USD",O901*1,N901="GBP",O901*1.27,N901="EUR",O901*1.09,N901="INR",O901*0.012,N901="N/A","N/A")</f>
        <v>372.14780000000002</v>
      </c>
      <c r="Q901" t="s">
        <v>60</v>
      </c>
      <c r="R901" t="str" cm="1">
        <f t="array" ref="R901">_xlfn.IFS(Q901="Y","Yes", Q901="Yes","Yes", Q901="N","No", Q901="No","No", Q901=1,"N/A", Q901=0,"N/A", TRUE,"")</f>
        <v>No</v>
      </c>
      <c r="S901">
        <f t="shared" si="118"/>
        <v>12</v>
      </c>
      <c r="T901">
        <f t="shared" si="119"/>
        <v>1</v>
      </c>
      <c r="U901" t="str" cm="1">
        <f t="array" ref="U901">_xlfn.IFS(D901&lt;40,"Young Adult",AND(D901&gt;=40,D901&lt;65),"Middle Aged", D901&gt;=65,"Elderly")</f>
        <v>Young Adult</v>
      </c>
    </row>
    <row r="902" spans="1:21" x14ac:dyDescent="0.2">
      <c r="A902">
        <v>1075</v>
      </c>
      <c r="B902">
        <f t="shared" si="112"/>
        <v>901</v>
      </c>
      <c r="C902" t="s">
        <v>2652</v>
      </c>
      <c r="D902">
        <v>51</v>
      </c>
      <c r="E902" t="s">
        <v>71</v>
      </c>
      <c r="F902" t="str">
        <f t="shared" si="113"/>
        <v>Male</v>
      </c>
      <c r="G902" s="1">
        <v>46002</v>
      </c>
      <c r="H902" s="1">
        <v>45949</v>
      </c>
      <c r="I902" t="s">
        <v>2653</v>
      </c>
      <c r="J902" t="str">
        <f t="shared" si="114"/>
        <v>Melissa Khan</v>
      </c>
      <c r="K902" t="s">
        <v>24</v>
      </c>
      <c r="L902" t="str">
        <f t="shared" si="115"/>
        <v>Neurology</v>
      </c>
      <c r="M902" t="s">
        <v>2654</v>
      </c>
      <c r="N902" t="str">
        <f t="shared" si="116"/>
        <v>INR</v>
      </c>
      <c r="O902">
        <f t="shared" si="117"/>
        <v>456.12</v>
      </c>
      <c r="P902" cm="1">
        <f t="array" ref="P902">_xlfn.IFS(N902="USD",O902*1,N902="GBP",O902*1.27,N902="EUR",O902*1.09,N902="INR",O902*0.012,N902="N/A","N/A")</f>
        <v>5.4734400000000001</v>
      </c>
      <c r="Q902" t="s">
        <v>30</v>
      </c>
      <c r="R902" t="str" cm="1">
        <f t="array" ref="R902">_xlfn.IFS(Q902="Y","Yes", Q902="Yes","Yes", Q902="N","No", Q902="No","No", Q902=1,"N/A", Q902=0,"N/A", TRUE,"")</f>
        <v>No</v>
      </c>
      <c r="S902">
        <f t="shared" si="118"/>
        <v>11</v>
      </c>
      <c r="T902">
        <f t="shared" si="119"/>
        <v>1</v>
      </c>
      <c r="U902" t="str" cm="1">
        <f t="array" ref="U902">_xlfn.IFS(D902&lt;40,"Young Adult",AND(D902&gt;=40,D902&lt;65),"Middle Aged", D902&gt;=65,"Elderly")</f>
        <v>Middle Aged</v>
      </c>
    </row>
    <row r="903" spans="1:21" x14ac:dyDescent="0.2">
      <c r="A903">
        <v>1036</v>
      </c>
      <c r="B903">
        <f t="shared" si="112"/>
        <v>902</v>
      </c>
      <c r="C903" t="s">
        <v>2655</v>
      </c>
      <c r="D903">
        <v>82</v>
      </c>
      <c r="E903" t="s">
        <v>51</v>
      </c>
      <c r="F903" t="str">
        <f t="shared" si="113"/>
        <v>Male</v>
      </c>
      <c r="G903" s="1">
        <v>45999</v>
      </c>
      <c r="H903" s="1">
        <v>45389</v>
      </c>
      <c r="I903" t="s">
        <v>2656</v>
      </c>
      <c r="J903" t="str">
        <f t="shared" si="114"/>
        <v>Rachel Sanchez</v>
      </c>
      <c r="K903" t="s">
        <v>28</v>
      </c>
      <c r="L903" t="str">
        <f t="shared" si="115"/>
        <v>General</v>
      </c>
      <c r="M903" t="s">
        <v>2657</v>
      </c>
      <c r="N903" t="str">
        <f t="shared" si="116"/>
        <v>INR</v>
      </c>
      <c r="O903">
        <f t="shared" si="117"/>
        <v>371.84</v>
      </c>
      <c r="P903" cm="1">
        <f t="array" ref="P903">_xlfn.IFS(N903="USD",O903*1,N903="GBP",O903*1.27,N903="EUR",O903*1.09,N903="INR",O903*0.012,N903="N/A","N/A")</f>
        <v>4.4620799999999994</v>
      </c>
      <c r="Q903" t="s">
        <v>20</v>
      </c>
      <c r="R903" t="str" cm="1">
        <f t="array" ref="R903">_xlfn.IFS(Q903="Y","Yes", Q903="Yes","Yes", Q903="N","No", Q903="No","No", Q903=1,"N/A", Q903=0,"N/A", TRUE,"")</f>
        <v>Yes</v>
      </c>
      <c r="S903">
        <f t="shared" si="118"/>
        <v>14</v>
      </c>
      <c r="T903">
        <f t="shared" si="119"/>
        <v>1</v>
      </c>
      <c r="U903" t="str" cm="1">
        <f t="array" ref="U903">_xlfn.IFS(D903&lt;40,"Young Adult",AND(D903&gt;=40,D903&lt;65),"Middle Aged", D903&gt;=65,"Elderly")</f>
        <v>Elderly</v>
      </c>
    </row>
    <row r="904" spans="1:21" x14ac:dyDescent="0.2">
      <c r="A904">
        <v>1064</v>
      </c>
      <c r="B904">
        <f t="shared" si="112"/>
        <v>903</v>
      </c>
      <c r="C904" t="s">
        <v>2658</v>
      </c>
      <c r="D904">
        <v>78</v>
      </c>
      <c r="E904" t="s">
        <v>38</v>
      </c>
      <c r="F904" t="str">
        <f t="shared" si="113"/>
        <v>Female</v>
      </c>
      <c r="G904" s="1">
        <v>46036</v>
      </c>
      <c r="H904" s="1">
        <v>45784</v>
      </c>
      <c r="I904" t="s">
        <v>2659</v>
      </c>
      <c r="J904" t="str">
        <f t="shared" si="114"/>
        <v>Clifford Ramirez</v>
      </c>
      <c r="K904" t="s">
        <v>18</v>
      </c>
      <c r="L904" t="str">
        <f t="shared" si="115"/>
        <v>Orthopedics</v>
      </c>
      <c r="M904" t="s">
        <v>2660</v>
      </c>
      <c r="N904" t="str">
        <f t="shared" si="116"/>
        <v>EUR</v>
      </c>
      <c r="O904">
        <f t="shared" si="117"/>
        <v>263.23</v>
      </c>
      <c r="P904" cm="1">
        <f t="array" ref="P904">_xlfn.IFS(N904="USD",O904*1,N904="GBP",O904*1.27,N904="EUR",O904*1.09,N904="INR",O904*0.012,N904="N/A","N/A")</f>
        <v>286.92070000000007</v>
      </c>
      <c r="Q904" t="s">
        <v>30</v>
      </c>
      <c r="R904" t="str" cm="1">
        <f t="array" ref="R904">_xlfn.IFS(Q904="Y","Yes", Q904="Yes","Yes", Q904="N","No", Q904="No","No", Q904=1,"N/A", Q904=0,"N/A", TRUE,"")</f>
        <v>No</v>
      </c>
      <c r="S904">
        <f t="shared" si="118"/>
        <v>5</v>
      </c>
      <c r="T904">
        <f t="shared" si="119"/>
        <v>1</v>
      </c>
      <c r="U904" t="str" cm="1">
        <f t="array" ref="U904">_xlfn.IFS(D904&lt;40,"Young Adult",AND(D904&gt;=40,D904&lt;65),"Middle Aged", D904&gt;=65,"Elderly")</f>
        <v>Elderly</v>
      </c>
    </row>
    <row r="905" spans="1:21" x14ac:dyDescent="0.2">
      <c r="A905">
        <v>1015</v>
      </c>
      <c r="B905">
        <f t="shared" si="112"/>
        <v>904</v>
      </c>
      <c r="C905" t="s">
        <v>2661</v>
      </c>
      <c r="D905">
        <v>63</v>
      </c>
      <c r="E905" t="s">
        <v>2937</v>
      </c>
      <c r="F905" t="str">
        <f t="shared" si="113"/>
        <v>N/A</v>
      </c>
      <c r="G905" s="1">
        <v>45989</v>
      </c>
      <c r="H905" s="1">
        <v>45559</v>
      </c>
      <c r="I905" t="s">
        <v>2662</v>
      </c>
      <c r="J905" t="str">
        <f t="shared" si="114"/>
        <v>Mary Chandler</v>
      </c>
      <c r="K905" t="s">
        <v>24</v>
      </c>
      <c r="L905" t="str">
        <f t="shared" si="115"/>
        <v>Neurology</v>
      </c>
      <c r="M905" t="s">
        <v>2663</v>
      </c>
      <c r="N905" t="str">
        <f t="shared" si="116"/>
        <v>USD</v>
      </c>
      <c r="O905">
        <f t="shared" si="117"/>
        <v>427.62</v>
      </c>
      <c r="P905" cm="1">
        <f t="array" ref="P905">_xlfn.IFS(N905="USD",O905*1,N905="GBP",O905*1.27,N905="EUR",O905*1.09,N905="INR",O905*0.012,N905="N/A","N/A")</f>
        <v>427.62</v>
      </c>
      <c r="Q905" t="s">
        <v>36</v>
      </c>
      <c r="R905" t="str" cm="1">
        <f t="array" ref="R905">_xlfn.IFS(Q905="Y","Yes", Q905="Yes","Yes", Q905="N","No", Q905="No","No", Q905=1,"N/A", Q905=0,"N/A", TRUE,"")</f>
        <v>Yes</v>
      </c>
      <c r="S905">
        <f t="shared" si="118"/>
        <v>17</v>
      </c>
      <c r="T905">
        <f t="shared" si="119"/>
        <v>1</v>
      </c>
      <c r="U905" t="str" cm="1">
        <f t="array" ref="U905">_xlfn.IFS(D905&lt;40,"Young Adult",AND(D905&gt;=40,D905&lt;65),"Middle Aged", D905&gt;=65,"Elderly")</f>
        <v>Middle Aged</v>
      </c>
    </row>
    <row r="906" spans="1:21" x14ac:dyDescent="0.2">
      <c r="A906">
        <v>1045</v>
      </c>
      <c r="B906">
        <f t="shared" si="112"/>
        <v>905</v>
      </c>
      <c r="C906" t="s">
        <v>2664</v>
      </c>
      <c r="D906">
        <v>66</v>
      </c>
      <c r="E906" t="s">
        <v>2937</v>
      </c>
      <c r="F906" t="str">
        <f t="shared" si="113"/>
        <v>N/A</v>
      </c>
      <c r="G906" s="1">
        <v>45800</v>
      </c>
      <c r="H906" s="1">
        <v>45411</v>
      </c>
      <c r="I906" t="s">
        <v>2665</v>
      </c>
      <c r="J906" t="str">
        <f t="shared" si="114"/>
        <v>Maria Thomas</v>
      </c>
      <c r="K906" t="s">
        <v>18</v>
      </c>
      <c r="L906" t="str">
        <f t="shared" si="115"/>
        <v>Orthopedics</v>
      </c>
      <c r="M906" t="s">
        <v>2666</v>
      </c>
      <c r="N906" t="str">
        <f t="shared" si="116"/>
        <v>GBP</v>
      </c>
      <c r="O906">
        <f t="shared" si="117"/>
        <v>100.78</v>
      </c>
      <c r="P906" cm="1">
        <f t="array" ref="P906">_xlfn.IFS(N906="USD",O906*1,N906="GBP",O906*1.27,N906="EUR",O906*1.09,N906="INR",O906*0.012,N906="N/A","N/A")</f>
        <v>127.9906</v>
      </c>
      <c r="Q906" t="s">
        <v>36</v>
      </c>
      <c r="R906" t="str" cm="1">
        <f t="array" ref="R906">_xlfn.IFS(Q906="Y","Yes", Q906="Yes","Yes", Q906="N","No", Q906="No","No", Q906=1,"N/A", Q906=0,"N/A", TRUE,"")</f>
        <v>Yes</v>
      </c>
      <c r="S906">
        <f t="shared" si="118"/>
        <v>8</v>
      </c>
      <c r="T906">
        <f t="shared" si="119"/>
        <v>1</v>
      </c>
      <c r="U906" t="str" cm="1">
        <f t="array" ref="U906">_xlfn.IFS(D906&lt;40,"Young Adult",AND(D906&gt;=40,D906&lt;65),"Middle Aged", D906&gt;=65,"Elderly")</f>
        <v>Elderly</v>
      </c>
    </row>
    <row r="907" spans="1:21" x14ac:dyDescent="0.2">
      <c r="A907">
        <v>1016</v>
      </c>
      <c r="B907">
        <f t="shared" si="112"/>
        <v>906</v>
      </c>
      <c r="C907" t="s">
        <v>2667</v>
      </c>
      <c r="D907">
        <v>49</v>
      </c>
      <c r="E907" t="s">
        <v>51</v>
      </c>
      <c r="F907" t="str">
        <f t="shared" si="113"/>
        <v>Male</v>
      </c>
      <c r="G907" s="1">
        <v>45916</v>
      </c>
      <c r="H907" s="1">
        <v>45779</v>
      </c>
      <c r="I907" t="s">
        <v>2668</v>
      </c>
      <c r="J907" t="str">
        <f t="shared" si="114"/>
        <v>Dawn Browning</v>
      </c>
      <c r="K907" t="s">
        <v>18</v>
      </c>
      <c r="L907" t="str">
        <f t="shared" si="115"/>
        <v>Orthopedics</v>
      </c>
      <c r="N907" t="str">
        <f t="shared" si="116"/>
        <v>N/A</v>
      </c>
      <c r="O907" t="str">
        <f t="shared" si="117"/>
        <v/>
      </c>
      <c r="P907" t="str" cm="1">
        <f t="array" ref="P907">_xlfn.IFS(N907="USD",O907*1,N907="GBP",O907*1.27,N907="EUR",O907*1.09,N907="INR",O907*0.012,N907="N/A","N/A")</f>
        <v>N/A</v>
      </c>
      <c r="Q907">
        <v>0</v>
      </c>
      <c r="R907" t="str" cm="1">
        <f t="array" ref="R907">_xlfn.IFS(Q907="Y","Yes", Q907="Yes","Yes", Q907="N","No", Q907="No","No", Q907=1,"N/A", Q907=0,"N/A", TRUE,"")</f>
        <v>N/A</v>
      </c>
      <c r="S907">
        <f t="shared" si="118"/>
        <v>15</v>
      </c>
      <c r="T907">
        <f t="shared" si="119"/>
        <v>1</v>
      </c>
      <c r="U907" t="str" cm="1">
        <f t="array" ref="U907">_xlfn.IFS(D907&lt;40,"Young Adult",AND(D907&gt;=40,D907&lt;65),"Middle Aged", D907&gt;=65,"Elderly")</f>
        <v>Middle Aged</v>
      </c>
    </row>
    <row r="908" spans="1:21" x14ac:dyDescent="0.2">
      <c r="A908">
        <v>1006</v>
      </c>
      <c r="B908">
        <f t="shared" si="112"/>
        <v>907</v>
      </c>
      <c r="C908" t="s">
        <v>2669</v>
      </c>
      <c r="D908">
        <v>61</v>
      </c>
      <c r="E908" t="s">
        <v>22</v>
      </c>
      <c r="F908" t="str">
        <f t="shared" si="113"/>
        <v>Male</v>
      </c>
      <c r="G908" s="1">
        <v>45975</v>
      </c>
      <c r="H908" s="1">
        <v>45422</v>
      </c>
      <c r="I908" t="s">
        <v>2670</v>
      </c>
      <c r="J908" t="str">
        <f t="shared" si="114"/>
        <v>Mark Kelley</v>
      </c>
      <c r="K908" t="s">
        <v>18</v>
      </c>
      <c r="L908" t="str">
        <f t="shared" si="115"/>
        <v>Orthopedics</v>
      </c>
      <c r="M908" t="s">
        <v>2671</v>
      </c>
      <c r="N908" t="str">
        <f t="shared" si="116"/>
        <v>GBP</v>
      </c>
      <c r="O908">
        <f t="shared" si="117"/>
        <v>308.27999999999997</v>
      </c>
      <c r="P908" cm="1">
        <f t="array" ref="P908">_xlfn.IFS(N908="USD",O908*1,N908="GBP",O908*1.27,N908="EUR",O908*1.09,N908="INR",O908*0.012,N908="N/A","N/A")</f>
        <v>391.51559999999995</v>
      </c>
      <c r="Q908" t="s">
        <v>60</v>
      </c>
      <c r="R908" t="str" cm="1">
        <f t="array" ref="R908">_xlfn.IFS(Q908="Y","Yes", Q908="Yes","Yes", Q908="N","No", Q908="No","No", Q908=1,"N/A", Q908=0,"N/A", TRUE,"")</f>
        <v>No</v>
      </c>
      <c r="S908">
        <f t="shared" si="118"/>
        <v>8</v>
      </c>
      <c r="T908">
        <f t="shared" si="119"/>
        <v>1</v>
      </c>
      <c r="U908" t="str" cm="1">
        <f t="array" ref="U908">_xlfn.IFS(D908&lt;40,"Young Adult",AND(D908&gt;=40,D908&lt;65),"Middle Aged", D908&gt;=65,"Elderly")</f>
        <v>Middle Aged</v>
      </c>
    </row>
    <row r="909" spans="1:21" x14ac:dyDescent="0.2">
      <c r="A909">
        <v>1058</v>
      </c>
      <c r="B909">
        <f t="shared" si="112"/>
        <v>908</v>
      </c>
      <c r="C909" t="s">
        <v>2672</v>
      </c>
      <c r="D909">
        <v>30</v>
      </c>
      <c r="E909" t="s">
        <v>16</v>
      </c>
      <c r="F909" t="str">
        <f t="shared" si="113"/>
        <v>Female</v>
      </c>
      <c r="G909" s="1">
        <v>46079</v>
      </c>
      <c r="H909" s="1">
        <v>46060</v>
      </c>
      <c r="I909" t="s">
        <v>2673</v>
      </c>
      <c r="J909" t="str">
        <f t="shared" si="114"/>
        <v>Megan Mccann</v>
      </c>
      <c r="K909" t="s">
        <v>28</v>
      </c>
      <c r="L909" t="str">
        <f t="shared" si="115"/>
        <v>General</v>
      </c>
      <c r="M909" t="s">
        <v>2674</v>
      </c>
      <c r="N909" t="str">
        <f t="shared" si="116"/>
        <v>EUR</v>
      </c>
      <c r="O909">
        <f t="shared" si="117"/>
        <v>471.3</v>
      </c>
      <c r="P909" cm="1">
        <f t="array" ref="P909">_xlfn.IFS(N909="USD",O909*1,N909="GBP",O909*1.27,N909="EUR",O909*1.09,N909="INR",O909*0.012,N909="N/A","N/A")</f>
        <v>513.7170000000001</v>
      </c>
      <c r="Q909">
        <v>0</v>
      </c>
      <c r="R909" t="str" cm="1">
        <f t="array" ref="R909">_xlfn.IFS(Q909="Y","Yes", Q909="Yes","Yes", Q909="N","No", Q909="No","No", Q909=1,"N/A", Q909=0,"N/A", TRUE,"")</f>
        <v>N/A</v>
      </c>
      <c r="S909">
        <f t="shared" si="118"/>
        <v>17</v>
      </c>
      <c r="T909">
        <f t="shared" si="119"/>
        <v>1</v>
      </c>
      <c r="U909" t="str" cm="1">
        <f t="array" ref="U909">_xlfn.IFS(D909&lt;40,"Young Adult",AND(D909&gt;=40,D909&lt;65),"Middle Aged", D909&gt;=65,"Elderly")</f>
        <v>Young Adult</v>
      </c>
    </row>
    <row r="910" spans="1:21" x14ac:dyDescent="0.2">
      <c r="A910">
        <v>1050</v>
      </c>
      <c r="B910">
        <f t="shared" si="112"/>
        <v>909</v>
      </c>
      <c r="C910" t="s">
        <v>2675</v>
      </c>
      <c r="D910">
        <v>23</v>
      </c>
      <c r="E910" t="s">
        <v>2937</v>
      </c>
      <c r="F910" t="str">
        <f t="shared" si="113"/>
        <v>N/A</v>
      </c>
      <c r="G910" s="1">
        <v>45957</v>
      </c>
      <c r="H910" s="1">
        <v>45830</v>
      </c>
      <c r="I910" t="s">
        <v>2676</v>
      </c>
      <c r="J910" t="str">
        <f t="shared" si="114"/>
        <v>David Whitney</v>
      </c>
      <c r="K910" t="s">
        <v>13</v>
      </c>
      <c r="L910" t="str">
        <f t="shared" si="115"/>
        <v>Cardiology</v>
      </c>
      <c r="M910" t="s">
        <v>2677</v>
      </c>
      <c r="N910" t="str">
        <f t="shared" si="116"/>
        <v>INR</v>
      </c>
      <c r="O910">
        <f t="shared" si="117"/>
        <v>437.95</v>
      </c>
      <c r="P910" cm="1">
        <f t="array" ref="P910">_xlfn.IFS(N910="USD",O910*1,N910="GBP",O910*1.27,N910="EUR",O910*1.09,N910="INR",O910*0.012,N910="N/A","N/A")</f>
        <v>5.2553999999999998</v>
      </c>
      <c r="Q910">
        <v>1</v>
      </c>
      <c r="R910" t="str" cm="1">
        <f t="array" ref="R910">_xlfn.IFS(Q910="Y","Yes", Q910="Yes","Yes", Q910="N","No", Q910="No","No", Q910=1,"N/A", Q910=0,"N/A", TRUE,"")</f>
        <v>N/A</v>
      </c>
      <c r="S910">
        <f t="shared" si="118"/>
        <v>12</v>
      </c>
      <c r="T910">
        <f t="shared" si="119"/>
        <v>1</v>
      </c>
      <c r="U910" t="str" cm="1">
        <f t="array" ref="U910">_xlfn.IFS(D910&lt;40,"Young Adult",AND(D910&gt;=40,D910&lt;65),"Middle Aged", D910&gt;=65,"Elderly")</f>
        <v>Young Adult</v>
      </c>
    </row>
    <row r="911" spans="1:21" x14ac:dyDescent="0.2">
      <c r="A911">
        <v>1016</v>
      </c>
      <c r="B911">
        <f t="shared" si="112"/>
        <v>910</v>
      </c>
      <c r="C911" t="s">
        <v>2678</v>
      </c>
      <c r="D911">
        <v>87</v>
      </c>
      <c r="E911" t="s">
        <v>38</v>
      </c>
      <c r="F911" t="str">
        <f t="shared" si="113"/>
        <v>Female</v>
      </c>
      <c r="G911" s="1">
        <v>46046</v>
      </c>
      <c r="H911" s="1">
        <v>45635</v>
      </c>
      <c r="I911" t="s">
        <v>2679</v>
      </c>
      <c r="J911" t="str">
        <f t="shared" si="114"/>
        <v>Dr. Mary Day</v>
      </c>
      <c r="K911" t="s">
        <v>28</v>
      </c>
      <c r="L911" t="str">
        <f t="shared" si="115"/>
        <v>General</v>
      </c>
      <c r="M911" t="s">
        <v>2680</v>
      </c>
      <c r="N911" t="str">
        <f t="shared" si="116"/>
        <v>INR</v>
      </c>
      <c r="O911">
        <f t="shared" si="117"/>
        <v>461.32</v>
      </c>
      <c r="P911" cm="1">
        <f t="array" ref="P911">_xlfn.IFS(N911="USD",O911*1,N911="GBP",O911*1.27,N911="EUR",O911*1.09,N911="INR",O911*0.012,N911="N/A","N/A")</f>
        <v>5.5358400000000003</v>
      </c>
      <c r="Q911" t="s">
        <v>20</v>
      </c>
      <c r="R911" t="str" cm="1">
        <f t="array" ref="R911">_xlfn.IFS(Q911="Y","Yes", Q911="Yes","Yes", Q911="N","No", Q911="No","No", Q911=1,"N/A", Q911=0,"N/A", TRUE,"")</f>
        <v>Yes</v>
      </c>
      <c r="S911">
        <f t="shared" si="118"/>
        <v>15</v>
      </c>
      <c r="T911">
        <f t="shared" si="119"/>
        <v>1</v>
      </c>
      <c r="U911" t="str" cm="1">
        <f t="array" ref="U911">_xlfn.IFS(D911&lt;40,"Young Adult",AND(D911&gt;=40,D911&lt;65),"Middle Aged", D911&gt;=65,"Elderly")</f>
        <v>Elderly</v>
      </c>
    </row>
    <row r="912" spans="1:21" x14ac:dyDescent="0.2">
      <c r="A912">
        <v>1014</v>
      </c>
      <c r="B912">
        <f t="shared" si="112"/>
        <v>911</v>
      </c>
      <c r="C912" t="s">
        <v>2681</v>
      </c>
      <c r="D912">
        <v>31</v>
      </c>
      <c r="E912" t="s">
        <v>2937</v>
      </c>
      <c r="F912" t="str">
        <f t="shared" si="113"/>
        <v>N/A</v>
      </c>
      <c r="G912" s="1">
        <v>45899</v>
      </c>
      <c r="H912" s="1">
        <v>45674</v>
      </c>
      <c r="I912" t="s">
        <v>2682</v>
      </c>
      <c r="J912" t="str">
        <f t="shared" si="114"/>
        <v>Tammie Melendez</v>
      </c>
      <c r="K912" t="s">
        <v>28</v>
      </c>
      <c r="L912" t="str">
        <f t="shared" si="115"/>
        <v>General</v>
      </c>
      <c r="M912" t="s">
        <v>2683</v>
      </c>
      <c r="N912" t="str">
        <f t="shared" si="116"/>
        <v>EUR</v>
      </c>
      <c r="O912">
        <f t="shared" si="117"/>
        <v>424.17</v>
      </c>
      <c r="P912" cm="1">
        <f t="array" ref="P912">_xlfn.IFS(N912="USD",O912*1,N912="GBP",O912*1.27,N912="EUR",O912*1.09,N912="INR",O912*0.012,N912="N/A","N/A")</f>
        <v>462.34530000000007</v>
      </c>
      <c r="Q912" t="s">
        <v>20</v>
      </c>
      <c r="R912" t="str" cm="1">
        <f t="array" ref="R912">_xlfn.IFS(Q912="Y","Yes", Q912="Yes","Yes", Q912="N","No", Q912="No","No", Q912=1,"N/A", Q912=0,"N/A", TRUE,"")</f>
        <v>Yes</v>
      </c>
      <c r="S912">
        <f t="shared" si="118"/>
        <v>10</v>
      </c>
      <c r="T912">
        <f t="shared" si="119"/>
        <v>1</v>
      </c>
      <c r="U912" t="str" cm="1">
        <f t="array" ref="U912">_xlfn.IFS(D912&lt;40,"Young Adult",AND(D912&gt;=40,D912&lt;65),"Middle Aged", D912&gt;=65,"Elderly")</f>
        <v>Young Adult</v>
      </c>
    </row>
    <row r="913" spans="1:21" x14ac:dyDescent="0.2">
      <c r="A913">
        <v>1070</v>
      </c>
      <c r="B913">
        <f t="shared" si="112"/>
        <v>912</v>
      </c>
      <c r="C913" t="s">
        <v>2684</v>
      </c>
      <c r="D913">
        <v>49</v>
      </c>
      <c r="E913" t="s">
        <v>2937</v>
      </c>
      <c r="F913" t="str">
        <f t="shared" si="113"/>
        <v>N/A</v>
      </c>
      <c r="G913" s="1">
        <v>45797</v>
      </c>
      <c r="H913" s="1">
        <v>45547</v>
      </c>
      <c r="I913" t="s">
        <v>2685</v>
      </c>
      <c r="J913" t="str">
        <f t="shared" si="114"/>
        <v>Tanya Eaton</v>
      </c>
      <c r="K913" t="s">
        <v>28</v>
      </c>
      <c r="L913" t="str">
        <f t="shared" si="115"/>
        <v>General</v>
      </c>
      <c r="M913" t="s">
        <v>2686</v>
      </c>
      <c r="N913" t="str">
        <f t="shared" si="116"/>
        <v>EUR</v>
      </c>
      <c r="O913">
        <f t="shared" si="117"/>
        <v>428.7</v>
      </c>
      <c r="P913" cm="1">
        <f t="array" ref="P913">_xlfn.IFS(N913="USD",O913*1,N913="GBP",O913*1.27,N913="EUR",O913*1.09,N913="INR",O913*0.012,N913="N/A","N/A")</f>
        <v>467.28300000000002</v>
      </c>
      <c r="Q913" t="s">
        <v>36</v>
      </c>
      <c r="R913" t="str" cm="1">
        <f t="array" ref="R913">_xlfn.IFS(Q913="Y","Yes", Q913="Yes","Yes", Q913="N","No", Q913="No","No", Q913=1,"N/A", Q913=0,"N/A", TRUE,"")</f>
        <v>Yes</v>
      </c>
      <c r="S913">
        <f t="shared" si="118"/>
        <v>13</v>
      </c>
      <c r="T913">
        <f t="shared" si="119"/>
        <v>1</v>
      </c>
      <c r="U913" t="str" cm="1">
        <f t="array" ref="U913">_xlfn.IFS(D913&lt;40,"Young Adult",AND(D913&gt;=40,D913&lt;65),"Middle Aged", D913&gt;=65,"Elderly")</f>
        <v>Middle Aged</v>
      </c>
    </row>
    <row r="914" spans="1:21" x14ac:dyDescent="0.2">
      <c r="A914">
        <v>1068</v>
      </c>
      <c r="B914">
        <f t="shared" si="112"/>
        <v>913</v>
      </c>
      <c r="C914" t="s">
        <v>2687</v>
      </c>
      <c r="D914">
        <v>52</v>
      </c>
      <c r="E914" t="s">
        <v>38</v>
      </c>
      <c r="F914" t="str">
        <f t="shared" si="113"/>
        <v>Female</v>
      </c>
      <c r="G914" s="1">
        <v>46034</v>
      </c>
      <c r="H914" s="1">
        <v>45543</v>
      </c>
      <c r="I914" t="s">
        <v>2688</v>
      </c>
      <c r="J914" t="str">
        <f t="shared" si="114"/>
        <v>Helen Jackson</v>
      </c>
      <c r="K914" t="s">
        <v>24</v>
      </c>
      <c r="L914" t="str">
        <f t="shared" si="115"/>
        <v>Neurology</v>
      </c>
      <c r="M914" t="s">
        <v>2689</v>
      </c>
      <c r="N914" t="str">
        <f t="shared" si="116"/>
        <v>EUR</v>
      </c>
      <c r="O914">
        <f t="shared" si="117"/>
        <v>159.11000000000001</v>
      </c>
      <c r="P914" cm="1">
        <f t="array" ref="P914">_xlfn.IFS(N914="USD",O914*1,N914="GBP",O914*1.27,N914="EUR",O914*1.09,N914="INR",O914*0.012,N914="N/A","N/A")</f>
        <v>173.42990000000003</v>
      </c>
      <c r="Q914">
        <v>0</v>
      </c>
      <c r="R914" t="str" cm="1">
        <f t="array" ref="R914">_xlfn.IFS(Q914="Y","Yes", Q914="Yes","Yes", Q914="N","No", Q914="No","No", Q914=1,"N/A", Q914=0,"N/A", TRUE,"")</f>
        <v>N/A</v>
      </c>
      <c r="S914">
        <f t="shared" si="118"/>
        <v>14</v>
      </c>
      <c r="T914">
        <f t="shared" si="119"/>
        <v>1</v>
      </c>
      <c r="U914" t="str" cm="1">
        <f t="array" ref="U914">_xlfn.IFS(D914&lt;40,"Young Adult",AND(D914&gt;=40,D914&lt;65),"Middle Aged", D914&gt;=65,"Elderly")</f>
        <v>Middle Aged</v>
      </c>
    </row>
    <row r="915" spans="1:21" x14ac:dyDescent="0.2">
      <c r="A915">
        <v>1088</v>
      </c>
      <c r="B915">
        <f t="shared" si="112"/>
        <v>914</v>
      </c>
      <c r="C915" t="s">
        <v>2690</v>
      </c>
      <c r="D915">
        <v>65</v>
      </c>
      <c r="E915" t="s">
        <v>22</v>
      </c>
      <c r="F915" t="str">
        <f t="shared" si="113"/>
        <v>Male</v>
      </c>
      <c r="G915" s="1">
        <v>45861</v>
      </c>
      <c r="H915" s="1">
        <v>45692</v>
      </c>
      <c r="I915" t="s">
        <v>2691</v>
      </c>
      <c r="J915" t="str">
        <f t="shared" si="114"/>
        <v>Evan Marquez</v>
      </c>
      <c r="K915" t="s">
        <v>24</v>
      </c>
      <c r="L915" t="str">
        <f t="shared" si="115"/>
        <v>Neurology</v>
      </c>
      <c r="M915" t="s">
        <v>2692</v>
      </c>
      <c r="N915" t="str">
        <f t="shared" si="116"/>
        <v>USD</v>
      </c>
      <c r="O915">
        <f t="shared" si="117"/>
        <v>159.06</v>
      </c>
      <c r="P915" cm="1">
        <f t="array" ref="P915">_xlfn.IFS(N915="USD",O915*1,N915="GBP",O915*1.27,N915="EUR",O915*1.09,N915="INR",O915*0.012,N915="N/A","N/A")</f>
        <v>159.06</v>
      </c>
      <c r="Q915" t="s">
        <v>20</v>
      </c>
      <c r="R915" t="str" cm="1">
        <f t="array" ref="R915">_xlfn.IFS(Q915="Y","Yes", Q915="Yes","Yes", Q915="N","No", Q915="No","No", Q915=1,"N/A", Q915=0,"N/A", TRUE,"")</f>
        <v>Yes</v>
      </c>
      <c r="S915">
        <f t="shared" si="118"/>
        <v>16</v>
      </c>
      <c r="T915">
        <f t="shared" si="119"/>
        <v>1</v>
      </c>
      <c r="U915" t="str" cm="1">
        <f t="array" ref="U915">_xlfn.IFS(D915&lt;40,"Young Adult",AND(D915&gt;=40,D915&lt;65),"Middle Aged", D915&gt;=65,"Elderly")</f>
        <v>Elderly</v>
      </c>
    </row>
    <row r="916" spans="1:21" x14ac:dyDescent="0.2">
      <c r="A916">
        <v>1012</v>
      </c>
      <c r="B916">
        <f t="shared" si="112"/>
        <v>915</v>
      </c>
      <c r="C916" t="s">
        <v>2693</v>
      </c>
      <c r="D916">
        <v>18</v>
      </c>
      <c r="E916" t="s">
        <v>16</v>
      </c>
      <c r="F916" t="str">
        <f t="shared" si="113"/>
        <v>Female</v>
      </c>
      <c r="G916" s="1">
        <v>46041</v>
      </c>
      <c r="H916" s="1">
        <v>45809</v>
      </c>
      <c r="I916" t="s">
        <v>2694</v>
      </c>
      <c r="J916" t="str">
        <f t="shared" si="114"/>
        <v>Audrey Torres</v>
      </c>
      <c r="K916" t="s">
        <v>24</v>
      </c>
      <c r="L916" t="str">
        <f t="shared" si="115"/>
        <v>Neurology</v>
      </c>
      <c r="M916" t="s">
        <v>2695</v>
      </c>
      <c r="N916" t="str">
        <f t="shared" si="116"/>
        <v>INR</v>
      </c>
      <c r="O916">
        <f t="shared" si="117"/>
        <v>317.16000000000003</v>
      </c>
      <c r="P916" cm="1">
        <f t="array" ref="P916">_xlfn.IFS(N916="USD",O916*1,N916="GBP",O916*1.27,N916="EUR",O916*1.09,N916="INR",O916*0.012,N916="N/A","N/A")</f>
        <v>3.8059200000000004</v>
      </c>
      <c r="Q916" t="s">
        <v>36</v>
      </c>
      <c r="R916" t="str" cm="1">
        <f t="array" ref="R916">_xlfn.IFS(Q916="Y","Yes", Q916="Yes","Yes", Q916="N","No", Q916="No","No", Q916=1,"N/A", Q916=0,"N/A", TRUE,"")</f>
        <v>Yes</v>
      </c>
      <c r="S916">
        <f t="shared" si="118"/>
        <v>9</v>
      </c>
      <c r="T916">
        <f t="shared" si="119"/>
        <v>1</v>
      </c>
      <c r="U916" t="str" cm="1">
        <f t="array" ref="U916">_xlfn.IFS(D916&lt;40,"Young Adult",AND(D916&gt;=40,D916&lt;65),"Middle Aged", D916&gt;=65,"Elderly")</f>
        <v>Young Adult</v>
      </c>
    </row>
    <row r="917" spans="1:21" x14ac:dyDescent="0.2">
      <c r="A917">
        <v>1066</v>
      </c>
      <c r="B917">
        <f t="shared" si="112"/>
        <v>916</v>
      </c>
      <c r="C917" t="s">
        <v>1998</v>
      </c>
      <c r="D917">
        <v>37</v>
      </c>
      <c r="E917" t="s">
        <v>38</v>
      </c>
      <c r="F917" t="str">
        <f t="shared" si="113"/>
        <v>Female</v>
      </c>
      <c r="G917" s="1">
        <v>45802</v>
      </c>
      <c r="H917" s="1">
        <v>45577</v>
      </c>
      <c r="I917" t="s">
        <v>2696</v>
      </c>
      <c r="J917" t="str">
        <f t="shared" si="114"/>
        <v>Justin Hall</v>
      </c>
      <c r="K917" t="s">
        <v>28</v>
      </c>
      <c r="L917" t="str">
        <f t="shared" si="115"/>
        <v>General</v>
      </c>
      <c r="M917" t="s">
        <v>2697</v>
      </c>
      <c r="N917" t="str">
        <f t="shared" si="116"/>
        <v>EUR</v>
      </c>
      <c r="O917">
        <f t="shared" si="117"/>
        <v>470.63</v>
      </c>
      <c r="P917" cm="1">
        <f t="array" ref="P917">_xlfn.IFS(N917="USD",O917*1,N917="GBP",O917*1.27,N917="EUR",O917*1.09,N917="INR",O917*0.012,N917="N/A","N/A")</f>
        <v>512.98670000000004</v>
      </c>
      <c r="Q917" t="s">
        <v>20</v>
      </c>
      <c r="R917" t="str" cm="1">
        <f t="array" ref="R917">_xlfn.IFS(Q917="Y","Yes", Q917="Yes","Yes", Q917="N","No", Q917="No","No", Q917=1,"N/A", Q917=0,"N/A", TRUE,"")</f>
        <v>Yes</v>
      </c>
      <c r="S917">
        <f t="shared" si="118"/>
        <v>11</v>
      </c>
      <c r="T917">
        <f t="shared" si="119"/>
        <v>1</v>
      </c>
      <c r="U917" t="str" cm="1">
        <f t="array" ref="U917">_xlfn.IFS(D917&lt;40,"Young Adult",AND(D917&gt;=40,D917&lt;65),"Middle Aged", D917&gt;=65,"Elderly")</f>
        <v>Young Adult</v>
      </c>
    </row>
    <row r="918" spans="1:21" x14ac:dyDescent="0.2">
      <c r="A918">
        <v>1071</v>
      </c>
      <c r="B918">
        <f t="shared" si="112"/>
        <v>917</v>
      </c>
      <c r="C918" t="s">
        <v>2698</v>
      </c>
      <c r="D918">
        <v>74</v>
      </c>
      <c r="E918" t="s">
        <v>22</v>
      </c>
      <c r="F918" t="str">
        <f t="shared" si="113"/>
        <v>Male</v>
      </c>
      <c r="G918" s="1">
        <v>45892</v>
      </c>
      <c r="H918" s="1">
        <v>45559</v>
      </c>
      <c r="I918" t="s">
        <v>2699</v>
      </c>
      <c r="J918" t="str">
        <f t="shared" si="114"/>
        <v>Charles Kemp</v>
      </c>
      <c r="K918" t="s">
        <v>13</v>
      </c>
      <c r="L918" t="str">
        <f t="shared" si="115"/>
        <v>Cardiology</v>
      </c>
      <c r="M918" t="s">
        <v>2700</v>
      </c>
      <c r="N918" t="str">
        <f t="shared" si="116"/>
        <v>USD</v>
      </c>
      <c r="O918">
        <f t="shared" si="117"/>
        <v>153.44</v>
      </c>
      <c r="P918" cm="1">
        <f t="array" ref="P918">_xlfn.IFS(N918="USD",O918*1,N918="GBP",O918*1.27,N918="EUR",O918*1.09,N918="INR",O918*0.012,N918="N/A","N/A")</f>
        <v>153.44</v>
      </c>
      <c r="Q918" t="s">
        <v>60</v>
      </c>
      <c r="R918" t="str" cm="1">
        <f t="array" ref="R918">_xlfn.IFS(Q918="Y","Yes", Q918="Yes","Yes", Q918="N","No", Q918="No","No", Q918=1,"N/A", Q918=0,"N/A", TRUE,"")</f>
        <v>No</v>
      </c>
      <c r="S918">
        <f t="shared" si="118"/>
        <v>10</v>
      </c>
      <c r="T918">
        <f t="shared" si="119"/>
        <v>1</v>
      </c>
      <c r="U918" t="str" cm="1">
        <f t="array" ref="U918">_xlfn.IFS(D918&lt;40,"Young Adult",AND(D918&gt;=40,D918&lt;65),"Middle Aged", D918&gt;=65,"Elderly")</f>
        <v>Elderly</v>
      </c>
    </row>
    <row r="919" spans="1:21" x14ac:dyDescent="0.2">
      <c r="A919">
        <v>1094</v>
      </c>
      <c r="B919">
        <f t="shared" si="112"/>
        <v>918</v>
      </c>
      <c r="C919" t="s">
        <v>2701</v>
      </c>
      <c r="D919">
        <v>60</v>
      </c>
      <c r="E919" t="s">
        <v>2937</v>
      </c>
      <c r="F919" t="str">
        <f t="shared" si="113"/>
        <v>N/A</v>
      </c>
      <c r="G919" s="1">
        <v>46017</v>
      </c>
      <c r="H919" s="1">
        <v>45434</v>
      </c>
      <c r="I919" t="s">
        <v>2702</v>
      </c>
      <c r="J919" t="str">
        <f t="shared" si="114"/>
        <v>Melissa Price</v>
      </c>
      <c r="K919" t="s">
        <v>28</v>
      </c>
      <c r="L919" t="str">
        <f t="shared" si="115"/>
        <v>General</v>
      </c>
      <c r="M919" t="s">
        <v>2703</v>
      </c>
      <c r="N919" t="str">
        <f t="shared" si="116"/>
        <v>EUR</v>
      </c>
      <c r="O919">
        <f t="shared" si="117"/>
        <v>416.08</v>
      </c>
      <c r="P919" cm="1">
        <f t="array" ref="P919">_xlfn.IFS(N919="USD",O919*1,N919="GBP",O919*1.27,N919="EUR",O919*1.09,N919="INR",O919*0.012,N919="N/A","N/A")</f>
        <v>453.52719999999999</v>
      </c>
      <c r="Q919">
        <v>0</v>
      </c>
      <c r="R919" t="str" cm="1">
        <f t="array" ref="R919">_xlfn.IFS(Q919="Y","Yes", Q919="Yes","Yes", Q919="N","No", Q919="No","No", Q919=1,"N/A", Q919=0,"N/A", TRUE,"")</f>
        <v>N/A</v>
      </c>
      <c r="S919">
        <f t="shared" si="118"/>
        <v>8</v>
      </c>
      <c r="T919">
        <f t="shared" si="119"/>
        <v>1</v>
      </c>
      <c r="U919" t="str" cm="1">
        <f t="array" ref="U919">_xlfn.IFS(D919&lt;40,"Young Adult",AND(D919&gt;=40,D919&lt;65),"Middle Aged", D919&gt;=65,"Elderly")</f>
        <v>Middle Aged</v>
      </c>
    </row>
    <row r="920" spans="1:21" x14ac:dyDescent="0.2">
      <c r="A920">
        <v>1075</v>
      </c>
      <c r="B920">
        <f t="shared" si="112"/>
        <v>919</v>
      </c>
      <c r="C920" t="s">
        <v>2704</v>
      </c>
      <c r="D920">
        <v>43</v>
      </c>
      <c r="E920" t="s">
        <v>2937</v>
      </c>
      <c r="F920" t="str">
        <f t="shared" si="113"/>
        <v>N/A</v>
      </c>
      <c r="G920" s="1">
        <v>46005</v>
      </c>
      <c r="H920" s="1">
        <v>45716</v>
      </c>
      <c r="I920" t="s">
        <v>2705</v>
      </c>
      <c r="J920" t="str">
        <f t="shared" si="114"/>
        <v>Tony Burke</v>
      </c>
      <c r="K920" t="s">
        <v>24</v>
      </c>
      <c r="L920" t="str">
        <f t="shared" si="115"/>
        <v>Neurology</v>
      </c>
      <c r="M920" t="s">
        <v>2706</v>
      </c>
      <c r="N920" t="str">
        <f t="shared" si="116"/>
        <v>EUR</v>
      </c>
      <c r="O920">
        <f t="shared" si="117"/>
        <v>458.79</v>
      </c>
      <c r="P920" cm="1">
        <f t="array" ref="P920">_xlfn.IFS(N920="USD",O920*1,N920="GBP",O920*1.27,N920="EUR",O920*1.09,N920="INR",O920*0.012,N920="N/A","N/A")</f>
        <v>500.08110000000005</v>
      </c>
      <c r="Q920" t="s">
        <v>36</v>
      </c>
      <c r="R920" t="str" cm="1">
        <f t="array" ref="R920">_xlfn.IFS(Q920="Y","Yes", Q920="Yes","Yes", Q920="N","No", Q920="No","No", Q920=1,"N/A", Q920=0,"N/A", TRUE,"")</f>
        <v>Yes</v>
      </c>
      <c r="S920">
        <f t="shared" si="118"/>
        <v>11</v>
      </c>
      <c r="T920">
        <f t="shared" si="119"/>
        <v>1</v>
      </c>
      <c r="U920" t="str" cm="1">
        <f t="array" ref="U920">_xlfn.IFS(D920&lt;40,"Young Adult",AND(D920&gt;=40,D920&lt;65),"Middle Aged", D920&gt;=65,"Elderly")</f>
        <v>Middle Aged</v>
      </c>
    </row>
    <row r="921" spans="1:21" x14ac:dyDescent="0.2">
      <c r="A921">
        <v>1077</v>
      </c>
      <c r="B921">
        <f t="shared" si="112"/>
        <v>920</v>
      </c>
      <c r="C921" t="s">
        <v>2707</v>
      </c>
      <c r="D921">
        <v>30</v>
      </c>
      <c r="E921" t="s">
        <v>51</v>
      </c>
      <c r="F921" t="str">
        <f t="shared" si="113"/>
        <v>Male</v>
      </c>
      <c r="G921" s="1">
        <v>45806</v>
      </c>
      <c r="H921" s="1">
        <v>45683</v>
      </c>
      <c r="I921" t="s">
        <v>2708</v>
      </c>
      <c r="J921" t="str">
        <f t="shared" si="114"/>
        <v>Gary Murray</v>
      </c>
      <c r="K921" t="s">
        <v>18</v>
      </c>
      <c r="L921" t="str">
        <f t="shared" si="115"/>
        <v>Orthopedics</v>
      </c>
      <c r="M921" t="s">
        <v>2709</v>
      </c>
      <c r="N921" t="str">
        <f t="shared" si="116"/>
        <v>USD</v>
      </c>
      <c r="O921">
        <f t="shared" si="117"/>
        <v>125.8</v>
      </c>
      <c r="P921" cm="1">
        <f t="array" ref="P921">_xlfn.IFS(N921="USD",O921*1,N921="GBP",O921*1.27,N921="EUR",O921*1.09,N921="INR",O921*0.012,N921="N/A","N/A")</f>
        <v>125.8</v>
      </c>
      <c r="Q921">
        <v>0</v>
      </c>
      <c r="R921" t="str" cm="1">
        <f t="array" ref="R921">_xlfn.IFS(Q921="Y","Yes", Q921="Yes","Yes", Q921="N","No", Q921="No","No", Q921=1,"N/A", Q921=0,"N/A", TRUE,"")</f>
        <v>N/A</v>
      </c>
      <c r="S921">
        <f t="shared" si="118"/>
        <v>10</v>
      </c>
      <c r="T921">
        <f t="shared" si="119"/>
        <v>1</v>
      </c>
      <c r="U921" t="str" cm="1">
        <f t="array" ref="U921">_xlfn.IFS(D921&lt;40,"Young Adult",AND(D921&gt;=40,D921&lt;65),"Middle Aged", D921&gt;=65,"Elderly")</f>
        <v>Young Adult</v>
      </c>
    </row>
    <row r="922" spans="1:21" x14ac:dyDescent="0.2">
      <c r="A922">
        <v>1044</v>
      </c>
      <c r="B922">
        <f t="shared" si="112"/>
        <v>921</v>
      </c>
      <c r="C922" t="s">
        <v>2710</v>
      </c>
      <c r="D922">
        <v>43</v>
      </c>
      <c r="E922" t="s">
        <v>51</v>
      </c>
      <c r="F922" t="str">
        <f t="shared" si="113"/>
        <v>Male</v>
      </c>
      <c r="G922" s="1">
        <v>45749</v>
      </c>
      <c r="H922" s="1">
        <v>45481</v>
      </c>
      <c r="I922" t="s">
        <v>2711</v>
      </c>
      <c r="J922" t="str">
        <f t="shared" si="114"/>
        <v>Donald Mitchell</v>
      </c>
      <c r="K922" t="s">
        <v>28</v>
      </c>
      <c r="L922" t="str">
        <f t="shared" si="115"/>
        <v>General</v>
      </c>
      <c r="M922" t="s">
        <v>2712</v>
      </c>
      <c r="N922" t="str">
        <f t="shared" si="116"/>
        <v>INR</v>
      </c>
      <c r="O922">
        <f t="shared" si="117"/>
        <v>352.94</v>
      </c>
      <c r="P922" cm="1">
        <f t="array" ref="P922">_xlfn.IFS(N922="USD",O922*1,N922="GBP",O922*1.27,N922="EUR",O922*1.09,N922="INR",O922*0.012,N922="N/A","N/A")</f>
        <v>4.2352800000000004</v>
      </c>
      <c r="Q922">
        <v>0</v>
      </c>
      <c r="R922" t="str" cm="1">
        <f t="array" ref="R922">_xlfn.IFS(Q922="Y","Yes", Q922="Yes","Yes", Q922="N","No", Q922="No","No", Q922=1,"N/A", Q922=0,"N/A", TRUE,"")</f>
        <v>N/A</v>
      </c>
      <c r="S922">
        <f t="shared" si="118"/>
        <v>12</v>
      </c>
      <c r="T922">
        <f t="shared" si="119"/>
        <v>1</v>
      </c>
      <c r="U922" t="str" cm="1">
        <f t="array" ref="U922">_xlfn.IFS(D922&lt;40,"Young Adult",AND(D922&gt;=40,D922&lt;65),"Middle Aged", D922&gt;=65,"Elderly")</f>
        <v>Middle Aged</v>
      </c>
    </row>
    <row r="923" spans="1:21" x14ac:dyDescent="0.2">
      <c r="A923">
        <v>1084</v>
      </c>
      <c r="B923">
        <f t="shared" si="112"/>
        <v>922</v>
      </c>
      <c r="C923" t="s">
        <v>2713</v>
      </c>
      <c r="D923">
        <v>68</v>
      </c>
      <c r="E923" t="s">
        <v>71</v>
      </c>
      <c r="F923" t="str">
        <f t="shared" si="113"/>
        <v>Male</v>
      </c>
      <c r="G923" s="1">
        <v>45860</v>
      </c>
      <c r="H923" s="1">
        <v>45836</v>
      </c>
      <c r="I923" t="s">
        <v>2714</v>
      </c>
      <c r="J923" t="str">
        <f t="shared" si="114"/>
        <v>Kevin Mendoza Dvm</v>
      </c>
      <c r="K923" t="s">
        <v>28</v>
      </c>
      <c r="L923" t="str">
        <f t="shared" si="115"/>
        <v>General</v>
      </c>
      <c r="M923" t="s">
        <v>2715</v>
      </c>
      <c r="N923" t="str">
        <f t="shared" si="116"/>
        <v>EUR</v>
      </c>
      <c r="O923">
        <f t="shared" si="117"/>
        <v>111.4</v>
      </c>
      <c r="P923" cm="1">
        <f t="array" ref="P923">_xlfn.IFS(N923="USD",O923*1,N923="GBP",O923*1.27,N923="EUR",O923*1.09,N923="INR",O923*0.012,N923="N/A","N/A")</f>
        <v>121.42600000000002</v>
      </c>
      <c r="Q923">
        <v>0</v>
      </c>
      <c r="R923" t="str" cm="1">
        <f t="array" ref="R923">_xlfn.IFS(Q923="Y","Yes", Q923="Yes","Yes", Q923="N","No", Q923="No","No", Q923=1,"N/A", Q923=0,"N/A", TRUE,"")</f>
        <v>N/A</v>
      </c>
      <c r="S923">
        <f t="shared" si="118"/>
        <v>15</v>
      </c>
      <c r="T923">
        <f t="shared" si="119"/>
        <v>1</v>
      </c>
      <c r="U923" t="str" cm="1">
        <f t="array" ref="U923">_xlfn.IFS(D923&lt;40,"Young Adult",AND(D923&gt;=40,D923&lt;65),"Middle Aged", D923&gt;=65,"Elderly")</f>
        <v>Elderly</v>
      </c>
    </row>
    <row r="924" spans="1:21" x14ac:dyDescent="0.2">
      <c r="A924">
        <v>1060</v>
      </c>
      <c r="B924">
        <f t="shared" si="112"/>
        <v>923</v>
      </c>
      <c r="C924" t="s">
        <v>2716</v>
      </c>
      <c r="D924">
        <v>85</v>
      </c>
      <c r="E924" t="s">
        <v>38</v>
      </c>
      <c r="F924" t="str">
        <f t="shared" si="113"/>
        <v>Female</v>
      </c>
      <c r="G924" s="1">
        <v>45919</v>
      </c>
      <c r="H924" s="1">
        <v>45916</v>
      </c>
      <c r="I924" t="s">
        <v>2717</v>
      </c>
      <c r="J924" t="str">
        <f t="shared" si="114"/>
        <v>Carla Cole</v>
      </c>
      <c r="K924" t="s">
        <v>13</v>
      </c>
      <c r="L924" t="str">
        <f t="shared" si="115"/>
        <v>Cardiology</v>
      </c>
      <c r="M924" t="s">
        <v>2718</v>
      </c>
      <c r="N924" t="str">
        <f t="shared" si="116"/>
        <v>EUR</v>
      </c>
      <c r="O924">
        <f t="shared" si="117"/>
        <v>161.54</v>
      </c>
      <c r="P924" cm="1">
        <f t="array" ref="P924">_xlfn.IFS(N924="USD",O924*1,N924="GBP",O924*1.27,N924="EUR",O924*1.09,N924="INR",O924*0.012,N924="N/A","N/A")</f>
        <v>176.07859999999999</v>
      </c>
      <c r="Q924" t="s">
        <v>20</v>
      </c>
      <c r="R924" t="str" cm="1">
        <f t="array" ref="R924">_xlfn.IFS(Q924="Y","Yes", Q924="Yes","Yes", Q924="N","No", Q924="No","No", Q924=1,"N/A", Q924=0,"N/A", TRUE,"")</f>
        <v>Yes</v>
      </c>
      <c r="S924">
        <f t="shared" si="118"/>
        <v>6</v>
      </c>
      <c r="T924">
        <f t="shared" si="119"/>
        <v>1</v>
      </c>
      <c r="U924" t="str" cm="1">
        <f t="array" ref="U924">_xlfn.IFS(D924&lt;40,"Young Adult",AND(D924&gt;=40,D924&lt;65),"Middle Aged", D924&gt;=65,"Elderly")</f>
        <v>Elderly</v>
      </c>
    </row>
    <row r="925" spans="1:21" x14ac:dyDescent="0.2">
      <c r="A925">
        <v>1055</v>
      </c>
      <c r="B925">
        <f t="shared" si="112"/>
        <v>924</v>
      </c>
      <c r="C925" t="s">
        <v>2719</v>
      </c>
      <c r="D925">
        <v>69</v>
      </c>
      <c r="E925" t="s">
        <v>71</v>
      </c>
      <c r="F925" t="str">
        <f t="shared" si="113"/>
        <v>Male</v>
      </c>
      <c r="G925" s="1">
        <v>45747</v>
      </c>
      <c r="H925" s="1">
        <v>45601</v>
      </c>
      <c r="I925" t="s">
        <v>2720</v>
      </c>
      <c r="J925" t="str">
        <f t="shared" si="114"/>
        <v>Gary Wood</v>
      </c>
      <c r="K925" t="s">
        <v>18</v>
      </c>
      <c r="L925" t="str">
        <f t="shared" si="115"/>
        <v>Orthopedics</v>
      </c>
      <c r="M925" t="s">
        <v>2721</v>
      </c>
      <c r="N925" t="str">
        <f t="shared" si="116"/>
        <v>INR</v>
      </c>
      <c r="O925">
        <f t="shared" si="117"/>
        <v>479.37</v>
      </c>
      <c r="P925" cm="1">
        <f t="array" ref="P925">_xlfn.IFS(N925="USD",O925*1,N925="GBP",O925*1.27,N925="EUR",O925*1.09,N925="INR",O925*0.012,N925="N/A","N/A")</f>
        <v>5.75244</v>
      </c>
      <c r="Q925" t="s">
        <v>36</v>
      </c>
      <c r="R925" t="str" cm="1">
        <f t="array" ref="R925">_xlfn.IFS(Q925="Y","Yes", Q925="Yes","Yes", Q925="N","No", Q925="No","No", Q925=1,"N/A", Q925=0,"N/A", TRUE,"")</f>
        <v>Yes</v>
      </c>
      <c r="S925">
        <f t="shared" si="118"/>
        <v>5</v>
      </c>
      <c r="T925">
        <f t="shared" si="119"/>
        <v>1</v>
      </c>
      <c r="U925" t="str" cm="1">
        <f t="array" ref="U925">_xlfn.IFS(D925&lt;40,"Young Adult",AND(D925&gt;=40,D925&lt;65),"Middle Aged", D925&gt;=65,"Elderly")</f>
        <v>Elderly</v>
      </c>
    </row>
    <row r="926" spans="1:21" x14ac:dyDescent="0.2">
      <c r="A926">
        <v>1046</v>
      </c>
      <c r="B926">
        <f t="shared" si="112"/>
        <v>925</v>
      </c>
      <c r="C926" t="s">
        <v>2722</v>
      </c>
      <c r="D926">
        <v>29</v>
      </c>
      <c r="E926" t="s">
        <v>2937</v>
      </c>
      <c r="F926" t="str">
        <f t="shared" si="113"/>
        <v>N/A</v>
      </c>
      <c r="G926" s="1">
        <v>45754</v>
      </c>
      <c r="H926" s="1">
        <v>45445</v>
      </c>
      <c r="I926" t="s">
        <v>2723</v>
      </c>
      <c r="J926" t="str">
        <f t="shared" si="114"/>
        <v>Rachel Holloway</v>
      </c>
      <c r="K926" t="s">
        <v>13</v>
      </c>
      <c r="L926" t="str">
        <f t="shared" si="115"/>
        <v>Cardiology</v>
      </c>
      <c r="M926" t="s">
        <v>2724</v>
      </c>
      <c r="N926" t="str">
        <f t="shared" si="116"/>
        <v>USD</v>
      </c>
      <c r="O926">
        <f t="shared" si="117"/>
        <v>306.94</v>
      </c>
      <c r="P926" cm="1">
        <f t="array" ref="P926">_xlfn.IFS(N926="USD",O926*1,N926="GBP",O926*1.27,N926="EUR",O926*1.09,N926="INR",O926*0.012,N926="N/A","N/A")</f>
        <v>306.94</v>
      </c>
      <c r="Q926">
        <v>1</v>
      </c>
      <c r="R926" t="str" cm="1">
        <f t="array" ref="R926">_xlfn.IFS(Q926="Y","Yes", Q926="Yes","Yes", Q926="N","No", Q926="No","No", Q926=1,"N/A", Q926=0,"N/A", TRUE,"")</f>
        <v>N/A</v>
      </c>
      <c r="S926">
        <f t="shared" si="118"/>
        <v>8</v>
      </c>
      <c r="T926">
        <f t="shared" si="119"/>
        <v>1</v>
      </c>
      <c r="U926" t="str" cm="1">
        <f t="array" ref="U926">_xlfn.IFS(D926&lt;40,"Young Adult",AND(D926&gt;=40,D926&lt;65),"Middle Aged", D926&gt;=65,"Elderly")</f>
        <v>Young Adult</v>
      </c>
    </row>
    <row r="927" spans="1:21" x14ac:dyDescent="0.2">
      <c r="A927">
        <v>1087</v>
      </c>
      <c r="B927">
        <f t="shared" si="112"/>
        <v>926</v>
      </c>
      <c r="C927" t="s">
        <v>2725</v>
      </c>
      <c r="D927">
        <v>31</v>
      </c>
      <c r="E927" t="s">
        <v>2937</v>
      </c>
      <c r="F927" t="str">
        <f t="shared" si="113"/>
        <v>N/A</v>
      </c>
      <c r="G927" s="1">
        <v>45808</v>
      </c>
      <c r="H927" s="1">
        <v>45801</v>
      </c>
      <c r="I927" t="s">
        <v>2019</v>
      </c>
      <c r="J927" t="str">
        <f t="shared" si="114"/>
        <v>Bradley Jones</v>
      </c>
      <c r="K927" t="s">
        <v>13</v>
      </c>
      <c r="L927" t="str">
        <f t="shared" si="115"/>
        <v>Cardiology</v>
      </c>
      <c r="M927" t="s">
        <v>2726</v>
      </c>
      <c r="N927" t="str">
        <f t="shared" si="116"/>
        <v>EUR</v>
      </c>
      <c r="O927">
        <f t="shared" si="117"/>
        <v>194.95</v>
      </c>
      <c r="P927" cm="1">
        <f t="array" ref="P927">_xlfn.IFS(N927="USD",O927*1,N927="GBP",O927*1.27,N927="EUR",O927*1.09,N927="INR",O927*0.012,N927="N/A","N/A")</f>
        <v>212.49549999999999</v>
      </c>
      <c r="Q927" t="s">
        <v>36</v>
      </c>
      <c r="R927" t="str" cm="1">
        <f t="array" ref="R927">_xlfn.IFS(Q927="Y","Yes", Q927="Yes","Yes", Q927="N","No", Q927="No","No", Q927=1,"N/A", Q927=0,"N/A", TRUE,"")</f>
        <v>Yes</v>
      </c>
      <c r="S927">
        <f t="shared" si="118"/>
        <v>8</v>
      </c>
      <c r="T927">
        <f t="shared" si="119"/>
        <v>1</v>
      </c>
      <c r="U927" t="str" cm="1">
        <f t="array" ref="U927">_xlfn.IFS(D927&lt;40,"Young Adult",AND(D927&gt;=40,D927&lt;65),"Middle Aged", D927&gt;=65,"Elderly")</f>
        <v>Young Adult</v>
      </c>
    </row>
    <row r="928" spans="1:21" x14ac:dyDescent="0.2">
      <c r="A928">
        <v>1020</v>
      </c>
      <c r="B928">
        <f t="shared" si="112"/>
        <v>927</v>
      </c>
      <c r="C928" t="s">
        <v>2727</v>
      </c>
      <c r="D928">
        <v>56</v>
      </c>
      <c r="E928" t="s">
        <v>22</v>
      </c>
      <c r="F928" t="str">
        <f t="shared" si="113"/>
        <v>Male</v>
      </c>
      <c r="G928" s="1">
        <v>45767</v>
      </c>
      <c r="H928" s="1">
        <v>45633</v>
      </c>
      <c r="I928" t="s">
        <v>2728</v>
      </c>
      <c r="J928" t="str">
        <f t="shared" si="114"/>
        <v>Christina Simmons</v>
      </c>
      <c r="K928" t="s">
        <v>24</v>
      </c>
      <c r="L928" t="str">
        <f t="shared" si="115"/>
        <v>Neurology</v>
      </c>
      <c r="M928" t="s">
        <v>2729</v>
      </c>
      <c r="N928" t="str">
        <f t="shared" si="116"/>
        <v>EUR</v>
      </c>
      <c r="O928">
        <f t="shared" si="117"/>
        <v>91.05</v>
      </c>
      <c r="P928" cm="1">
        <f t="array" ref="P928">_xlfn.IFS(N928="USD",O928*1,N928="GBP",O928*1.27,N928="EUR",O928*1.09,N928="INR",O928*0.012,N928="N/A","N/A")</f>
        <v>99.244500000000002</v>
      </c>
      <c r="Q928" t="s">
        <v>20</v>
      </c>
      <c r="R928" t="str" cm="1">
        <f t="array" ref="R928">_xlfn.IFS(Q928="Y","Yes", Q928="Yes","Yes", Q928="N","No", Q928="No","No", Q928=1,"N/A", Q928=0,"N/A", TRUE,"")</f>
        <v>Yes</v>
      </c>
      <c r="S928">
        <f t="shared" si="118"/>
        <v>10</v>
      </c>
      <c r="T928">
        <f t="shared" si="119"/>
        <v>1</v>
      </c>
      <c r="U928" t="str" cm="1">
        <f t="array" ref="U928">_xlfn.IFS(D928&lt;40,"Young Adult",AND(D928&gt;=40,D928&lt;65),"Middle Aged", D928&gt;=65,"Elderly")</f>
        <v>Middle Aged</v>
      </c>
    </row>
    <row r="929" spans="1:21" x14ac:dyDescent="0.2">
      <c r="A929">
        <v>1047</v>
      </c>
      <c r="B929">
        <f t="shared" si="112"/>
        <v>928</v>
      </c>
      <c r="C929" t="s">
        <v>2730</v>
      </c>
      <c r="D929">
        <v>63</v>
      </c>
      <c r="E929" t="s">
        <v>16</v>
      </c>
      <c r="F929" t="str">
        <f t="shared" si="113"/>
        <v>Female</v>
      </c>
      <c r="G929" s="1">
        <v>45768</v>
      </c>
      <c r="H929" s="1">
        <v>45722</v>
      </c>
      <c r="I929" t="s">
        <v>2731</v>
      </c>
      <c r="J929" t="str">
        <f t="shared" si="114"/>
        <v>Becky Sanchez</v>
      </c>
      <c r="K929" t="s">
        <v>24</v>
      </c>
      <c r="L929" t="str">
        <f t="shared" si="115"/>
        <v>Neurology</v>
      </c>
      <c r="M929" t="s">
        <v>2732</v>
      </c>
      <c r="N929" t="str">
        <f t="shared" si="116"/>
        <v>EUR</v>
      </c>
      <c r="O929">
        <f t="shared" si="117"/>
        <v>290.36</v>
      </c>
      <c r="P929" cm="1">
        <f t="array" ref="P929">_xlfn.IFS(N929="USD",O929*1,N929="GBP",O929*1.27,N929="EUR",O929*1.09,N929="INR",O929*0.012,N929="N/A","N/A")</f>
        <v>316.49240000000003</v>
      </c>
      <c r="Q929" t="s">
        <v>30</v>
      </c>
      <c r="R929" t="str" cm="1">
        <f t="array" ref="R929">_xlfn.IFS(Q929="Y","Yes", Q929="Yes","Yes", Q929="N","No", Q929="No","No", Q929=1,"N/A", Q929=0,"N/A", TRUE,"")</f>
        <v>No</v>
      </c>
      <c r="S929">
        <f t="shared" si="118"/>
        <v>17</v>
      </c>
      <c r="T929">
        <f t="shared" si="119"/>
        <v>1</v>
      </c>
      <c r="U929" t="str" cm="1">
        <f t="array" ref="U929">_xlfn.IFS(D929&lt;40,"Young Adult",AND(D929&gt;=40,D929&lt;65),"Middle Aged", D929&gt;=65,"Elderly")</f>
        <v>Middle Aged</v>
      </c>
    </row>
    <row r="930" spans="1:21" x14ac:dyDescent="0.2">
      <c r="A930">
        <v>1053</v>
      </c>
      <c r="B930">
        <f t="shared" si="112"/>
        <v>929</v>
      </c>
      <c r="C930" t="s">
        <v>2733</v>
      </c>
      <c r="D930">
        <v>86</v>
      </c>
      <c r="E930" t="s">
        <v>2937</v>
      </c>
      <c r="F930" t="str">
        <f t="shared" si="113"/>
        <v>N/A</v>
      </c>
      <c r="G930" s="1">
        <v>45943</v>
      </c>
      <c r="H930" s="1">
        <v>45516</v>
      </c>
      <c r="I930" t="s">
        <v>2734</v>
      </c>
      <c r="J930" t="str">
        <f t="shared" si="114"/>
        <v>Kimberly Sullivan</v>
      </c>
      <c r="K930" t="s">
        <v>28</v>
      </c>
      <c r="L930" t="str">
        <f t="shared" si="115"/>
        <v>General</v>
      </c>
      <c r="M930" t="s">
        <v>2735</v>
      </c>
      <c r="N930" t="str">
        <f t="shared" si="116"/>
        <v>USD</v>
      </c>
      <c r="O930">
        <f t="shared" si="117"/>
        <v>85.53</v>
      </c>
      <c r="P930" cm="1">
        <f t="array" ref="P930">_xlfn.IFS(N930="USD",O930*1,N930="GBP",O930*1.27,N930="EUR",O930*1.09,N930="INR",O930*0.012,N930="N/A","N/A")</f>
        <v>85.53</v>
      </c>
      <c r="Q930">
        <v>1</v>
      </c>
      <c r="R930" t="str" cm="1">
        <f t="array" ref="R930">_xlfn.IFS(Q930="Y","Yes", Q930="Yes","Yes", Q930="N","No", Q930="No","No", Q930=1,"N/A", Q930=0,"N/A", TRUE,"")</f>
        <v>N/A</v>
      </c>
      <c r="S930">
        <f t="shared" si="118"/>
        <v>14</v>
      </c>
      <c r="T930">
        <f t="shared" si="119"/>
        <v>1</v>
      </c>
      <c r="U930" t="str" cm="1">
        <f t="array" ref="U930">_xlfn.IFS(D930&lt;40,"Young Adult",AND(D930&gt;=40,D930&lt;65),"Middle Aged", D930&gt;=65,"Elderly")</f>
        <v>Elderly</v>
      </c>
    </row>
    <row r="931" spans="1:21" x14ac:dyDescent="0.2">
      <c r="A931">
        <v>1031</v>
      </c>
      <c r="B931">
        <f t="shared" si="112"/>
        <v>930</v>
      </c>
      <c r="C931" t="s">
        <v>2736</v>
      </c>
      <c r="D931">
        <v>31</v>
      </c>
      <c r="E931" t="s">
        <v>2937</v>
      </c>
      <c r="F931" t="str">
        <f t="shared" si="113"/>
        <v>N/A</v>
      </c>
      <c r="G931" s="1">
        <v>46098</v>
      </c>
      <c r="H931" s="1">
        <v>45871</v>
      </c>
      <c r="I931" t="s">
        <v>1784</v>
      </c>
      <c r="J931" t="str">
        <f t="shared" si="114"/>
        <v>Robert Williams</v>
      </c>
      <c r="K931" t="s">
        <v>13</v>
      </c>
      <c r="L931" t="str">
        <f t="shared" si="115"/>
        <v>Cardiology</v>
      </c>
      <c r="M931" t="s">
        <v>2737</v>
      </c>
      <c r="N931" t="str">
        <f t="shared" si="116"/>
        <v>EUR</v>
      </c>
      <c r="O931">
        <f t="shared" si="117"/>
        <v>419.74</v>
      </c>
      <c r="P931" cm="1">
        <f t="array" ref="P931">_xlfn.IFS(N931="USD",O931*1,N931="GBP",O931*1.27,N931="EUR",O931*1.09,N931="INR",O931*0.012,N931="N/A","N/A")</f>
        <v>457.51660000000004</v>
      </c>
      <c r="Q931" t="s">
        <v>36</v>
      </c>
      <c r="R931" t="str" cm="1">
        <f t="array" ref="R931">_xlfn.IFS(Q931="Y","Yes", Q931="Yes","Yes", Q931="N","No", Q931="No","No", Q931=1,"N/A", Q931=0,"N/A", TRUE,"")</f>
        <v>Yes</v>
      </c>
      <c r="S931">
        <f t="shared" si="118"/>
        <v>13</v>
      </c>
      <c r="T931">
        <f t="shared" si="119"/>
        <v>1</v>
      </c>
      <c r="U931" t="str" cm="1">
        <f t="array" ref="U931">_xlfn.IFS(D931&lt;40,"Young Adult",AND(D931&gt;=40,D931&lt;65),"Middle Aged", D931&gt;=65,"Elderly")</f>
        <v>Young Adult</v>
      </c>
    </row>
    <row r="932" spans="1:21" x14ac:dyDescent="0.2">
      <c r="A932">
        <v>1041</v>
      </c>
      <c r="B932">
        <f t="shared" si="112"/>
        <v>931</v>
      </c>
      <c r="C932" t="s">
        <v>2738</v>
      </c>
      <c r="D932">
        <v>81</v>
      </c>
      <c r="E932" t="s">
        <v>71</v>
      </c>
      <c r="F932" t="str">
        <f t="shared" si="113"/>
        <v>Male</v>
      </c>
      <c r="G932" s="1">
        <v>45926</v>
      </c>
      <c r="H932" s="1">
        <v>45689</v>
      </c>
      <c r="I932" t="s">
        <v>2739</v>
      </c>
      <c r="J932" t="str">
        <f t="shared" si="114"/>
        <v>Nathan Mathews</v>
      </c>
      <c r="K932" t="s">
        <v>18</v>
      </c>
      <c r="L932" t="str">
        <f t="shared" si="115"/>
        <v>Orthopedics</v>
      </c>
      <c r="N932" t="str">
        <f t="shared" si="116"/>
        <v>N/A</v>
      </c>
      <c r="O932" t="str">
        <f t="shared" si="117"/>
        <v/>
      </c>
      <c r="P932" t="str" cm="1">
        <f t="array" ref="P932">_xlfn.IFS(N932="USD",O932*1,N932="GBP",O932*1.27,N932="EUR",O932*1.09,N932="INR",O932*0.012,N932="N/A","N/A")</f>
        <v>N/A</v>
      </c>
      <c r="Q932">
        <v>0</v>
      </c>
      <c r="R932" t="str" cm="1">
        <f t="array" ref="R932">_xlfn.IFS(Q932="Y","Yes", Q932="Yes","Yes", Q932="N","No", Q932="No","No", Q932=1,"N/A", Q932=0,"N/A", TRUE,"")</f>
        <v>N/A</v>
      </c>
      <c r="S932">
        <f t="shared" si="118"/>
        <v>8</v>
      </c>
      <c r="T932">
        <f t="shared" si="119"/>
        <v>1</v>
      </c>
      <c r="U932" t="str" cm="1">
        <f t="array" ref="U932">_xlfn.IFS(D932&lt;40,"Young Adult",AND(D932&gt;=40,D932&lt;65),"Middle Aged", D932&gt;=65,"Elderly")</f>
        <v>Elderly</v>
      </c>
    </row>
    <row r="933" spans="1:21" x14ac:dyDescent="0.2">
      <c r="A933">
        <v>1047</v>
      </c>
      <c r="B933">
        <f t="shared" si="112"/>
        <v>932</v>
      </c>
      <c r="C933" t="s">
        <v>2740</v>
      </c>
      <c r="D933">
        <v>76</v>
      </c>
      <c r="E933" t="s">
        <v>71</v>
      </c>
      <c r="F933" t="str">
        <f t="shared" si="113"/>
        <v>Male</v>
      </c>
      <c r="G933" s="1">
        <v>45887</v>
      </c>
      <c r="H933" s="1">
        <v>45822</v>
      </c>
      <c r="I933" t="s">
        <v>2741</v>
      </c>
      <c r="J933" t="str">
        <f t="shared" si="114"/>
        <v>Tiffany Lowery</v>
      </c>
      <c r="K933" t="s">
        <v>18</v>
      </c>
      <c r="L933" t="str">
        <f t="shared" si="115"/>
        <v>Orthopedics</v>
      </c>
      <c r="M933" t="s">
        <v>2742</v>
      </c>
      <c r="N933" t="str">
        <f t="shared" si="116"/>
        <v>USD</v>
      </c>
      <c r="O933">
        <f t="shared" si="117"/>
        <v>83.67</v>
      </c>
      <c r="P933" cm="1">
        <f t="array" ref="P933">_xlfn.IFS(N933="USD",O933*1,N933="GBP",O933*1.27,N933="EUR",O933*1.09,N933="INR",O933*0.012,N933="N/A","N/A")</f>
        <v>83.67</v>
      </c>
      <c r="Q933" t="s">
        <v>60</v>
      </c>
      <c r="R933" t="str" cm="1">
        <f t="array" ref="R933">_xlfn.IFS(Q933="Y","Yes", Q933="Yes","Yes", Q933="N","No", Q933="No","No", Q933=1,"N/A", Q933=0,"N/A", TRUE,"")</f>
        <v>No</v>
      </c>
      <c r="S933">
        <f t="shared" si="118"/>
        <v>17</v>
      </c>
      <c r="T933">
        <f t="shared" si="119"/>
        <v>1</v>
      </c>
      <c r="U933" t="str" cm="1">
        <f t="array" ref="U933">_xlfn.IFS(D933&lt;40,"Young Adult",AND(D933&gt;=40,D933&lt;65),"Middle Aged", D933&gt;=65,"Elderly")</f>
        <v>Elderly</v>
      </c>
    </row>
    <row r="934" spans="1:21" x14ac:dyDescent="0.2">
      <c r="A934">
        <v>1012</v>
      </c>
      <c r="B934">
        <f t="shared" si="112"/>
        <v>933</v>
      </c>
      <c r="C934" t="s">
        <v>2743</v>
      </c>
      <c r="D934">
        <v>76</v>
      </c>
      <c r="E934" t="s">
        <v>22</v>
      </c>
      <c r="F934" t="str">
        <f t="shared" si="113"/>
        <v>Male</v>
      </c>
      <c r="G934" s="1">
        <v>46060</v>
      </c>
      <c r="H934" s="1">
        <v>46037</v>
      </c>
      <c r="I934" t="s">
        <v>2744</v>
      </c>
      <c r="J934" t="str">
        <f t="shared" si="114"/>
        <v>Rebecca Goodwin</v>
      </c>
      <c r="K934" t="s">
        <v>18</v>
      </c>
      <c r="L934" t="str">
        <f t="shared" si="115"/>
        <v>Orthopedics</v>
      </c>
      <c r="M934" t="s">
        <v>2745</v>
      </c>
      <c r="N934" t="str">
        <f t="shared" si="116"/>
        <v>INR</v>
      </c>
      <c r="O934">
        <f t="shared" si="117"/>
        <v>255.43</v>
      </c>
      <c r="P934" cm="1">
        <f t="array" ref="P934">_xlfn.IFS(N934="USD",O934*1,N934="GBP",O934*1.27,N934="EUR",O934*1.09,N934="INR",O934*0.012,N934="N/A","N/A")</f>
        <v>3.0651600000000001</v>
      </c>
      <c r="Q934" t="s">
        <v>30</v>
      </c>
      <c r="R934" t="str" cm="1">
        <f t="array" ref="R934">_xlfn.IFS(Q934="Y","Yes", Q934="Yes","Yes", Q934="N","No", Q934="No","No", Q934=1,"N/A", Q934=0,"N/A", TRUE,"")</f>
        <v>No</v>
      </c>
      <c r="S934">
        <f t="shared" si="118"/>
        <v>9</v>
      </c>
      <c r="T934">
        <f t="shared" si="119"/>
        <v>1</v>
      </c>
      <c r="U934" t="str" cm="1">
        <f t="array" ref="U934">_xlfn.IFS(D934&lt;40,"Young Adult",AND(D934&gt;=40,D934&lt;65),"Middle Aged", D934&gt;=65,"Elderly")</f>
        <v>Elderly</v>
      </c>
    </row>
    <row r="935" spans="1:21" x14ac:dyDescent="0.2">
      <c r="A935">
        <v>1034</v>
      </c>
      <c r="B935">
        <f t="shared" si="112"/>
        <v>934</v>
      </c>
      <c r="C935" t="s">
        <v>2746</v>
      </c>
      <c r="D935">
        <v>90</v>
      </c>
      <c r="E935" t="s">
        <v>2937</v>
      </c>
      <c r="F935" t="str">
        <f t="shared" si="113"/>
        <v>N/A</v>
      </c>
      <c r="G935" s="1">
        <v>46088</v>
      </c>
      <c r="H935" s="1">
        <v>45468</v>
      </c>
      <c r="I935" t="s">
        <v>2747</v>
      </c>
      <c r="J935" t="str">
        <f t="shared" si="114"/>
        <v>Gregory Gonzalez</v>
      </c>
      <c r="K935" t="s">
        <v>28</v>
      </c>
      <c r="L935" t="str">
        <f t="shared" si="115"/>
        <v>General</v>
      </c>
      <c r="N935" t="str">
        <f t="shared" si="116"/>
        <v>N/A</v>
      </c>
      <c r="O935" t="str">
        <f t="shared" si="117"/>
        <v/>
      </c>
      <c r="P935" t="str" cm="1">
        <f t="array" ref="P935">_xlfn.IFS(N935="USD",O935*1,N935="GBP",O935*1.27,N935="EUR",O935*1.09,N935="INR",O935*0.012,N935="N/A","N/A")</f>
        <v>N/A</v>
      </c>
      <c r="Q935">
        <v>0</v>
      </c>
      <c r="R935" t="str" cm="1">
        <f t="array" ref="R935">_xlfn.IFS(Q935="Y","Yes", Q935="Yes","Yes", Q935="N","No", Q935="No","No", Q935=1,"N/A", Q935=0,"N/A", TRUE,"")</f>
        <v>N/A</v>
      </c>
      <c r="S935">
        <f t="shared" si="118"/>
        <v>8</v>
      </c>
      <c r="T935">
        <f t="shared" si="119"/>
        <v>1</v>
      </c>
      <c r="U935" t="str" cm="1">
        <f t="array" ref="U935">_xlfn.IFS(D935&lt;40,"Young Adult",AND(D935&gt;=40,D935&lt;65),"Middle Aged", D935&gt;=65,"Elderly")</f>
        <v>Elderly</v>
      </c>
    </row>
    <row r="936" spans="1:21" x14ac:dyDescent="0.2">
      <c r="A936">
        <v>1091</v>
      </c>
      <c r="B936">
        <f t="shared" si="112"/>
        <v>935</v>
      </c>
      <c r="C936" t="s">
        <v>2748</v>
      </c>
      <c r="D936">
        <v>62</v>
      </c>
      <c r="E936" t="s">
        <v>71</v>
      </c>
      <c r="F936" t="str">
        <f t="shared" si="113"/>
        <v>Male</v>
      </c>
      <c r="G936" s="1">
        <v>46103</v>
      </c>
      <c r="H936" s="1">
        <v>45989</v>
      </c>
      <c r="I936" t="s">
        <v>2749</v>
      </c>
      <c r="J936" t="str">
        <f t="shared" si="114"/>
        <v>Brianna Hernandez</v>
      </c>
      <c r="K936" t="s">
        <v>24</v>
      </c>
      <c r="L936" t="str">
        <f t="shared" si="115"/>
        <v>Neurology</v>
      </c>
      <c r="M936" t="s">
        <v>2750</v>
      </c>
      <c r="N936" t="str">
        <f t="shared" si="116"/>
        <v>USD</v>
      </c>
      <c r="O936">
        <f t="shared" si="117"/>
        <v>433.63</v>
      </c>
      <c r="P936" cm="1">
        <f t="array" ref="P936">_xlfn.IFS(N936="USD",O936*1,N936="GBP",O936*1.27,N936="EUR",O936*1.09,N936="INR",O936*0.012,N936="N/A","N/A")</f>
        <v>433.63</v>
      </c>
      <c r="Q936" t="s">
        <v>20</v>
      </c>
      <c r="R936" t="str" cm="1">
        <f t="array" ref="R936">_xlfn.IFS(Q936="Y","Yes", Q936="Yes","Yes", Q936="N","No", Q936="No","No", Q936=1,"N/A", Q936=0,"N/A", TRUE,"")</f>
        <v>Yes</v>
      </c>
      <c r="S936">
        <f t="shared" si="118"/>
        <v>9</v>
      </c>
      <c r="T936">
        <f t="shared" si="119"/>
        <v>1</v>
      </c>
      <c r="U936" t="str" cm="1">
        <f t="array" ref="U936">_xlfn.IFS(D936&lt;40,"Young Adult",AND(D936&gt;=40,D936&lt;65),"Middle Aged", D936&gt;=65,"Elderly")</f>
        <v>Middle Aged</v>
      </c>
    </row>
    <row r="937" spans="1:21" x14ac:dyDescent="0.2">
      <c r="A937">
        <v>1034</v>
      </c>
      <c r="B937">
        <f t="shared" si="112"/>
        <v>936</v>
      </c>
      <c r="C937" t="s">
        <v>2751</v>
      </c>
      <c r="D937">
        <v>71</v>
      </c>
      <c r="E937" t="s">
        <v>71</v>
      </c>
      <c r="F937" t="str">
        <f t="shared" si="113"/>
        <v>Male</v>
      </c>
      <c r="G937" s="1">
        <v>46017</v>
      </c>
      <c r="H937" s="1">
        <v>45409</v>
      </c>
      <c r="I937" t="s">
        <v>2752</v>
      </c>
      <c r="J937" t="str">
        <f t="shared" si="114"/>
        <v>Gregory Brown</v>
      </c>
      <c r="K937" t="s">
        <v>24</v>
      </c>
      <c r="L937" t="str">
        <f t="shared" si="115"/>
        <v>Neurology</v>
      </c>
      <c r="M937" t="s">
        <v>2753</v>
      </c>
      <c r="N937" t="str">
        <f t="shared" si="116"/>
        <v>INR</v>
      </c>
      <c r="O937">
        <f t="shared" si="117"/>
        <v>461.04</v>
      </c>
      <c r="P937" cm="1">
        <f t="array" ref="P937">_xlfn.IFS(N937="USD",O937*1,N937="GBP",O937*1.27,N937="EUR",O937*1.09,N937="INR",O937*0.012,N937="N/A","N/A")</f>
        <v>5.5324800000000005</v>
      </c>
      <c r="Q937">
        <v>0</v>
      </c>
      <c r="R937" t="str" cm="1">
        <f t="array" ref="R937">_xlfn.IFS(Q937="Y","Yes", Q937="Yes","Yes", Q937="N","No", Q937="No","No", Q937=1,"N/A", Q937=0,"N/A", TRUE,"")</f>
        <v>N/A</v>
      </c>
      <c r="S937">
        <f t="shared" si="118"/>
        <v>8</v>
      </c>
      <c r="T937">
        <f t="shared" si="119"/>
        <v>1</v>
      </c>
      <c r="U937" t="str" cm="1">
        <f t="array" ref="U937">_xlfn.IFS(D937&lt;40,"Young Adult",AND(D937&gt;=40,D937&lt;65),"Middle Aged", D937&gt;=65,"Elderly")</f>
        <v>Elderly</v>
      </c>
    </row>
    <row r="938" spans="1:21" x14ac:dyDescent="0.2">
      <c r="A938">
        <v>1072</v>
      </c>
      <c r="B938">
        <f t="shared" si="112"/>
        <v>937</v>
      </c>
      <c r="C938" t="s">
        <v>2754</v>
      </c>
      <c r="D938">
        <v>59</v>
      </c>
      <c r="E938" t="s">
        <v>38</v>
      </c>
      <c r="F938" t="str">
        <f t="shared" si="113"/>
        <v>Female</v>
      </c>
      <c r="G938" s="1">
        <v>45772</v>
      </c>
      <c r="H938" s="1">
        <v>45412</v>
      </c>
      <c r="I938" t="s">
        <v>2755</v>
      </c>
      <c r="J938" t="str">
        <f t="shared" si="114"/>
        <v>Anna Jennings</v>
      </c>
      <c r="K938" t="s">
        <v>13</v>
      </c>
      <c r="L938" t="str">
        <f t="shared" si="115"/>
        <v>Cardiology</v>
      </c>
      <c r="M938" t="s">
        <v>2756</v>
      </c>
      <c r="N938" t="str">
        <f t="shared" si="116"/>
        <v>GBP</v>
      </c>
      <c r="O938">
        <f t="shared" si="117"/>
        <v>261.01</v>
      </c>
      <c r="P938" cm="1">
        <f t="array" ref="P938">_xlfn.IFS(N938="USD",O938*1,N938="GBP",O938*1.27,N938="EUR",O938*1.09,N938="INR",O938*0.012,N938="N/A","N/A")</f>
        <v>331.48269999999997</v>
      </c>
      <c r="Q938" t="s">
        <v>20</v>
      </c>
      <c r="R938" t="str" cm="1">
        <f t="array" ref="R938">_xlfn.IFS(Q938="Y","Yes", Q938="Yes","Yes", Q938="N","No", Q938="No","No", Q938=1,"N/A", Q938=0,"N/A", TRUE,"")</f>
        <v>Yes</v>
      </c>
      <c r="S938">
        <f t="shared" si="118"/>
        <v>9</v>
      </c>
      <c r="T938">
        <f t="shared" si="119"/>
        <v>1</v>
      </c>
      <c r="U938" t="str" cm="1">
        <f t="array" ref="U938">_xlfn.IFS(D938&lt;40,"Young Adult",AND(D938&gt;=40,D938&lt;65),"Middle Aged", D938&gt;=65,"Elderly")</f>
        <v>Middle Aged</v>
      </c>
    </row>
    <row r="939" spans="1:21" x14ac:dyDescent="0.2">
      <c r="A939">
        <v>1048</v>
      </c>
      <c r="B939">
        <f t="shared" si="112"/>
        <v>938</v>
      </c>
      <c r="C939" t="s">
        <v>2757</v>
      </c>
      <c r="D939">
        <v>84</v>
      </c>
      <c r="E939" t="s">
        <v>16</v>
      </c>
      <c r="F939" t="str">
        <f t="shared" si="113"/>
        <v>Female</v>
      </c>
      <c r="G939" s="1">
        <v>45806</v>
      </c>
      <c r="H939" s="1">
        <v>45686</v>
      </c>
      <c r="I939" t="s">
        <v>2758</v>
      </c>
      <c r="J939" t="str">
        <f t="shared" si="114"/>
        <v>Dennis Murphy</v>
      </c>
      <c r="K939" t="s">
        <v>24</v>
      </c>
      <c r="L939" t="str">
        <f t="shared" si="115"/>
        <v>Neurology</v>
      </c>
      <c r="N939" t="str">
        <f t="shared" si="116"/>
        <v>N/A</v>
      </c>
      <c r="O939" t="str">
        <f t="shared" si="117"/>
        <v/>
      </c>
      <c r="P939" t="str" cm="1">
        <f t="array" ref="P939">_xlfn.IFS(N939="USD",O939*1,N939="GBP",O939*1.27,N939="EUR",O939*1.09,N939="INR",O939*0.012,N939="N/A","N/A")</f>
        <v>N/A</v>
      </c>
      <c r="Q939" t="s">
        <v>60</v>
      </c>
      <c r="R939" t="str" cm="1">
        <f t="array" ref="R939">_xlfn.IFS(Q939="Y","Yes", Q939="Yes","Yes", Q939="N","No", Q939="No","No", Q939=1,"N/A", Q939=0,"N/A", TRUE,"")</f>
        <v>No</v>
      </c>
      <c r="S939">
        <f t="shared" si="118"/>
        <v>8</v>
      </c>
      <c r="T939">
        <f t="shared" si="119"/>
        <v>1</v>
      </c>
      <c r="U939" t="str" cm="1">
        <f t="array" ref="U939">_xlfn.IFS(D939&lt;40,"Young Adult",AND(D939&gt;=40,D939&lt;65),"Middle Aged", D939&gt;=65,"Elderly")</f>
        <v>Elderly</v>
      </c>
    </row>
    <row r="940" spans="1:21" x14ac:dyDescent="0.2">
      <c r="A940">
        <v>1068</v>
      </c>
      <c r="B940">
        <f t="shared" si="112"/>
        <v>939</v>
      </c>
      <c r="C940" t="s">
        <v>2759</v>
      </c>
      <c r="D940">
        <v>40</v>
      </c>
      <c r="E940" t="s">
        <v>51</v>
      </c>
      <c r="F940" t="str">
        <f t="shared" si="113"/>
        <v>Male</v>
      </c>
      <c r="G940" s="1">
        <v>46067</v>
      </c>
      <c r="H940" s="1">
        <v>45909</v>
      </c>
      <c r="I940" t="s">
        <v>2760</v>
      </c>
      <c r="J940" t="str">
        <f t="shared" si="114"/>
        <v>Melissa Williams</v>
      </c>
      <c r="K940" t="s">
        <v>24</v>
      </c>
      <c r="L940" t="str">
        <f t="shared" si="115"/>
        <v>Neurology</v>
      </c>
      <c r="N940" t="str">
        <f t="shared" si="116"/>
        <v>N/A</v>
      </c>
      <c r="O940" t="str">
        <f t="shared" si="117"/>
        <v/>
      </c>
      <c r="P940" t="str" cm="1">
        <f t="array" ref="P940">_xlfn.IFS(N940="USD",O940*1,N940="GBP",O940*1.27,N940="EUR",O940*1.09,N940="INR",O940*0.012,N940="N/A","N/A")</f>
        <v>N/A</v>
      </c>
      <c r="Q940">
        <v>1</v>
      </c>
      <c r="R940" t="str" cm="1">
        <f t="array" ref="R940">_xlfn.IFS(Q940="Y","Yes", Q940="Yes","Yes", Q940="N","No", Q940="No","No", Q940=1,"N/A", Q940=0,"N/A", TRUE,"")</f>
        <v>N/A</v>
      </c>
      <c r="S940">
        <f t="shared" si="118"/>
        <v>14</v>
      </c>
      <c r="T940">
        <f t="shared" si="119"/>
        <v>1</v>
      </c>
      <c r="U940" t="str" cm="1">
        <f t="array" ref="U940">_xlfn.IFS(D940&lt;40,"Young Adult",AND(D940&gt;=40,D940&lt;65),"Middle Aged", D940&gt;=65,"Elderly")</f>
        <v>Middle Aged</v>
      </c>
    </row>
    <row r="941" spans="1:21" x14ac:dyDescent="0.2">
      <c r="A941">
        <v>1063</v>
      </c>
      <c r="B941">
        <f t="shared" si="112"/>
        <v>940</v>
      </c>
      <c r="C941" t="s">
        <v>2761</v>
      </c>
      <c r="D941">
        <v>75</v>
      </c>
      <c r="E941" t="s">
        <v>38</v>
      </c>
      <c r="F941" t="str">
        <f t="shared" si="113"/>
        <v>Female</v>
      </c>
      <c r="G941" s="1">
        <v>45811</v>
      </c>
      <c r="H941" s="1">
        <v>45605</v>
      </c>
      <c r="I941" t="s">
        <v>2762</v>
      </c>
      <c r="J941" t="str">
        <f t="shared" si="114"/>
        <v>Cynthia Dunn</v>
      </c>
      <c r="K941" t="s">
        <v>13</v>
      </c>
      <c r="L941" t="str">
        <f t="shared" si="115"/>
        <v>Cardiology</v>
      </c>
      <c r="M941" t="s">
        <v>2763</v>
      </c>
      <c r="N941" t="str">
        <f t="shared" si="116"/>
        <v>INR</v>
      </c>
      <c r="O941">
        <f t="shared" si="117"/>
        <v>96.19</v>
      </c>
      <c r="P941" cm="1">
        <f t="array" ref="P941">_xlfn.IFS(N941="USD",O941*1,N941="GBP",O941*1.27,N941="EUR",O941*1.09,N941="INR",O941*0.012,N941="N/A","N/A")</f>
        <v>1.15428</v>
      </c>
      <c r="Q941" t="s">
        <v>36</v>
      </c>
      <c r="R941" t="str" cm="1">
        <f t="array" ref="R941">_xlfn.IFS(Q941="Y","Yes", Q941="Yes","Yes", Q941="N","No", Q941="No","No", Q941=1,"N/A", Q941=0,"N/A", TRUE,"")</f>
        <v>Yes</v>
      </c>
      <c r="S941">
        <f t="shared" si="118"/>
        <v>11</v>
      </c>
      <c r="T941">
        <f t="shared" si="119"/>
        <v>1</v>
      </c>
      <c r="U941" t="str" cm="1">
        <f t="array" ref="U941">_xlfn.IFS(D941&lt;40,"Young Adult",AND(D941&gt;=40,D941&lt;65),"Middle Aged", D941&gt;=65,"Elderly")</f>
        <v>Elderly</v>
      </c>
    </row>
    <row r="942" spans="1:21" x14ac:dyDescent="0.2">
      <c r="A942">
        <v>1063</v>
      </c>
      <c r="B942">
        <f t="shared" si="112"/>
        <v>941</v>
      </c>
      <c r="C942" t="s">
        <v>2764</v>
      </c>
      <c r="D942">
        <v>58</v>
      </c>
      <c r="E942" t="s">
        <v>38</v>
      </c>
      <c r="F942" t="str">
        <f t="shared" si="113"/>
        <v>Female</v>
      </c>
      <c r="G942" s="1">
        <v>46078</v>
      </c>
      <c r="H942" s="1">
        <v>45594</v>
      </c>
      <c r="I942" t="s">
        <v>2765</v>
      </c>
      <c r="J942" t="str">
        <f t="shared" si="114"/>
        <v>Christopher Guzman</v>
      </c>
      <c r="K942" t="s">
        <v>24</v>
      </c>
      <c r="L942" t="str">
        <f t="shared" si="115"/>
        <v>Neurology</v>
      </c>
      <c r="M942" t="s">
        <v>2766</v>
      </c>
      <c r="N942" t="str">
        <f t="shared" si="116"/>
        <v>GBP</v>
      </c>
      <c r="O942">
        <f t="shared" si="117"/>
        <v>248.76</v>
      </c>
      <c r="P942" cm="1">
        <f t="array" ref="P942">_xlfn.IFS(N942="USD",O942*1,N942="GBP",O942*1.27,N942="EUR",O942*1.09,N942="INR",O942*0.012,N942="N/A","N/A")</f>
        <v>315.92520000000002</v>
      </c>
      <c r="Q942">
        <v>0</v>
      </c>
      <c r="R942" t="str" cm="1">
        <f t="array" ref="R942">_xlfn.IFS(Q942="Y","Yes", Q942="Yes","Yes", Q942="N","No", Q942="No","No", Q942=1,"N/A", Q942=0,"N/A", TRUE,"")</f>
        <v>N/A</v>
      </c>
      <c r="S942">
        <f t="shared" si="118"/>
        <v>11</v>
      </c>
      <c r="T942">
        <f t="shared" si="119"/>
        <v>1</v>
      </c>
      <c r="U942" t="str" cm="1">
        <f t="array" ref="U942">_xlfn.IFS(D942&lt;40,"Young Adult",AND(D942&gt;=40,D942&lt;65),"Middle Aged", D942&gt;=65,"Elderly")</f>
        <v>Middle Aged</v>
      </c>
    </row>
    <row r="943" spans="1:21" x14ac:dyDescent="0.2">
      <c r="A943">
        <v>1045</v>
      </c>
      <c r="B943">
        <f t="shared" si="112"/>
        <v>942</v>
      </c>
      <c r="C943" t="s">
        <v>2767</v>
      </c>
      <c r="D943">
        <v>24</v>
      </c>
      <c r="E943" t="s">
        <v>38</v>
      </c>
      <c r="F943" t="str">
        <f t="shared" si="113"/>
        <v>Female</v>
      </c>
      <c r="G943" s="1">
        <v>45993</v>
      </c>
      <c r="H943" s="1">
        <v>45760</v>
      </c>
      <c r="I943" t="s">
        <v>2768</v>
      </c>
      <c r="J943" t="str">
        <f t="shared" si="114"/>
        <v>Scott Nguyen</v>
      </c>
      <c r="K943" t="s">
        <v>28</v>
      </c>
      <c r="L943" t="str">
        <f t="shared" si="115"/>
        <v>General</v>
      </c>
      <c r="M943" t="s">
        <v>2769</v>
      </c>
      <c r="N943" t="str">
        <f t="shared" si="116"/>
        <v>INR</v>
      </c>
      <c r="O943">
        <f t="shared" si="117"/>
        <v>246.63</v>
      </c>
      <c r="P943" cm="1">
        <f t="array" ref="P943">_xlfn.IFS(N943="USD",O943*1,N943="GBP",O943*1.27,N943="EUR",O943*1.09,N943="INR",O943*0.012,N943="N/A","N/A")</f>
        <v>2.9595600000000002</v>
      </c>
      <c r="Q943">
        <v>0</v>
      </c>
      <c r="R943" t="str" cm="1">
        <f t="array" ref="R943">_xlfn.IFS(Q943="Y","Yes", Q943="Yes","Yes", Q943="N","No", Q943="No","No", Q943=1,"N/A", Q943=0,"N/A", TRUE,"")</f>
        <v>N/A</v>
      </c>
      <c r="S943">
        <f t="shared" si="118"/>
        <v>8</v>
      </c>
      <c r="T943">
        <f t="shared" si="119"/>
        <v>1</v>
      </c>
      <c r="U943" t="str" cm="1">
        <f t="array" ref="U943">_xlfn.IFS(D943&lt;40,"Young Adult",AND(D943&gt;=40,D943&lt;65),"Middle Aged", D943&gt;=65,"Elderly")</f>
        <v>Young Adult</v>
      </c>
    </row>
    <row r="944" spans="1:21" x14ac:dyDescent="0.2">
      <c r="A944">
        <v>1028</v>
      </c>
      <c r="B944">
        <f t="shared" si="112"/>
        <v>943</v>
      </c>
      <c r="C944" t="s">
        <v>2770</v>
      </c>
      <c r="D944">
        <v>88</v>
      </c>
      <c r="E944" t="s">
        <v>2937</v>
      </c>
      <c r="F944" t="str">
        <f t="shared" si="113"/>
        <v>N/A</v>
      </c>
      <c r="G944" s="1">
        <v>45959</v>
      </c>
      <c r="H944" s="1">
        <v>45738</v>
      </c>
      <c r="I944" t="s">
        <v>31</v>
      </c>
      <c r="J944" t="str">
        <f t="shared" si="114"/>
        <v>Benjamin Brown</v>
      </c>
      <c r="K944" t="s">
        <v>13</v>
      </c>
      <c r="L944" t="str">
        <f t="shared" si="115"/>
        <v>Cardiology</v>
      </c>
      <c r="M944" t="s">
        <v>2771</v>
      </c>
      <c r="N944" t="str">
        <f t="shared" si="116"/>
        <v>INR</v>
      </c>
      <c r="O944">
        <f t="shared" si="117"/>
        <v>256.58999999999997</v>
      </c>
      <c r="P944" cm="1">
        <f t="array" ref="P944">_xlfn.IFS(N944="USD",O944*1,N944="GBP",O944*1.27,N944="EUR",O944*1.09,N944="INR",O944*0.012,N944="N/A","N/A")</f>
        <v>3.0790799999999998</v>
      </c>
      <c r="Q944" t="s">
        <v>36</v>
      </c>
      <c r="R944" t="str" cm="1">
        <f t="array" ref="R944">_xlfn.IFS(Q944="Y","Yes", Q944="Yes","Yes", Q944="N","No", Q944="No","No", Q944=1,"N/A", Q944=0,"N/A", TRUE,"")</f>
        <v>Yes</v>
      </c>
      <c r="S944">
        <f t="shared" si="118"/>
        <v>8</v>
      </c>
      <c r="T944">
        <f t="shared" si="119"/>
        <v>1</v>
      </c>
      <c r="U944" t="str" cm="1">
        <f t="array" ref="U944">_xlfn.IFS(D944&lt;40,"Young Adult",AND(D944&gt;=40,D944&lt;65),"Middle Aged", D944&gt;=65,"Elderly")</f>
        <v>Elderly</v>
      </c>
    </row>
    <row r="945" spans="1:21" x14ac:dyDescent="0.2">
      <c r="A945">
        <v>1025</v>
      </c>
      <c r="B945">
        <f t="shared" si="112"/>
        <v>944</v>
      </c>
      <c r="C945" t="s">
        <v>2772</v>
      </c>
      <c r="D945">
        <v>84</v>
      </c>
      <c r="E945" t="s">
        <v>38</v>
      </c>
      <c r="F945" t="str">
        <f t="shared" si="113"/>
        <v>Female</v>
      </c>
      <c r="G945" s="1">
        <v>45926</v>
      </c>
      <c r="H945" s="1">
        <v>45824</v>
      </c>
      <c r="I945" t="s">
        <v>2773</v>
      </c>
      <c r="J945" t="str">
        <f t="shared" si="114"/>
        <v>Rhonda Oconnor</v>
      </c>
      <c r="K945" t="s">
        <v>24</v>
      </c>
      <c r="L945" t="str">
        <f t="shared" si="115"/>
        <v>Neurology</v>
      </c>
      <c r="M945" t="s">
        <v>2774</v>
      </c>
      <c r="N945" t="str">
        <f t="shared" si="116"/>
        <v>USD</v>
      </c>
      <c r="O945">
        <f t="shared" si="117"/>
        <v>326.83999999999997</v>
      </c>
      <c r="P945" cm="1">
        <f t="array" ref="P945">_xlfn.IFS(N945="USD",O945*1,N945="GBP",O945*1.27,N945="EUR",O945*1.09,N945="INR",O945*0.012,N945="N/A","N/A")</f>
        <v>326.83999999999997</v>
      </c>
      <c r="Q945" t="s">
        <v>20</v>
      </c>
      <c r="R945" t="str" cm="1">
        <f t="array" ref="R945">_xlfn.IFS(Q945="Y","Yes", Q945="Yes","Yes", Q945="N","No", Q945="No","No", Q945=1,"N/A", Q945=0,"N/A", TRUE,"")</f>
        <v>Yes</v>
      </c>
      <c r="S945">
        <f t="shared" si="118"/>
        <v>9</v>
      </c>
      <c r="T945">
        <f t="shared" si="119"/>
        <v>1</v>
      </c>
      <c r="U945" t="str" cm="1">
        <f t="array" ref="U945">_xlfn.IFS(D945&lt;40,"Young Adult",AND(D945&gt;=40,D945&lt;65),"Middle Aged", D945&gt;=65,"Elderly")</f>
        <v>Elderly</v>
      </c>
    </row>
    <row r="946" spans="1:21" x14ac:dyDescent="0.2">
      <c r="A946">
        <v>1046</v>
      </c>
      <c r="B946">
        <f t="shared" si="112"/>
        <v>945</v>
      </c>
      <c r="C946" t="s">
        <v>2775</v>
      </c>
      <c r="D946">
        <v>64</v>
      </c>
      <c r="E946" t="s">
        <v>2937</v>
      </c>
      <c r="F946" t="str">
        <f t="shared" si="113"/>
        <v>N/A</v>
      </c>
      <c r="G946" s="1">
        <v>45808</v>
      </c>
      <c r="H946" s="1">
        <v>45525</v>
      </c>
      <c r="I946" t="s">
        <v>2776</v>
      </c>
      <c r="J946" t="str">
        <f t="shared" si="114"/>
        <v>Joshua Martin</v>
      </c>
      <c r="K946" t="s">
        <v>18</v>
      </c>
      <c r="L946" t="str">
        <f t="shared" si="115"/>
        <v>Orthopedics</v>
      </c>
      <c r="M946" t="s">
        <v>2777</v>
      </c>
      <c r="N946" t="str">
        <f t="shared" si="116"/>
        <v>GBP</v>
      </c>
      <c r="O946">
        <f t="shared" si="117"/>
        <v>476.97</v>
      </c>
      <c r="P946" cm="1">
        <f t="array" ref="P946">_xlfn.IFS(N946="USD",O946*1,N946="GBP",O946*1.27,N946="EUR",O946*1.09,N946="INR",O946*0.012,N946="N/A","N/A")</f>
        <v>605.75190000000009</v>
      </c>
      <c r="Q946" t="s">
        <v>60</v>
      </c>
      <c r="R946" t="str" cm="1">
        <f t="array" ref="R946">_xlfn.IFS(Q946="Y","Yes", Q946="Yes","Yes", Q946="N","No", Q946="No","No", Q946=1,"N/A", Q946=0,"N/A", TRUE,"")</f>
        <v>No</v>
      </c>
      <c r="S946">
        <f t="shared" si="118"/>
        <v>8</v>
      </c>
      <c r="T946">
        <f t="shared" si="119"/>
        <v>1</v>
      </c>
      <c r="U946" t="str" cm="1">
        <f t="array" ref="U946">_xlfn.IFS(D946&lt;40,"Young Adult",AND(D946&gt;=40,D946&lt;65),"Middle Aged", D946&gt;=65,"Elderly")</f>
        <v>Middle Aged</v>
      </c>
    </row>
    <row r="947" spans="1:21" x14ac:dyDescent="0.2">
      <c r="A947">
        <v>1036</v>
      </c>
      <c r="B947">
        <f t="shared" si="112"/>
        <v>946</v>
      </c>
      <c r="C947" t="s">
        <v>2778</v>
      </c>
      <c r="D947">
        <v>76</v>
      </c>
      <c r="E947" t="s">
        <v>2937</v>
      </c>
      <c r="F947" t="str">
        <f t="shared" si="113"/>
        <v>N/A</v>
      </c>
      <c r="G947" s="1">
        <v>46032</v>
      </c>
      <c r="H947" s="1">
        <v>45869</v>
      </c>
      <c r="I947" t="s">
        <v>2779</v>
      </c>
      <c r="J947" t="str">
        <f t="shared" si="114"/>
        <v>Aaron Perkins</v>
      </c>
      <c r="K947" t="s">
        <v>28</v>
      </c>
      <c r="L947" t="str">
        <f t="shared" si="115"/>
        <v>General</v>
      </c>
      <c r="M947" t="s">
        <v>2780</v>
      </c>
      <c r="N947" t="str">
        <f t="shared" si="116"/>
        <v>USD</v>
      </c>
      <c r="O947">
        <f t="shared" si="117"/>
        <v>136.77000000000001</v>
      </c>
      <c r="P947" cm="1">
        <f t="array" ref="P947">_xlfn.IFS(N947="USD",O947*1,N947="GBP",O947*1.27,N947="EUR",O947*1.09,N947="INR",O947*0.012,N947="N/A","N/A")</f>
        <v>136.77000000000001</v>
      </c>
      <c r="Q947" t="s">
        <v>20</v>
      </c>
      <c r="R947" t="str" cm="1">
        <f t="array" ref="R947">_xlfn.IFS(Q947="Y","Yes", Q947="Yes","Yes", Q947="N","No", Q947="No","No", Q947=1,"N/A", Q947=0,"N/A", TRUE,"")</f>
        <v>Yes</v>
      </c>
      <c r="S947">
        <f t="shared" si="118"/>
        <v>14</v>
      </c>
      <c r="T947">
        <f t="shared" si="119"/>
        <v>1</v>
      </c>
      <c r="U947" t="str" cm="1">
        <f t="array" ref="U947">_xlfn.IFS(D947&lt;40,"Young Adult",AND(D947&gt;=40,D947&lt;65),"Middle Aged", D947&gt;=65,"Elderly")</f>
        <v>Elderly</v>
      </c>
    </row>
    <row r="948" spans="1:21" x14ac:dyDescent="0.2">
      <c r="A948">
        <v>1026</v>
      </c>
      <c r="B948">
        <f t="shared" si="112"/>
        <v>947</v>
      </c>
      <c r="C948" t="s">
        <v>2781</v>
      </c>
      <c r="D948">
        <v>49</v>
      </c>
      <c r="E948" t="s">
        <v>71</v>
      </c>
      <c r="F948" t="str">
        <f t="shared" si="113"/>
        <v>Male</v>
      </c>
      <c r="G948" s="1">
        <v>46067</v>
      </c>
      <c r="H948" s="1">
        <v>45727</v>
      </c>
      <c r="I948" t="s">
        <v>2782</v>
      </c>
      <c r="J948" t="str">
        <f t="shared" si="114"/>
        <v>Erika Richards</v>
      </c>
      <c r="K948" t="s">
        <v>24</v>
      </c>
      <c r="L948" t="str">
        <f t="shared" si="115"/>
        <v>Neurology</v>
      </c>
      <c r="M948" t="s">
        <v>2783</v>
      </c>
      <c r="N948" t="str">
        <f t="shared" si="116"/>
        <v>EUR</v>
      </c>
      <c r="O948">
        <f t="shared" si="117"/>
        <v>466.59</v>
      </c>
      <c r="P948" cm="1">
        <f t="array" ref="P948">_xlfn.IFS(N948="USD",O948*1,N948="GBP",O948*1.27,N948="EUR",O948*1.09,N948="INR",O948*0.012,N948="N/A","N/A")</f>
        <v>508.5831</v>
      </c>
      <c r="Q948" t="s">
        <v>30</v>
      </c>
      <c r="R948" t="str" cm="1">
        <f t="array" ref="R948">_xlfn.IFS(Q948="Y","Yes", Q948="Yes","Yes", Q948="N","No", Q948="No","No", Q948=1,"N/A", Q948=0,"N/A", TRUE,"")</f>
        <v>No</v>
      </c>
      <c r="S948">
        <f t="shared" si="118"/>
        <v>10</v>
      </c>
      <c r="T948">
        <f t="shared" si="119"/>
        <v>1</v>
      </c>
      <c r="U948" t="str" cm="1">
        <f t="array" ref="U948">_xlfn.IFS(D948&lt;40,"Young Adult",AND(D948&gt;=40,D948&lt;65),"Middle Aged", D948&gt;=65,"Elderly")</f>
        <v>Middle Aged</v>
      </c>
    </row>
    <row r="949" spans="1:21" x14ac:dyDescent="0.2">
      <c r="A949">
        <v>1097</v>
      </c>
      <c r="B949">
        <f t="shared" si="112"/>
        <v>948</v>
      </c>
      <c r="C949" t="s">
        <v>2784</v>
      </c>
      <c r="D949">
        <v>27</v>
      </c>
      <c r="E949" t="s">
        <v>51</v>
      </c>
      <c r="F949" t="str">
        <f t="shared" si="113"/>
        <v>Male</v>
      </c>
      <c r="G949" s="1">
        <v>45963</v>
      </c>
      <c r="H949" s="1">
        <v>45407</v>
      </c>
      <c r="I949" t="s">
        <v>2785</v>
      </c>
      <c r="J949" t="str">
        <f t="shared" si="114"/>
        <v>Heather Foster</v>
      </c>
      <c r="K949" t="s">
        <v>28</v>
      </c>
      <c r="L949" t="str">
        <f t="shared" si="115"/>
        <v>General</v>
      </c>
      <c r="M949" t="s">
        <v>2786</v>
      </c>
      <c r="N949" t="str">
        <f t="shared" si="116"/>
        <v>EUR</v>
      </c>
      <c r="O949">
        <f t="shared" si="117"/>
        <v>342.3</v>
      </c>
      <c r="P949" cm="1">
        <f t="array" ref="P949">_xlfn.IFS(N949="USD",O949*1,N949="GBP",O949*1.27,N949="EUR",O949*1.09,N949="INR",O949*0.012,N949="N/A","N/A")</f>
        <v>373.10700000000003</v>
      </c>
      <c r="Q949" t="s">
        <v>36</v>
      </c>
      <c r="R949" t="str" cm="1">
        <f t="array" ref="R949">_xlfn.IFS(Q949="Y","Yes", Q949="Yes","Yes", Q949="N","No", Q949="No","No", Q949=1,"N/A", Q949=0,"N/A", TRUE,"")</f>
        <v>Yes</v>
      </c>
      <c r="S949">
        <f t="shared" si="118"/>
        <v>10</v>
      </c>
      <c r="T949">
        <f t="shared" si="119"/>
        <v>1</v>
      </c>
      <c r="U949" t="str" cm="1">
        <f t="array" ref="U949">_xlfn.IFS(D949&lt;40,"Young Adult",AND(D949&gt;=40,D949&lt;65),"Middle Aged", D949&gt;=65,"Elderly")</f>
        <v>Young Adult</v>
      </c>
    </row>
    <row r="950" spans="1:21" x14ac:dyDescent="0.2">
      <c r="A950">
        <v>1014</v>
      </c>
      <c r="B950">
        <f t="shared" si="112"/>
        <v>949</v>
      </c>
      <c r="C950" t="s">
        <v>2787</v>
      </c>
      <c r="D950">
        <v>29</v>
      </c>
      <c r="E950" t="s">
        <v>2937</v>
      </c>
      <c r="F950" t="str">
        <f t="shared" si="113"/>
        <v>N/A</v>
      </c>
      <c r="G950" s="1">
        <v>46021</v>
      </c>
      <c r="H950" s="1">
        <v>45877</v>
      </c>
      <c r="I950" t="s">
        <v>2788</v>
      </c>
      <c r="J950" t="str">
        <f t="shared" si="114"/>
        <v>Sherri Buckley</v>
      </c>
      <c r="K950" t="s">
        <v>24</v>
      </c>
      <c r="L950" t="str">
        <f t="shared" si="115"/>
        <v>Neurology</v>
      </c>
      <c r="M950" t="s">
        <v>2789</v>
      </c>
      <c r="N950" t="str">
        <f t="shared" si="116"/>
        <v>EUR</v>
      </c>
      <c r="O950">
        <f t="shared" si="117"/>
        <v>444.2</v>
      </c>
      <c r="P950" cm="1">
        <f t="array" ref="P950">_xlfn.IFS(N950="USD",O950*1,N950="GBP",O950*1.27,N950="EUR",O950*1.09,N950="INR",O950*0.012,N950="N/A","N/A")</f>
        <v>484.178</v>
      </c>
      <c r="Q950" t="s">
        <v>60</v>
      </c>
      <c r="R950" t="str" cm="1">
        <f t="array" ref="R950">_xlfn.IFS(Q950="Y","Yes", Q950="Yes","Yes", Q950="N","No", Q950="No","No", Q950=1,"N/A", Q950=0,"N/A", TRUE,"")</f>
        <v>No</v>
      </c>
      <c r="S950">
        <f t="shared" si="118"/>
        <v>10</v>
      </c>
      <c r="T950">
        <f t="shared" si="119"/>
        <v>1</v>
      </c>
      <c r="U950" t="str" cm="1">
        <f t="array" ref="U950">_xlfn.IFS(D950&lt;40,"Young Adult",AND(D950&gt;=40,D950&lt;65),"Middle Aged", D950&gt;=65,"Elderly")</f>
        <v>Young Adult</v>
      </c>
    </row>
    <row r="951" spans="1:21" x14ac:dyDescent="0.2">
      <c r="A951">
        <v>1085</v>
      </c>
      <c r="B951">
        <f t="shared" si="112"/>
        <v>950</v>
      </c>
      <c r="C951" t="s">
        <v>2790</v>
      </c>
      <c r="D951">
        <v>63</v>
      </c>
      <c r="E951" t="s">
        <v>71</v>
      </c>
      <c r="F951" t="str">
        <f t="shared" si="113"/>
        <v>Male</v>
      </c>
      <c r="G951" s="1">
        <v>45881</v>
      </c>
      <c r="H951" s="1">
        <v>45599</v>
      </c>
      <c r="I951" t="s">
        <v>2791</v>
      </c>
      <c r="J951" t="str">
        <f t="shared" si="114"/>
        <v>Darryl Case</v>
      </c>
      <c r="K951" t="s">
        <v>18</v>
      </c>
      <c r="L951" t="str">
        <f t="shared" si="115"/>
        <v>Orthopedics</v>
      </c>
      <c r="M951" t="s">
        <v>2792</v>
      </c>
      <c r="N951" t="str">
        <f t="shared" si="116"/>
        <v>INR</v>
      </c>
      <c r="O951">
        <f t="shared" si="117"/>
        <v>421.18</v>
      </c>
      <c r="P951" cm="1">
        <f t="array" ref="P951">_xlfn.IFS(N951="USD",O951*1,N951="GBP",O951*1.27,N951="EUR",O951*1.09,N951="INR",O951*0.012,N951="N/A","N/A")</f>
        <v>5.0541600000000004</v>
      </c>
      <c r="Q951" t="s">
        <v>20</v>
      </c>
      <c r="R951" t="str" cm="1">
        <f t="array" ref="R951">_xlfn.IFS(Q951="Y","Yes", Q951="Yes","Yes", Q951="N","No", Q951="No","No", Q951=1,"N/A", Q951=0,"N/A", TRUE,"")</f>
        <v>Yes</v>
      </c>
      <c r="S951">
        <f t="shared" si="118"/>
        <v>12</v>
      </c>
      <c r="T951">
        <f t="shared" si="119"/>
        <v>1</v>
      </c>
      <c r="U951" t="str" cm="1">
        <f t="array" ref="U951">_xlfn.IFS(D951&lt;40,"Young Adult",AND(D951&gt;=40,D951&lt;65),"Middle Aged", D951&gt;=65,"Elderly")</f>
        <v>Middle Aged</v>
      </c>
    </row>
    <row r="952" spans="1:21" x14ac:dyDescent="0.2">
      <c r="A952">
        <v>1005</v>
      </c>
      <c r="B952">
        <f t="shared" si="112"/>
        <v>951</v>
      </c>
      <c r="C952" t="s">
        <v>2793</v>
      </c>
      <c r="D952">
        <v>54</v>
      </c>
      <c r="E952" t="s">
        <v>71</v>
      </c>
      <c r="F952" t="str">
        <f t="shared" si="113"/>
        <v>Male</v>
      </c>
      <c r="G952" s="1">
        <v>45784</v>
      </c>
      <c r="H952" s="1">
        <v>45465</v>
      </c>
      <c r="I952" t="s">
        <v>2794</v>
      </c>
      <c r="J952" t="str">
        <f t="shared" si="114"/>
        <v>Anthony Hughes</v>
      </c>
      <c r="K952" t="s">
        <v>28</v>
      </c>
      <c r="L952" t="str">
        <f t="shared" si="115"/>
        <v>General</v>
      </c>
      <c r="M952" t="s">
        <v>2795</v>
      </c>
      <c r="N952" t="str">
        <f t="shared" si="116"/>
        <v>EUR</v>
      </c>
      <c r="O952">
        <f t="shared" si="117"/>
        <v>386.3</v>
      </c>
      <c r="P952" cm="1">
        <f t="array" ref="P952">_xlfn.IFS(N952="USD",O952*1,N952="GBP",O952*1.27,N952="EUR",O952*1.09,N952="INR",O952*0.012,N952="N/A","N/A")</f>
        <v>421.06700000000006</v>
      </c>
      <c r="Q952" t="s">
        <v>30</v>
      </c>
      <c r="R952" t="str" cm="1">
        <f t="array" ref="R952">_xlfn.IFS(Q952="Y","Yes", Q952="Yes","Yes", Q952="N","No", Q952="No","No", Q952=1,"N/A", Q952=0,"N/A", TRUE,"")</f>
        <v>No</v>
      </c>
      <c r="S952">
        <f t="shared" si="118"/>
        <v>13</v>
      </c>
      <c r="T952">
        <f t="shared" si="119"/>
        <v>1</v>
      </c>
      <c r="U952" t="str" cm="1">
        <f t="array" ref="U952">_xlfn.IFS(D952&lt;40,"Young Adult",AND(D952&gt;=40,D952&lt;65),"Middle Aged", D952&gt;=65,"Elderly")</f>
        <v>Middle Aged</v>
      </c>
    </row>
    <row r="953" spans="1:21" x14ac:dyDescent="0.2">
      <c r="A953">
        <v>1075</v>
      </c>
      <c r="B953">
        <f t="shared" si="112"/>
        <v>952</v>
      </c>
      <c r="C953" t="s">
        <v>2796</v>
      </c>
      <c r="D953">
        <v>59</v>
      </c>
      <c r="E953" t="s">
        <v>22</v>
      </c>
      <c r="F953" t="str">
        <f t="shared" si="113"/>
        <v>Male</v>
      </c>
      <c r="G953" s="1">
        <v>46101</v>
      </c>
      <c r="H953" s="1">
        <v>46015</v>
      </c>
      <c r="I953" t="s">
        <v>2797</v>
      </c>
      <c r="J953" t="str">
        <f t="shared" si="114"/>
        <v>Thomas Clark Md</v>
      </c>
      <c r="K953" t="s">
        <v>13</v>
      </c>
      <c r="L953" t="str">
        <f t="shared" si="115"/>
        <v>Cardiology</v>
      </c>
      <c r="M953" t="s">
        <v>2798</v>
      </c>
      <c r="N953" t="str">
        <f t="shared" si="116"/>
        <v>INR</v>
      </c>
      <c r="O953">
        <f t="shared" si="117"/>
        <v>107.04</v>
      </c>
      <c r="P953" cm="1">
        <f t="array" ref="P953">_xlfn.IFS(N953="USD",O953*1,N953="GBP",O953*1.27,N953="EUR",O953*1.09,N953="INR",O953*0.012,N953="N/A","N/A")</f>
        <v>1.2844800000000001</v>
      </c>
      <c r="Q953">
        <v>1</v>
      </c>
      <c r="R953" t="str" cm="1">
        <f t="array" ref="R953">_xlfn.IFS(Q953="Y","Yes", Q953="Yes","Yes", Q953="N","No", Q953="No","No", Q953=1,"N/A", Q953=0,"N/A", TRUE,"")</f>
        <v>N/A</v>
      </c>
      <c r="S953">
        <f t="shared" si="118"/>
        <v>11</v>
      </c>
      <c r="T953">
        <f t="shared" si="119"/>
        <v>1</v>
      </c>
      <c r="U953" t="str" cm="1">
        <f t="array" ref="U953">_xlfn.IFS(D953&lt;40,"Young Adult",AND(D953&gt;=40,D953&lt;65),"Middle Aged", D953&gt;=65,"Elderly")</f>
        <v>Middle Aged</v>
      </c>
    </row>
    <row r="954" spans="1:21" x14ac:dyDescent="0.2">
      <c r="A954">
        <v>1082</v>
      </c>
      <c r="B954">
        <f t="shared" si="112"/>
        <v>953</v>
      </c>
      <c r="C954" t="s">
        <v>2799</v>
      </c>
      <c r="D954">
        <v>37</v>
      </c>
      <c r="E954" t="s">
        <v>71</v>
      </c>
      <c r="F954" t="str">
        <f t="shared" si="113"/>
        <v>Male</v>
      </c>
      <c r="G954" s="1">
        <v>45766</v>
      </c>
      <c r="H954" s="1">
        <v>45411</v>
      </c>
      <c r="I954" t="s">
        <v>2800</v>
      </c>
      <c r="J954" t="str">
        <f t="shared" si="114"/>
        <v>Martin Herring</v>
      </c>
      <c r="K954" t="s">
        <v>18</v>
      </c>
      <c r="L954" t="str">
        <f t="shared" si="115"/>
        <v>Orthopedics</v>
      </c>
      <c r="M954" t="s">
        <v>2801</v>
      </c>
      <c r="N954" t="str">
        <f t="shared" si="116"/>
        <v>GBP</v>
      </c>
      <c r="O954">
        <f t="shared" si="117"/>
        <v>381.15</v>
      </c>
      <c r="P954" cm="1">
        <f t="array" ref="P954">_xlfn.IFS(N954="USD",O954*1,N954="GBP",O954*1.27,N954="EUR",O954*1.09,N954="INR",O954*0.012,N954="N/A","N/A")</f>
        <v>484.06049999999999</v>
      </c>
      <c r="Q954">
        <v>0</v>
      </c>
      <c r="R954" t="str" cm="1">
        <f t="array" ref="R954">_xlfn.IFS(Q954="Y","Yes", Q954="Yes","Yes", Q954="N","No", Q954="No","No", Q954=1,"N/A", Q954=0,"N/A", TRUE,"")</f>
        <v>N/A</v>
      </c>
      <c r="S954">
        <f t="shared" si="118"/>
        <v>14</v>
      </c>
      <c r="T954">
        <f t="shared" si="119"/>
        <v>1</v>
      </c>
      <c r="U954" t="str" cm="1">
        <f t="array" ref="U954">_xlfn.IFS(D954&lt;40,"Young Adult",AND(D954&gt;=40,D954&lt;65),"Middle Aged", D954&gt;=65,"Elderly")</f>
        <v>Young Adult</v>
      </c>
    </row>
    <row r="955" spans="1:21" x14ac:dyDescent="0.2">
      <c r="A955">
        <v>1089</v>
      </c>
      <c r="B955">
        <f t="shared" si="112"/>
        <v>954</v>
      </c>
      <c r="C955" t="s">
        <v>2802</v>
      </c>
      <c r="D955">
        <v>69</v>
      </c>
      <c r="E955" t="s">
        <v>51</v>
      </c>
      <c r="F955" t="str">
        <f t="shared" si="113"/>
        <v>Male</v>
      </c>
      <c r="G955" s="1">
        <v>45934</v>
      </c>
      <c r="H955" s="1">
        <v>45869</v>
      </c>
      <c r="I955" t="s">
        <v>2803</v>
      </c>
      <c r="J955" t="str">
        <f t="shared" si="114"/>
        <v>William Bryan</v>
      </c>
      <c r="K955" t="s">
        <v>28</v>
      </c>
      <c r="L955" t="str">
        <f t="shared" si="115"/>
        <v>General</v>
      </c>
      <c r="M955" t="s">
        <v>2804</v>
      </c>
      <c r="N955" t="str">
        <f t="shared" si="116"/>
        <v>EUR</v>
      </c>
      <c r="O955">
        <f t="shared" si="117"/>
        <v>477.98</v>
      </c>
      <c r="P955" cm="1">
        <f t="array" ref="P955">_xlfn.IFS(N955="USD",O955*1,N955="GBP",O955*1.27,N955="EUR",O955*1.09,N955="INR",O955*0.012,N955="N/A","N/A")</f>
        <v>520.99820000000011</v>
      </c>
      <c r="Q955" t="s">
        <v>20</v>
      </c>
      <c r="R955" t="str" cm="1">
        <f t="array" ref="R955">_xlfn.IFS(Q955="Y","Yes", Q955="Yes","Yes", Q955="N","No", Q955="No","No", Q955=1,"N/A", Q955=0,"N/A", TRUE,"")</f>
        <v>Yes</v>
      </c>
      <c r="S955">
        <f t="shared" si="118"/>
        <v>16</v>
      </c>
      <c r="T955">
        <f t="shared" si="119"/>
        <v>1</v>
      </c>
      <c r="U955" t="str" cm="1">
        <f t="array" ref="U955">_xlfn.IFS(D955&lt;40,"Young Adult",AND(D955&gt;=40,D955&lt;65),"Middle Aged", D955&gt;=65,"Elderly")</f>
        <v>Elderly</v>
      </c>
    </row>
    <row r="956" spans="1:21" x14ac:dyDescent="0.2">
      <c r="A956">
        <v>1092</v>
      </c>
      <c r="B956">
        <f t="shared" si="112"/>
        <v>955</v>
      </c>
      <c r="C956" t="s">
        <v>2805</v>
      </c>
      <c r="D956">
        <v>53</v>
      </c>
      <c r="E956" t="s">
        <v>38</v>
      </c>
      <c r="F956" t="str">
        <f t="shared" si="113"/>
        <v>Female</v>
      </c>
      <c r="G956" s="1">
        <v>45955</v>
      </c>
      <c r="H956" s="1">
        <v>45435</v>
      </c>
      <c r="I956" t="s">
        <v>2806</v>
      </c>
      <c r="J956" t="str">
        <f t="shared" si="114"/>
        <v>Heather Stokes</v>
      </c>
      <c r="K956" t="s">
        <v>18</v>
      </c>
      <c r="L956" t="str">
        <f t="shared" si="115"/>
        <v>Orthopedics</v>
      </c>
      <c r="M956" t="s">
        <v>2807</v>
      </c>
      <c r="N956" t="str">
        <f t="shared" si="116"/>
        <v>EUR</v>
      </c>
      <c r="O956">
        <f t="shared" si="117"/>
        <v>418.27</v>
      </c>
      <c r="P956" cm="1">
        <f t="array" ref="P956">_xlfn.IFS(N956="USD",O956*1,N956="GBP",O956*1.27,N956="EUR",O956*1.09,N956="INR",O956*0.012,N956="N/A","N/A")</f>
        <v>455.91430000000003</v>
      </c>
      <c r="Q956" t="s">
        <v>20</v>
      </c>
      <c r="R956" t="str" cm="1">
        <f t="array" ref="R956">_xlfn.IFS(Q956="Y","Yes", Q956="Yes","Yes", Q956="N","No", Q956="No","No", Q956=1,"N/A", Q956=0,"N/A", TRUE,"")</f>
        <v>Yes</v>
      </c>
      <c r="S956">
        <f t="shared" si="118"/>
        <v>11</v>
      </c>
      <c r="T956">
        <f t="shared" si="119"/>
        <v>1</v>
      </c>
      <c r="U956" t="str" cm="1">
        <f t="array" ref="U956">_xlfn.IFS(D956&lt;40,"Young Adult",AND(D956&gt;=40,D956&lt;65),"Middle Aged", D956&gt;=65,"Elderly")</f>
        <v>Middle Aged</v>
      </c>
    </row>
    <row r="957" spans="1:21" x14ac:dyDescent="0.2">
      <c r="A957">
        <v>1066</v>
      </c>
      <c r="B957">
        <f t="shared" si="112"/>
        <v>956</v>
      </c>
      <c r="C957" t="s">
        <v>2808</v>
      </c>
      <c r="D957">
        <v>46</v>
      </c>
      <c r="E957" t="s">
        <v>2937</v>
      </c>
      <c r="F957" t="str">
        <f t="shared" si="113"/>
        <v>N/A</v>
      </c>
      <c r="G957" s="1">
        <v>46107</v>
      </c>
      <c r="H957" s="1">
        <v>45829</v>
      </c>
      <c r="I957" t="s">
        <v>2809</v>
      </c>
      <c r="J957" t="str">
        <f t="shared" si="114"/>
        <v>Vickie Johnson</v>
      </c>
      <c r="K957" t="s">
        <v>13</v>
      </c>
      <c r="L957" t="str">
        <f t="shared" si="115"/>
        <v>Cardiology</v>
      </c>
      <c r="M957" t="s">
        <v>2810</v>
      </c>
      <c r="N957" t="str">
        <f t="shared" si="116"/>
        <v>EUR</v>
      </c>
      <c r="O957">
        <f t="shared" si="117"/>
        <v>300.52</v>
      </c>
      <c r="P957" cm="1">
        <f t="array" ref="P957">_xlfn.IFS(N957="USD",O957*1,N957="GBP",O957*1.27,N957="EUR",O957*1.09,N957="INR",O957*0.012,N957="N/A","N/A")</f>
        <v>327.5668</v>
      </c>
      <c r="Q957">
        <v>0</v>
      </c>
      <c r="R957" t="str" cm="1">
        <f t="array" ref="R957">_xlfn.IFS(Q957="Y","Yes", Q957="Yes","Yes", Q957="N","No", Q957="No","No", Q957=1,"N/A", Q957=0,"N/A", TRUE,"")</f>
        <v>N/A</v>
      </c>
      <c r="S957">
        <f t="shared" si="118"/>
        <v>11</v>
      </c>
      <c r="T957">
        <f t="shared" si="119"/>
        <v>1</v>
      </c>
      <c r="U957" t="str" cm="1">
        <f t="array" ref="U957">_xlfn.IFS(D957&lt;40,"Young Adult",AND(D957&gt;=40,D957&lt;65),"Middle Aged", D957&gt;=65,"Elderly")</f>
        <v>Middle Aged</v>
      </c>
    </row>
    <row r="958" spans="1:21" x14ac:dyDescent="0.2">
      <c r="A958">
        <v>1016</v>
      </c>
      <c r="B958">
        <f t="shared" si="112"/>
        <v>957</v>
      </c>
      <c r="C958" t="s">
        <v>2811</v>
      </c>
      <c r="D958">
        <v>22</v>
      </c>
      <c r="E958" t="s">
        <v>22</v>
      </c>
      <c r="F958" t="str">
        <f t="shared" si="113"/>
        <v>Male</v>
      </c>
      <c r="G958" s="1">
        <v>45777</v>
      </c>
      <c r="H958" s="1">
        <v>45483</v>
      </c>
      <c r="I958" t="s">
        <v>2812</v>
      </c>
      <c r="J958" t="str">
        <f t="shared" si="114"/>
        <v>Vincent Kemp</v>
      </c>
      <c r="K958" t="s">
        <v>13</v>
      </c>
      <c r="L958" t="str">
        <f t="shared" si="115"/>
        <v>Cardiology</v>
      </c>
      <c r="N958" t="str">
        <f t="shared" si="116"/>
        <v>N/A</v>
      </c>
      <c r="O958" t="str">
        <f t="shared" si="117"/>
        <v/>
      </c>
      <c r="P958" t="str" cm="1">
        <f t="array" ref="P958">_xlfn.IFS(N958="USD",O958*1,N958="GBP",O958*1.27,N958="EUR",O958*1.09,N958="INR",O958*0.012,N958="N/A","N/A")</f>
        <v>N/A</v>
      </c>
      <c r="Q958" t="s">
        <v>60</v>
      </c>
      <c r="R958" t="str" cm="1">
        <f t="array" ref="R958">_xlfn.IFS(Q958="Y","Yes", Q958="Yes","Yes", Q958="N","No", Q958="No","No", Q958=1,"N/A", Q958=0,"N/A", TRUE,"")</f>
        <v>No</v>
      </c>
      <c r="S958">
        <f t="shared" si="118"/>
        <v>15</v>
      </c>
      <c r="T958">
        <f t="shared" si="119"/>
        <v>1</v>
      </c>
      <c r="U958" t="str" cm="1">
        <f t="array" ref="U958">_xlfn.IFS(D958&lt;40,"Young Adult",AND(D958&gt;=40,D958&lt;65),"Middle Aged", D958&gt;=65,"Elderly")</f>
        <v>Young Adult</v>
      </c>
    </row>
    <row r="959" spans="1:21" x14ac:dyDescent="0.2">
      <c r="A959">
        <v>1041</v>
      </c>
      <c r="B959">
        <f t="shared" si="112"/>
        <v>958</v>
      </c>
      <c r="C959" t="s">
        <v>2813</v>
      </c>
      <c r="D959">
        <v>43</v>
      </c>
      <c r="E959" t="s">
        <v>2937</v>
      </c>
      <c r="F959" t="str">
        <f t="shared" si="113"/>
        <v>N/A</v>
      </c>
      <c r="G959" s="1">
        <v>45917</v>
      </c>
      <c r="H959" s="1">
        <v>45421</v>
      </c>
      <c r="I959" t="s">
        <v>2814</v>
      </c>
      <c r="J959" t="str">
        <f t="shared" si="114"/>
        <v>Julia Mcmillan</v>
      </c>
      <c r="K959" t="s">
        <v>18</v>
      </c>
      <c r="L959" t="str">
        <f t="shared" si="115"/>
        <v>Orthopedics</v>
      </c>
      <c r="M959" t="s">
        <v>2815</v>
      </c>
      <c r="N959" t="str">
        <f t="shared" si="116"/>
        <v>GBP</v>
      </c>
      <c r="O959">
        <f t="shared" si="117"/>
        <v>485.93</v>
      </c>
      <c r="P959" cm="1">
        <f t="array" ref="P959">_xlfn.IFS(N959="USD",O959*1,N959="GBP",O959*1.27,N959="EUR",O959*1.09,N959="INR",O959*0.012,N959="N/A","N/A")</f>
        <v>617.13110000000006</v>
      </c>
      <c r="Q959">
        <v>0</v>
      </c>
      <c r="R959" t="str" cm="1">
        <f t="array" ref="R959">_xlfn.IFS(Q959="Y","Yes", Q959="Yes","Yes", Q959="N","No", Q959="No","No", Q959=1,"N/A", Q959=0,"N/A", TRUE,"")</f>
        <v>N/A</v>
      </c>
      <c r="S959">
        <f t="shared" si="118"/>
        <v>8</v>
      </c>
      <c r="T959">
        <f t="shared" si="119"/>
        <v>1</v>
      </c>
      <c r="U959" t="str" cm="1">
        <f t="array" ref="U959">_xlfn.IFS(D959&lt;40,"Young Adult",AND(D959&gt;=40,D959&lt;65),"Middle Aged", D959&gt;=65,"Elderly")</f>
        <v>Middle Aged</v>
      </c>
    </row>
    <row r="960" spans="1:21" x14ac:dyDescent="0.2">
      <c r="A960">
        <v>1052</v>
      </c>
      <c r="B960">
        <f t="shared" si="112"/>
        <v>959</v>
      </c>
      <c r="C960" t="s">
        <v>2816</v>
      </c>
      <c r="D960">
        <v>88</v>
      </c>
      <c r="E960" t="s">
        <v>2937</v>
      </c>
      <c r="F960" t="str">
        <f t="shared" si="113"/>
        <v>N/A</v>
      </c>
      <c r="G960" s="1">
        <v>46006</v>
      </c>
      <c r="H960" s="1">
        <v>45975</v>
      </c>
      <c r="I960" t="s">
        <v>2817</v>
      </c>
      <c r="J960" t="str">
        <f t="shared" si="114"/>
        <v>Robin Diaz</v>
      </c>
      <c r="K960" t="s">
        <v>18</v>
      </c>
      <c r="L960" t="str">
        <f t="shared" si="115"/>
        <v>Orthopedics</v>
      </c>
      <c r="M960" t="s">
        <v>2818</v>
      </c>
      <c r="N960" t="str">
        <f t="shared" si="116"/>
        <v>GBP</v>
      </c>
      <c r="O960">
        <f t="shared" si="117"/>
        <v>164.2</v>
      </c>
      <c r="P960" cm="1">
        <f t="array" ref="P960">_xlfn.IFS(N960="USD",O960*1,N960="GBP",O960*1.27,N960="EUR",O960*1.09,N960="INR",O960*0.012,N960="N/A","N/A")</f>
        <v>208.53399999999999</v>
      </c>
      <c r="Q960">
        <v>1</v>
      </c>
      <c r="R960" t="str" cm="1">
        <f t="array" ref="R960">_xlfn.IFS(Q960="Y","Yes", Q960="Yes","Yes", Q960="N","No", Q960="No","No", Q960=1,"N/A", Q960=0,"N/A", TRUE,"")</f>
        <v>N/A</v>
      </c>
      <c r="S960">
        <f t="shared" si="118"/>
        <v>8</v>
      </c>
      <c r="T960">
        <f t="shared" si="119"/>
        <v>1</v>
      </c>
      <c r="U960" t="str" cm="1">
        <f t="array" ref="U960">_xlfn.IFS(D960&lt;40,"Young Adult",AND(D960&gt;=40,D960&lt;65),"Middle Aged", D960&gt;=65,"Elderly")</f>
        <v>Elderly</v>
      </c>
    </row>
    <row r="961" spans="1:21" x14ac:dyDescent="0.2">
      <c r="A961">
        <v>1051</v>
      </c>
      <c r="B961">
        <f t="shared" si="112"/>
        <v>960</v>
      </c>
      <c r="C961" t="s">
        <v>2819</v>
      </c>
      <c r="D961">
        <v>64</v>
      </c>
      <c r="E961" t="s">
        <v>16</v>
      </c>
      <c r="F961" t="str">
        <f t="shared" si="113"/>
        <v>Female</v>
      </c>
      <c r="G961" s="1">
        <v>45755</v>
      </c>
      <c r="H961" s="1">
        <v>45496</v>
      </c>
      <c r="I961" t="s">
        <v>2820</v>
      </c>
      <c r="J961" t="str">
        <f t="shared" si="114"/>
        <v>April Spears</v>
      </c>
      <c r="K961" t="s">
        <v>13</v>
      </c>
      <c r="L961" t="str">
        <f t="shared" si="115"/>
        <v>Cardiology</v>
      </c>
      <c r="M961" t="s">
        <v>2821</v>
      </c>
      <c r="N961" t="str">
        <f t="shared" si="116"/>
        <v>USD</v>
      </c>
      <c r="O961">
        <f t="shared" si="117"/>
        <v>390.1</v>
      </c>
      <c r="P961" cm="1">
        <f t="array" ref="P961">_xlfn.IFS(N961="USD",O961*1,N961="GBP",O961*1.27,N961="EUR",O961*1.09,N961="INR",O961*0.012,N961="N/A","N/A")</f>
        <v>390.1</v>
      </c>
      <c r="Q961" t="s">
        <v>30</v>
      </c>
      <c r="R961" t="str" cm="1">
        <f t="array" ref="R961">_xlfn.IFS(Q961="Y","Yes", Q961="Yes","Yes", Q961="N","No", Q961="No","No", Q961=1,"N/A", Q961=0,"N/A", TRUE,"")</f>
        <v>No</v>
      </c>
      <c r="S961">
        <f t="shared" si="118"/>
        <v>9</v>
      </c>
      <c r="T961">
        <f t="shared" si="119"/>
        <v>1</v>
      </c>
      <c r="U961" t="str" cm="1">
        <f t="array" ref="U961">_xlfn.IFS(D961&lt;40,"Young Adult",AND(D961&gt;=40,D961&lt;65),"Middle Aged", D961&gt;=65,"Elderly")</f>
        <v>Middle Aged</v>
      </c>
    </row>
    <row r="962" spans="1:21" x14ac:dyDescent="0.2">
      <c r="A962">
        <v>1035</v>
      </c>
      <c r="B962">
        <f t="shared" si="112"/>
        <v>961</v>
      </c>
      <c r="C962" t="s">
        <v>2822</v>
      </c>
      <c r="D962">
        <v>33</v>
      </c>
      <c r="E962" t="s">
        <v>51</v>
      </c>
      <c r="F962" t="str">
        <f t="shared" si="113"/>
        <v>Male</v>
      </c>
      <c r="G962" s="1">
        <v>45781</v>
      </c>
      <c r="H962" s="1">
        <v>45447</v>
      </c>
      <c r="I962" t="s">
        <v>949</v>
      </c>
      <c r="J962" t="str">
        <f t="shared" si="114"/>
        <v>Michael Wright</v>
      </c>
      <c r="K962" t="s">
        <v>28</v>
      </c>
      <c r="L962" t="str">
        <f t="shared" si="115"/>
        <v>General</v>
      </c>
      <c r="M962" t="s">
        <v>2823</v>
      </c>
      <c r="N962" t="str">
        <f t="shared" si="116"/>
        <v>GBP</v>
      </c>
      <c r="O962">
        <f t="shared" si="117"/>
        <v>407.7</v>
      </c>
      <c r="P962" cm="1">
        <f t="array" ref="P962">_xlfn.IFS(N962="USD",O962*1,N962="GBP",O962*1.27,N962="EUR",O962*1.09,N962="INR",O962*0.012,N962="N/A","N/A")</f>
        <v>517.779</v>
      </c>
      <c r="Q962">
        <v>1</v>
      </c>
      <c r="R962" t="str" cm="1">
        <f t="array" ref="R962">_xlfn.IFS(Q962="Y","Yes", Q962="Yes","Yes", Q962="N","No", Q962="No","No", Q962=1,"N/A", Q962=0,"N/A", TRUE,"")</f>
        <v>N/A</v>
      </c>
      <c r="S962">
        <f t="shared" si="118"/>
        <v>9</v>
      </c>
      <c r="T962">
        <f t="shared" si="119"/>
        <v>1</v>
      </c>
      <c r="U962" t="str" cm="1">
        <f t="array" ref="U962">_xlfn.IFS(D962&lt;40,"Young Adult",AND(D962&gt;=40,D962&lt;65),"Middle Aged", D962&gt;=65,"Elderly")</f>
        <v>Young Adult</v>
      </c>
    </row>
    <row r="963" spans="1:21" x14ac:dyDescent="0.2">
      <c r="A963">
        <v>1074</v>
      </c>
      <c r="B963">
        <f t="shared" ref="B963:B1001" si="120">ROW()-1</f>
        <v>962</v>
      </c>
      <c r="C963" t="s">
        <v>2824</v>
      </c>
      <c r="D963">
        <v>80</v>
      </c>
      <c r="E963" t="s">
        <v>22</v>
      </c>
      <c r="F963" t="str">
        <f t="shared" ref="F963:F1001" si="121">IF(E963="male","Male",IF(E963="female","Female",IF(E963="F","Female",IF(E963="M","Male",IF(E963="N/A","N/A")))))</f>
        <v>Male</v>
      </c>
      <c r="G963" s="1">
        <v>45972</v>
      </c>
      <c r="H963" s="1">
        <v>45797</v>
      </c>
      <c r="I963" t="s">
        <v>2825</v>
      </c>
      <c r="J963" t="str">
        <f t="shared" ref="J963:J1001" si="122">PROPER(I963)</f>
        <v>Benjamin Williams</v>
      </c>
      <c r="K963" t="s">
        <v>24</v>
      </c>
      <c r="L963" t="str">
        <f t="shared" ref="L963:L1001" si="123">PROPER(K963)</f>
        <v>Neurology</v>
      </c>
      <c r="M963" t="s">
        <v>2826</v>
      </c>
      <c r="N963" t="str">
        <f t="shared" ref="N963:N1001" si="124">IF(LEFT(M963,1)="$","USD",IF(LEFT(M963,2)="Rs","INR",IF(LEFT(M963,2)="¬£","GBP",IF(LEFT(M963,3)="‚Ç¨","EUR","N/A"))))</f>
        <v>INR</v>
      </c>
      <c r="O963">
        <f t="shared" ref="O963:O1001" si="125">IFERROR(VALUE(SUBSTITUTE(SUBSTITUTE(SUBSTITUTE(SUBSTITUTE(M963,"$",""), "Rs",""),"¬£",""),"‚Ç¨","")), "")</f>
        <v>467.55</v>
      </c>
      <c r="P963" cm="1">
        <f t="array" ref="P963">_xlfn.IFS(N963="USD",O963*1,N963="GBP",O963*1.27,N963="EUR",O963*1.09,N963="INR",O963*0.012,N963="N/A","N/A")</f>
        <v>5.6105999999999998</v>
      </c>
      <c r="Q963" t="s">
        <v>30</v>
      </c>
      <c r="R963" t="str" cm="1">
        <f t="array" ref="R963">_xlfn.IFS(Q963="Y","Yes", Q963="Yes","Yes", Q963="N","No", Q963="No","No", Q963=1,"N/A", Q963=0,"N/A", TRUE,"")</f>
        <v>No</v>
      </c>
      <c r="S963">
        <f t="shared" ref="S963:S1001" si="126">COUNTIF($A$2:$A$1001, A963)</f>
        <v>17</v>
      </c>
      <c r="T963">
        <f t="shared" ref="T963:T1001" si="127">COUNTIFS($A$2:$A$1001, A963, $C$2:$C$1001, C963)</f>
        <v>1</v>
      </c>
      <c r="U963" t="str" cm="1">
        <f t="array" ref="U963">_xlfn.IFS(D963&lt;40,"Young Adult",AND(D963&gt;=40,D963&lt;65),"Middle Aged", D963&gt;=65,"Elderly")</f>
        <v>Elderly</v>
      </c>
    </row>
    <row r="964" spans="1:21" x14ac:dyDescent="0.2">
      <c r="A964">
        <v>1098</v>
      </c>
      <c r="B964">
        <f t="shared" si="120"/>
        <v>963</v>
      </c>
      <c r="C964" t="s">
        <v>2827</v>
      </c>
      <c r="D964">
        <v>87</v>
      </c>
      <c r="E964" t="s">
        <v>22</v>
      </c>
      <c r="F964" t="str">
        <f t="shared" si="121"/>
        <v>Male</v>
      </c>
      <c r="G964" s="1">
        <v>45840</v>
      </c>
      <c r="H964" s="1">
        <v>45621</v>
      </c>
      <c r="I964" t="s">
        <v>2828</v>
      </c>
      <c r="J964" t="str">
        <f t="shared" si="122"/>
        <v>Cassandra Bishop</v>
      </c>
      <c r="K964" t="s">
        <v>18</v>
      </c>
      <c r="L964" t="str">
        <f t="shared" si="123"/>
        <v>Orthopedics</v>
      </c>
      <c r="M964" t="s">
        <v>2829</v>
      </c>
      <c r="N964" t="str">
        <f t="shared" si="124"/>
        <v>EUR</v>
      </c>
      <c r="O964">
        <f t="shared" si="125"/>
        <v>119.41</v>
      </c>
      <c r="P964" cm="1">
        <f t="array" ref="P964">_xlfn.IFS(N964="USD",O964*1,N964="GBP",O964*1.27,N964="EUR",O964*1.09,N964="INR",O964*0.012,N964="N/A","N/A")</f>
        <v>130.15690000000001</v>
      </c>
      <c r="Q964">
        <v>0</v>
      </c>
      <c r="R964" t="str" cm="1">
        <f t="array" ref="R964">_xlfn.IFS(Q964="Y","Yes", Q964="Yes","Yes", Q964="N","No", Q964="No","No", Q964=1,"N/A", Q964=0,"N/A", TRUE,"")</f>
        <v>N/A</v>
      </c>
      <c r="S964">
        <f t="shared" si="126"/>
        <v>12</v>
      </c>
      <c r="T964">
        <f t="shared" si="127"/>
        <v>1</v>
      </c>
      <c r="U964" t="str" cm="1">
        <f t="array" ref="U964">_xlfn.IFS(D964&lt;40,"Young Adult",AND(D964&gt;=40,D964&lt;65),"Middle Aged", D964&gt;=65,"Elderly")</f>
        <v>Elderly</v>
      </c>
    </row>
    <row r="965" spans="1:21" x14ac:dyDescent="0.2">
      <c r="A965">
        <v>1100</v>
      </c>
      <c r="B965">
        <f t="shared" si="120"/>
        <v>964</v>
      </c>
      <c r="C965" t="s">
        <v>2830</v>
      </c>
      <c r="D965">
        <v>31</v>
      </c>
      <c r="E965" t="s">
        <v>22</v>
      </c>
      <c r="F965" t="str">
        <f t="shared" si="121"/>
        <v>Male</v>
      </c>
      <c r="G965" s="1">
        <v>45931</v>
      </c>
      <c r="H965" s="1">
        <v>45590</v>
      </c>
      <c r="I965" t="s">
        <v>2831</v>
      </c>
      <c r="J965" t="str">
        <f t="shared" si="122"/>
        <v>Andrea Kennedy</v>
      </c>
      <c r="K965" t="s">
        <v>13</v>
      </c>
      <c r="L965" t="str">
        <f t="shared" si="123"/>
        <v>Cardiology</v>
      </c>
      <c r="M965" t="s">
        <v>2832</v>
      </c>
      <c r="N965" t="str">
        <f t="shared" si="124"/>
        <v>GBP</v>
      </c>
      <c r="O965">
        <f t="shared" si="125"/>
        <v>441.89</v>
      </c>
      <c r="P965" cm="1">
        <f t="array" ref="P965">_xlfn.IFS(N965="USD",O965*1,N965="GBP",O965*1.27,N965="EUR",O965*1.09,N965="INR",O965*0.012,N965="N/A","N/A")</f>
        <v>561.20029999999997</v>
      </c>
      <c r="Q965" t="s">
        <v>30</v>
      </c>
      <c r="R965" t="str" cm="1">
        <f t="array" ref="R965">_xlfn.IFS(Q965="Y","Yes", Q965="Yes","Yes", Q965="N","No", Q965="No","No", Q965=1,"N/A", Q965=0,"N/A", TRUE,"")</f>
        <v>No</v>
      </c>
      <c r="S965">
        <f t="shared" si="126"/>
        <v>8</v>
      </c>
      <c r="T965">
        <f t="shared" si="127"/>
        <v>1</v>
      </c>
      <c r="U965" t="str" cm="1">
        <f t="array" ref="U965">_xlfn.IFS(D965&lt;40,"Young Adult",AND(D965&gt;=40,D965&lt;65),"Middle Aged", D965&gt;=65,"Elderly")</f>
        <v>Young Adult</v>
      </c>
    </row>
    <row r="966" spans="1:21" x14ac:dyDescent="0.2">
      <c r="A966">
        <v>1049</v>
      </c>
      <c r="B966">
        <f t="shared" si="120"/>
        <v>965</v>
      </c>
      <c r="C966" t="s">
        <v>2833</v>
      </c>
      <c r="D966">
        <v>20</v>
      </c>
      <c r="E966" t="s">
        <v>2937</v>
      </c>
      <c r="F966" t="str">
        <f t="shared" si="121"/>
        <v>N/A</v>
      </c>
      <c r="G966" s="1">
        <v>46020</v>
      </c>
      <c r="H966" s="1">
        <v>45831</v>
      </c>
      <c r="I966" t="s">
        <v>2834</v>
      </c>
      <c r="J966" t="str">
        <f t="shared" si="122"/>
        <v>James Harris</v>
      </c>
      <c r="K966" t="s">
        <v>28</v>
      </c>
      <c r="L966" t="str">
        <f t="shared" si="123"/>
        <v>General</v>
      </c>
      <c r="M966" t="s">
        <v>2835</v>
      </c>
      <c r="N966" t="str">
        <f t="shared" si="124"/>
        <v>INR</v>
      </c>
      <c r="O966">
        <f t="shared" si="125"/>
        <v>184.38</v>
      </c>
      <c r="P966" cm="1">
        <f t="array" ref="P966">_xlfn.IFS(N966="USD",O966*1,N966="GBP",O966*1.27,N966="EUR",O966*1.09,N966="INR",O966*0.012,N966="N/A","N/A")</f>
        <v>2.2125599999999999</v>
      </c>
      <c r="Q966" t="s">
        <v>60</v>
      </c>
      <c r="R966" t="str" cm="1">
        <f t="array" ref="R966">_xlfn.IFS(Q966="Y","Yes", Q966="Yes","Yes", Q966="N","No", Q966="No","No", Q966=1,"N/A", Q966=0,"N/A", TRUE,"")</f>
        <v>No</v>
      </c>
      <c r="S966">
        <f t="shared" si="126"/>
        <v>8</v>
      </c>
      <c r="T966">
        <f t="shared" si="127"/>
        <v>1</v>
      </c>
      <c r="U966" t="str" cm="1">
        <f t="array" ref="U966">_xlfn.IFS(D966&lt;40,"Young Adult",AND(D966&gt;=40,D966&lt;65),"Middle Aged", D966&gt;=65,"Elderly")</f>
        <v>Young Adult</v>
      </c>
    </row>
    <row r="967" spans="1:21" x14ac:dyDescent="0.2">
      <c r="A967">
        <v>1021</v>
      </c>
      <c r="B967">
        <f t="shared" si="120"/>
        <v>966</v>
      </c>
      <c r="C967" t="s">
        <v>2836</v>
      </c>
      <c r="D967">
        <v>80</v>
      </c>
      <c r="E967" t="s">
        <v>2937</v>
      </c>
      <c r="F967" t="str">
        <f t="shared" si="121"/>
        <v>N/A</v>
      </c>
      <c r="G967" s="1">
        <v>45823</v>
      </c>
      <c r="H967" s="1">
        <v>45521</v>
      </c>
      <c r="I967" t="s">
        <v>2837</v>
      </c>
      <c r="J967" t="str">
        <f t="shared" si="122"/>
        <v>Ronald Davis</v>
      </c>
      <c r="K967" t="s">
        <v>18</v>
      </c>
      <c r="L967" t="str">
        <f t="shared" si="123"/>
        <v>Orthopedics</v>
      </c>
      <c r="M967" t="s">
        <v>2838</v>
      </c>
      <c r="N967" t="str">
        <f t="shared" si="124"/>
        <v>USD</v>
      </c>
      <c r="O967">
        <f t="shared" si="125"/>
        <v>269.35000000000002</v>
      </c>
      <c r="P967" cm="1">
        <f t="array" ref="P967">_xlfn.IFS(N967="USD",O967*1,N967="GBP",O967*1.27,N967="EUR",O967*1.09,N967="INR",O967*0.012,N967="N/A","N/A")</f>
        <v>269.35000000000002</v>
      </c>
      <c r="Q967">
        <v>1</v>
      </c>
      <c r="R967" t="str" cm="1">
        <f t="array" ref="R967">_xlfn.IFS(Q967="Y","Yes", Q967="Yes","Yes", Q967="N","No", Q967="No","No", Q967=1,"N/A", Q967=0,"N/A", TRUE,"")</f>
        <v>N/A</v>
      </c>
      <c r="S967">
        <f t="shared" si="126"/>
        <v>16</v>
      </c>
      <c r="T967">
        <f t="shared" si="127"/>
        <v>1</v>
      </c>
      <c r="U967" t="str" cm="1">
        <f t="array" ref="U967">_xlfn.IFS(D967&lt;40,"Young Adult",AND(D967&gt;=40,D967&lt;65),"Middle Aged", D967&gt;=65,"Elderly")</f>
        <v>Elderly</v>
      </c>
    </row>
    <row r="968" spans="1:21" x14ac:dyDescent="0.2">
      <c r="A968">
        <v>1069</v>
      </c>
      <c r="B968">
        <f t="shared" si="120"/>
        <v>967</v>
      </c>
      <c r="C968" t="s">
        <v>2839</v>
      </c>
      <c r="D968">
        <v>18</v>
      </c>
      <c r="E968" t="s">
        <v>2937</v>
      </c>
      <c r="F968" t="str">
        <f t="shared" si="121"/>
        <v>N/A</v>
      </c>
      <c r="G968" s="1">
        <v>45947</v>
      </c>
      <c r="H968" s="1">
        <v>45419</v>
      </c>
      <c r="I968" t="s">
        <v>2840</v>
      </c>
      <c r="J968" t="str">
        <f t="shared" si="122"/>
        <v>Cheryl Bailey</v>
      </c>
      <c r="K968" t="s">
        <v>13</v>
      </c>
      <c r="L968" t="str">
        <f t="shared" si="123"/>
        <v>Cardiology</v>
      </c>
      <c r="M968" t="s">
        <v>2841</v>
      </c>
      <c r="N968" t="str">
        <f t="shared" si="124"/>
        <v>INR</v>
      </c>
      <c r="O968">
        <f t="shared" si="125"/>
        <v>363.94</v>
      </c>
      <c r="P968" cm="1">
        <f t="array" ref="P968">_xlfn.IFS(N968="USD",O968*1,N968="GBP",O968*1.27,N968="EUR",O968*1.09,N968="INR",O968*0.012,N968="N/A","N/A")</f>
        <v>4.3672800000000001</v>
      </c>
      <c r="Q968" t="s">
        <v>30</v>
      </c>
      <c r="R968" t="str" cm="1">
        <f t="array" ref="R968">_xlfn.IFS(Q968="Y","Yes", Q968="Yes","Yes", Q968="N","No", Q968="No","No", Q968=1,"N/A", Q968=0,"N/A", TRUE,"")</f>
        <v>No</v>
      </c>
      <c r="S968">
        <f t="shared" si="126"/>
        <v>10</v>
      </c>
      <c r="T968">
        <f t="shared" si="127"/>
        <v>1</v>
      </c>
      <c r="U968" t="str" cm="1">
        <f t="array" ref="U968">_xlfn.IFS(D968&lt;40,"Young Adult",AND(D968&gt;=40,D968&lt;65),"Middle Aged", D968&gt;=65,"Elderly")</f>
        <v>Young Adult</v>
      </c>
    </row>
    <row r="969" spans="1:21" x14ac:dyDescent="0.2">
      <c r="A969">
        <v>1056</v>
      </c>
      <c r="B969">
        <f t="shared" si="120"/>
        <v>968</v>
      </c>
      <c r="C969" t="s">
        <v>2842</v>
      </c>
      <c r="D969">
        <v>71</v>
      </c>
      <c r="E969" t="s">
        <v>2937</v>
      </c>
      <c r="F969" t="str">
        <f t="shared" si="121"/>
        <v>N/A</v>
      </c>
      <c r="G969" s="1">
        <v>46031</v>
      </c>
      <c r="H969" s="1">
        <v>46006</v>
      </c>
      <c r="I969" t="s">
        <v>2843</v>
      </c>
      <c r="J969" t="str">
        <f t="shared" si="122"/>
        <v>Jose Price</v>
      </c>
      <c r="K969" t="s">
        <v>28</v>
      </c>
      <c r="L969" t="str">
        <f t="shared" si="123"/>
        <v>General</v>
      </c>
      <c r="M969" t="s">
        <v>2844</v>
      </c>
      <c r="N969" t="str">
        <f t="shared" si="124"/>
        <v>GBP</v>
      </c>
      <c r="O969">
        <f t="shared" si="125"/>
        <v>323</v>
      </c>
      <c r="P969" cm="1">
        <f t="array" ref="P969">_xlfn.IFS(N969="USD",O969*1,N969="GBP",O969*1.27,N969="EUR",O969*1.09,N969="INR",O969*0.012,N969="N/A","N/A")</f>
        <v>410.21</v>
      </c>
      <c r="Q969">
        <v>0</v>
      </c>
      <c r="R969" t="str" cm="1">
        <f t="array" ref="R969">_xlfn.IFS(Q969="Y","Yes", Q969="Yes","Yes", Q969="N","No", Q969="No","No", Q969=1,"N/A", Q969=0,"N/A", TRUE,"")</f>
        <v>N/A</v>
      </c>
      <c r="S969">
        <f t="shared" si="126"/>
        <v>13</v>
      </c>
      <c r="T969">
        <f t="shared" si="127"/>
        <v>1</v>
      </c>
      <c r="U969" t="str" cm="1">
        <f t="array" ref="U969">_xlfn.IFS(D969&lt;40,"Young Adult",AND(D969&gt;=40,D969&lt;65),"Middle Aged", D969&gt;=65,"Elderly")</f>
        <v>Elderly</v>
      </c>
    </row>
    <row r="970" spans="1:21" x14ac:dyDescent="0.2">
      <c r="A970">
        <v>1036</v>
      </c>
      <c r="B970">
        <f t="shared" si="120"/>
        <v>969</v>
      </c>
      <c r="C970" t="s">
        <v>2845</v>
      </c>
      <c r="D970">
        <v>44</v>
      </c>
      <c r="E970" t="s">
        <v>38</v>
      </c>
      <c r="F970" t="str">
        <f t="shared" si="121"/>
        <v>Female</v>
      </c>
      <c r="G970" s="1">
        <v>45774</v>
      </c>
      <c r="H970" s="1">
        <v>45639</v>
      </c>
      <c r="I970" t="s">
        <v>2846</v>
      </c>
      <c r="J970" t="str">
        <f t="shared" si="122"/>
        <v>Christopher Williams</v>
      </c>
      <c r="K970" t="s">
        <v>18</v>
      </c>
      <c r="L970" t="str">
        <f t="shared" si="123"/>
        <v>Orthopedics</v>
      </c>
      <c r="M970" t="s">
        <v>2847</v>
      </c>
      <c r="N970" t="str">
        <f t="shared" si="124"/>
        <v>USD</v>
      </c>
      <c r="O970">
        <f t="shared" si="125"/>
        <v>163</v>
      </c>
      <c r="P970" cm="1">
        <f t="array" ref="P970">_xlfn.IFS(N970="USD",O970*1,N970="GBP",O970*1.27,N970="EUR",O970*1.09,N970="INR",O970*0.012,N970="N/A","N/A")</f>
        <v>163</v>
      </c>
      <c r="Q970" t="s">
        <v>36</v>
      </c>
      <c r="R970" t="str" cm="1">
        <f t="array" ref="R970">_xlfn.IFS(Q970="Y","Yes", Q970="Yes","Yes", Q970="N","No", Q970="No","No", Q970=1,"N/A", Q970=0,"N/A", TRUE,"")</f>
        <v>Yes</v>
      </c>
      <c r="S970">
        <f t="shared" si="126"/>
        <v>14</v>
      </c>
      <c r="T970">
        <f t="shared" si="127"/>
        <v>1</v>
      </c>
      <c r="U970" t="str" cm="1">
        <f t="array" ref="U970">_xlfn.IFS(D970&lt;40,"Young Adult",AND(D970&gt;=40,D970&lt;65),"Middle Aged", D970&gt;=65,"Elderly")</f>
        <v>Middle Aged</v>
      </c>
    </row>
    <row r="971" spans="1:21" x14ac:dyDescent="0.2">
      <c r="A971">
        <v>1063</v>
      </c>
      <c r="B971">
        <f t="shared" si="120"/>
        <v>970</v>
      </c>
      <c r="C971" t="s">
        <v>2848</v>
      </c>
      <c r="D971">
        <v>32</v>
      </c>
      <c r="E971" t="s">
        <v>71</v>
      </c>
      <c r="F971" t="str">
        <f t="shared" si="121"/>
        <v>Male</v>
      </c>
      <c r="G971" s="1">
        <v>45843</v>
      </c>
      <c r="H971" s="1">
        <v>45661</v>
      </c>
      <c r="I971" t="s">
        <v>1079</v>
      </c>
      <c r="J971" t="str">
        <f t="shared" si="122"/>
        <v>James Fox</v>
      </c>
      <c r="K971" t="s">
        <v>18</v>
      </c>
      <c r="L971" t="str">
        <f t="shared" si="123"/>
        <v>Orthopedics</v>
      </c>
      <c r="M971" t="s">
        <v>2849</v>
      </c>
      <c r="N971" t="str">
        <f t="shared" si="124"/>
        <v>INR</v>
      </c>
      <c r="O971">
        <f t="shared" si="125"/>
        <v>254.14</v>
      </c>
      <c r="P971" cm="1">
        <f t="array" ref="P971">_xlfn.IFS(N971="USD",O971*1,N971="GBP",O971*1.27,N971="EUR",O971*1.09,N971="INR",O971*0.012,N971="N/A","N/A")</f>
        <v>3.0496799999999999</v>
      </c>
      <c r="Q971">
        <v>1</v>
      </c>
      <c r="R971" t="str" cm="1">
        <f t="array" ref="R971">_xlfn.IFS(Q971="Y","Yes", Q971="Yes","Yes", Q971="N","No", Q971="No","No", Q971=1,"N/A", Q971=0,"N/A", TRUE,"")</f>
        <v>N/A</v>
      </c>
      <c r="S971">
        <f t="shared" si="126"/>
        <v>11</v>
      </c>
      <c r="T971">
        <f t="shared" si="127"/>
        <v>1</v>
      </c>
      <c r="U971" t="str" cm="1">
        <f t="array" ref="U971">_xlfn.IFS(D971&lt;40,"Young Adult",AND(D971&gt;=40,D971&lt;65),"Middle Aged", D971&gt;=65,"Elderly")</f>
        <v>Young Adult</v>
      </c>
    </row>
    <row r="972" spans="1:21" x14ac:dyDescent="0.2">
      <c r="A972">
        <v>1081</v>
      </c>
      <c r="B972">
        <f t="shared" si="120"/>
        <v>971</v>
      </c>
      <c r="C972" t="s">
        <v>2850</v>
      </c>
      <c r="D972">
        <v>32</v>
      </c>
      <c r="E972" t="s">
        <v>22</v>
      </c>
      <c r="F972" t="str">
        <f t="shared" si="121"/>
        <v>Male</v>
      </c>
      <c r="G972" s="1">
        <v>46079</v>
      </c>
      <c r="H972" s="1">
        <v>45761</v>
      </c>
      <c r="I972" t="s">
        <v>1518</v>
      </c>
      <c r="J972" t="str">
        <f t="shared" si="122"/>
        <v>Kristen Lopez</v>
      </c>
      <c r="K972" t="s">
        <v>24</v>
      </c>
      <c r="L972" t="str">
        <f t="shared" si="123"/>
        <v>Neurology</v>
      </c>
      <c r="M972" t="s">
        <v>2851</v>
      </c>
      <c r="N972" t="str">
        <f t="shared" si="124"/>
        <v>USD</v>
      </c>
      <c r="O972">
        <f t="shared" si="125"/>
        <v>112.79</v>
      </c>
      <c r="P972" cm="1">
        <f t="array" ref="P972">_xlfn.IFS(N972="USD",O972*1,N972="GBP",O972*1.27,N972="EUR",O972*1.09,N972="INR",O972*0.012,N972="N/A","N/A")</f>
        <v>112.79</v>
      </c>
      <c r="Q972">
        <v>0</v>
      </c>
      <c r="R972" t="str" cm="1">
        <f t="array" ref="R972">_xlfn.IFS(Q972="Y","Yes", Q972="Yes","Yes", Q972="N","No", Q972="No","No", Q972=1,"N/A", Q972=0,"N/A", TRUE,"")</f>
        <v>N/A</v>
      </c>
      <c r="S972">
        <f t="shared" si="126"/>
        <v>9</v>
      </c>
      <c r="T972">
        <f t="shared" si="127"/>
        <v>1</v>
      </c>
      <c r="U972" t="str" cm="1">
        <f t="array" ref="U972">_xlfn.IFS(D972&lt;40,"Young Adult",AND(D972&gt;=40,D972&lt;65),"Middle Aged", D972&gt;=65,"Elderly")</f>
        <v>Young Adult</v>
      </c>
    </row>
    <row r="973" spans="1:21" x14ac:dyDescent="0.2">
      <c r="A973">
        <v>1042</v>
      </c>
      <c r="B973">
        <f t="shared" si="120"/>
        <v>972</v>
      </c>
      <c r="C973" t="s">
        <v>2852</v>
      </c>
      <c r="D973">
        <v>48</v>
      </c>
      <c r="E973" t="s">
        <v>2937</v>
      </c>
      <c r="F973" t="str">
        <f t="shared" si="121"/>
        <v>N/A</v>
      </c>
      <c r="G973" s="1">
        <v>45822</v>
      </c>
      <c r="H973" s="1">
        <v>45737</v>
      </c>
      <c r="I973" t="s">
        <v>2853</v>
      </c>
      <c r="J973" t="str">
        <f t="shared" si="122"/>
        <v>Charles Nguyen</v>
      </c>
      <c r="K973" t="s">
        <v>13</v>
      </c>
      <c r="L973" t="str">
        <f t="shared" si="123"/>
        <v>Cardiology</v>
      </c>
      <c r="M973" t="s">
        <v>2854</v>
      </c>
      <c r="N973" t="str">
        <f t="shared" si="124"/>
        <v>INR</v>
      </c>
      <c r="O973">
        <f t="shared" si="125"/>
        <v>164.15</v>
      </c>
      <c r="P973" cm="1">
        <f t="array" ref="P973">_xlfn.IFS(N973="USD",O973*1,N973="GBP",O973*1.27,N973="EUR",O973*1.09,N973="INR",O973*0.012,N973="N/A","N/A")</f>
        <v>1.9698000000000002</v>
      </c>
      <c r="Q973" t="s">
        <v>20</v>
      </c>
      <c r="R973" t="str" cm="1">
        <f t="array" ref="R973">_xlfn.IFS(Q973="Y","Yes", Q973="Yes","Yes", Q973="N","No", Q973="No","No", Q973=1,"N/A", Q973=0,"N/A", TRUE,"")</f>
        <v>Yes</v>
      </c>
      <c r="S973">
        <f t="shared" si="126"/>
        <v>4</v>
      </c>
      <c r="T973">
        <f t="shared" si="127"/>
        <v>1</v>
      </c>
      <c r="U973" t="str" cm="1">
        <f t="array" ref="U973">_xlfn.IFS(D973&lt;40,"Young Adult",AND(D973&gt;=40,D973&lt;65),"Middle Aged", D973&gt;=65,"Elderly")</f>
        <v>Middle Aged</v>
      </c>
    </row>
    <row r="974" spans="1:21" x14ac:dyDescent="0.2">
      <c r="A974">
        <v>1082</v>
      </c>
      <c r="B974">
        <f t="shared" si="120"/>
        <v>973</v>
      </c>
      <c r="C974" t="s">
        <v>2855</v>
      </c>
      <c r="D974">
        <v>69</v>
      </c>
      <c r="E974" t="s">
        <v>38</v>
      </c>
      <c r="F974" t="str">
        <f t="shared" si="121"/>
        <v>Female</v>
      </c>
      <c r="G974" s="1">
        <v>45802</v>
      </c>
      <c r="H974" s="1">
        <v>45458</v>
      </c>
      <c r="I974" t="s">
        <v>2856</v>
      </c>
      <c r="J974" t="str">
        <f t="shared" si="122"/>
        <v>Douglas Foster</v>
      </c>
      <c r="K974" t="s">
        <v>13</v>
      </c>
      <c r="L974" t="str">
        <f t="shared" si="123"/>
        <v>Cardiology</v>
      </c>
      <c r="M974" t="s">
        <v>2857</v>
      </c>
      <c r="N974" t="str">
        <f t="shared" si="124"/>
        <v>EUR</v>
      </c>
      <c r="O974">
        <f t="shared" si="125"/>
        <v>94.37</v>
      </c>
      <c r="P974" cm="1">
        <f t="array" ref="P974">_xlfn.IFS(N974="USD",O974*1,N974="GBP",O974*1.27,N974="EUR",O974*1.09,N974="INR",O974*0.012,N974="N/A","N/A")</f>
        <v>102.86330000000001</v>
      </c>
      <c r="Q974">
        <v>1</v>
      </c>
      <c r="R974" t="str" cm="1">
        <f t="array" ref="R974">_xlfn.IFS(Q974="Y","Yes", Q974="Yes","Yes", Q974="N","No", Q974="No","No", Q974=1,"N/A", Q974=0,"N/A", TRUE,"")</f>
        <v>N/A</v>
      </c>
      <c r="S974">
        <f t="shared" si="126"/>
        <v>14</v>
      </c>
      <c r="T974">
        <f t="shared" si="127"/>
        <v>1</v>
      </c>
      <c r="U974" t="str" cm="1">
        <f t="array" ref="U974">_xlfn.IFS(D974&lt;40,"Young Adult",AND(D974&gt;=40,D974&lt;65),"Middle Aged", D974&gt;=65,"Elderly")</f>
        <v>Elderly</v>
      </c>
    </row>
    <row r="975" spans="1:21" x14ac:dyDescent="0.2">
      <c r="A975">
        <v>1002</v>
      </c>
      <c r="B975">
        <f t="shared" si="120"/>
        <v>974</v>
      </c>
      <c r="C975" t="s">
        <v>2858</v>
      </c>
      <c r="D975">
        <v>88</v>
      </c>
      <c r="E975" t="s">
        <v>16</v>
      </c>
      <c r="F975" t="str">
        <f t="shared" si="121"/>
        <v>Female</v>
      </c>
      <c r="G975" s="1">
        <v>45947</v>
      </c>
      <c r="H975" s="1">
        <v>45801</v>
      </c>
      <c r="I975" t="s">
        <v>2859</v>
      </c>
      <c r="J975" t="str">
        <f t="shared" si="122"/>
        <v>George Singleton</v>
      </c>
      <c r="K975" t="s">
        <v>13</v>
      </c>
      <c r="L975" t="str">
        <f t="shared" si="123"/>
        <v>Cardiology</v>
      </c>
      <c r="M975" t="s">
        <v>2860</v>
      </c>
      <c r="N975" t="str">
        <f t="shared" si="124"/>
        <v>USD</v>
      </c>
      <c r="O975">
        <f t="shared" si="125"/>
        <v>368.53</v>
      </c>
      <c r="P975" cm="1">
        <f t="array" ref="P975">_xlfn.IFS(N975="USD",O975*1,N975="GBP",O975*1.27,N975="EUR",O975*1.09,N975="INR",O975*0.012,N975="N/A","N/A")</f>
        <v>368.53</v>
      </c>
      <c r="Q975" t="s">
        <v>30</v>
      </c>
      <c r="R975" t="str" cm="1">
        <f t="array" ref="R975">_xlfn.IFS(Q975="Y","Yes", Q975="Yes","Yes", Q975="N","No", Q975="No","No", Q975=1,"N/A", Q975=0,"N/A", TRUE,"")</f>
        <v>No</v>
      </c>
      <c r="S975">
        <f t="shared" si="126"/>
        <v>7</v>
      </c>
      <c r="T975">
        <f t="shared" si="127"/>
        <v>1</v>
      </c>
      <c r="U975" t="str" cm="1">
        <f t="array" ref="U975">_xlfn.IFS(D975&lt;40,"Young Adult",AND(D975&gt;=40,D975&lt;65),"Middle Aged", D975&gt;=65,"Elderly")</f>
        <v>Elderly</v>
      </c>
    </row>
    <row r="976" spans="1:21" x14ac:dyDescent="0.2">
      <c r="A976">
        <v>1047</v>
      </c>
      <c r="B976">
        <f t="shared" si="120"/>
        <v>975</v>
      </c>
      <c r="C976" t="s">
        <v>2861</v>
      </c>
      <c r="D976">
        <v>36</v>
      </c>
      <c r="E976" t="s">
        <v>2937</v>
      </c>
      <c r="F976" t="str">
        <f t="shared" si="121"/>
        <v>N/A</v>
      </c>
      <c r="G976" s="1">
        <v>46043</v>
      </c>
      <c r="H976" s="1">
        <v>45663</v>
      </c>
      <c r="I976" t="s">
        <v>2862</v>
      </c>
      <c r="J976" t="str">
        <f t="shared" si="122"/>
        <v>Cynthia Baker</v>
      </c>
      <c r="K976" t="s">
        <v>18</v>
      </c>
      <c r="L976" t="str">
        <f t="shared" si="123"/>
        <v>Orthopedics</v>
      </c>
      <c r="M976" t="s">
        <v>2863</v>
      </c>
      <c r="N976" t="str">
        <f t="shared" si="124"/>
        <v>INR</v>
      </c>
      <c r="O976">
        <f t="shared" si="125"/>
        <v>240.37</v>
      </c>
      <c r="P976" cm="1">
        <f t="array" ref="P976">_xlfn.IFS(N976="USD",O976*1,N976="GBP",O976*1.27,N976="EUR",O976*1.09,N976="INR",O976*0.012,N976="N/A","N/A")</f>
        <v>2.8844400000000001</v>
      </c>
      <c r="Q976">
        <v>0</v>
      </c>
      <c r="R976" t="str" cm="1">
        <f t="array" ref="R976">_xlfn.IFS(Q976="Y","Yes", Q976="Yes","Yes", Q976="N","No", Q976="No","No", Q976=1,"N/A", Q976=0,"N/A", TRUE,"")</f>
        <v>N/A</v>
      </c>
      <c r="S976">
        <f t="shared" si="126"/>
        <v>17</v>
      </c>
      <c r="T976">
        <f t="shared" si="127"/>
        <v>1</v>
      </c>
      <c r="U976" t="str" cm="1">
        <f t="array" ref="U976">_xlfn.IFS(D976&lt;40,"Young Adult",AND(D976&gt;=40,D976&lt;65),"Middle Aged", D976&gt;=65,"Elderly")</f>
        <v>Young Adult</v>
      </c>
    </row>
    <row r="977" spans="1:21" x14ac:dyDescent="0.2">
      <c r="A977">
        <v>1043</v>
      </c>
      <c r="B977">
        <f t="shared" si="120"/>
        <v>976</v>
      </c>
      <c r="C977" t="s">
        <v>2864</v>
      </c>
      <c r="D977">
        <v>64</v>
      </c>
      <c r="E977" t="s">
        <v>51</v>
      </c>
      <c r="F977" t="str">
        <f t="shared" si="121"/>
        <v>Male</v>
      </c>
      <c r="G977" s="1">
        <v>45956</v>
      </c>
      <c r="H977" s="1">
        <v>45427</v>
      </c>
      <c r="I977" t="s">
        <v>2865</v>
      </c>
      <c r="J977" t="str">
        <f t="shared" si="122"/>
        <v>Andrea Lam</v>
      </c>
      <c r="K977" t="s">
        <v>24</v>
      </c>
      <c r="L977" t="str">
        <f t="shared" si="123"/>
        <v>Neurology</v>
      </c>
      <c r="M977" t="s">
        <v>2866</v>
      </c>
      <c r="N977" t="str">
        <f t="shared" si="124"/>
        <v>GBP</v>
      </c>
      <c r="O977">
        <f t="shared" si="125"/>
        <v>238.59</v>
      </c>
      <c r="P977" cm="1">
        <f t="array" ref="P977">_xlfn.IFS(N977="USD",O977*1,N977="GBP",O977*1.27,N977="EUR",O977*1.09,N977="INR",O977*0.012,N977="N/A","N/A")</f>
        <v>303.0093</v>
      </c>
      <c r="Q977" t="s">
        <v>20</v>
      </c>
      <c r="R977" t="str" cm="1">
        <f t="array" ref="R977">_xlfn.IFS(Q977="Y","Yes", Q977="Yes","Yes", Q977="N","No", Q977="No","No", Q977=1,"N/A", Q977=0,"N/A", TRUE,"")</f>
        <v>Yes</v>
      </c>
      <c r="S977">
        <f t="shared" si="126"/>
        <v>12</v>
      </c>
      <c r="T977">
        <f t="shared" si="127"/>
        <v>1</v>
      </c>
      <c r="U977" t="str" cm="1">
        <f t="array" ref="U977">_xlfn.IFS(D977&lt;40,"Young Adult",AND(D977&gt;=40,D977&lt;65),"Middle Aged", D977&gt;=65,"Elderly")</f>
        <v>Middle Aged</v>
      </c>
    </row>
    <row r="978" spans="1:21" x14ac:dyDescent="0.2">
      <c r="A978">
        <v>1072</v>
      </c>
      <c r="B978">
        <f t="shared" si="120"/>
        <v>977</v>
      </c>
      <c r="C978" t="s">
        <v>2867</v>
      </c>
      <c r="D978">
        <v>38</v>
      </c>
      <c r="E978" t="s">
        <v>16</v>
      </c>
      <c r="F978" t="str">
        <f t="shared" si="121"/>
        <v>Female</v>
      </c>
      <c r="G978" s="1">
        <v>45958</v>
      </c>
      <c r="H978" s="1">
        <v>45638</v>
      </c>
      <c r="I978" t="s">
        <v>2868</v>
      </c>
      <c r="J978" t="str">
        <f t="shared" si="122"/>
        <v>Frank Anderson</v>
      </c>
      <c r="K978" t="s">
        <v>28</v>
      </c>
      <c r="L978" t="str">
        <f t="shared" si="123"/>
        <v>General</v>
      </c>
      <c r="M978" t="s">
        <v>2869</v>
      </c>
      <c r="N978" t="str">
        <f t="shared" si="124"/>
        <v>INR</v>
      </c>
      <c r="O978">
        <f t="shared" si="125"/>
        <v>279.32</v>
      </c>
      <c r="P978" cm="1">
        <f t="array" ref="P978">_xlfn.IFS(N978="USD",O978*1,N978="GBP",O978*1.27,N978="EUR",O978*1.09,N978="INR",O978*0.012,N978="N/A","N/A")</f>
        <v>3.3518400000000002</v>
      </c>
      <c r="Q978">
        <v>0</v>
      </c>
      <c r="R978" t="str" cm="1">
        <f t="array" ref="R978">_xlfn.IFS(Q978="Y","Yes", Q978="Yes","Yes", Q978="N","No", Q978="No","No", Q978=1,"N/A", Q978=0,"N/A", TRUE,"")</f>
        <v>N/A</v>
      </c>
      <c r="S978">
        <f t="shared" si="126"/>
        <v>9</v>
      </c>
      <c r="T978">
        <f t="shared" si="127"/>
        <v>1</v>
      </c>
      <c r="U978" t="str" cm="1">
        <f t="array" ref="U978">_xlfn.IFS(D978&lt;40,"Young Adult",AND(D978&gt;=40,D978&lt;65),"Middle Aged", D978&gt;=65,"Elderly")</f>
        <v>Young Adult</v>
      </c>
    </row>
    <row r="979" spans="1:21" x14ac:dyDescent="0.2">
      <c r="A979">
        <v>1085</v>
      </c>
      <c r="B979">
        <f t="shared" si="120"/>
        <v>978</v>
      </c>
      <c r="C979" t="s">
        <v>2870</v>
      </c>
      <c r="D979">
        <v>34</v>
      </c>
      <c r="E979" t="s">
        <v>51</v>
      </c>
      <c r="F979" t="str">
        <f t="shared" si="121"/>
        <v>Male</v>
      </c>
      <c r="G979" s="1">
        <v>45989</v>
      </c>
      <c r="H979" s="1">
        <v>45823</v>
      </c>
      <c r="I979" t="s">
        <v>2871</v>
      </c>
      <c r="J979" t="str">
        <f t="shared" si="122"/>
        <v>Derek Doyle</v>
      </c>
      <c r="K979" t="s">
        <v>13</v>
      </c>
      <c r="L979" t="str">
        <f t="shared" si="123"/>
        <v>Cardiology</v>
      </c>
      <c r="M979" t="s">
        <v>2872</v>
      </c>
      <c r="N979" t="str">
        <f t="shared" si="124"/>
        <v>INR</v>
      </c>
      <c r="O979">
        <f t="shared" si="125"/>
        <v>114.8</v>
      </c>
      <c r="P979" cm="1">
        <f t="array" ref="P979">_xlfn.IFS(N979="USD",O979*1,N979="GBP",O979*1.27,N979="EUR",O979*1.09,N979="INR",O979*0.012,N979="N/A","N/A")</f>
        <v>1.3775999999999999</v>
      </c>
      <c r="Q979">
        <v>0</v>
      </c>
      <c r="R979" t="str" cm="1">
        <f t="array" ref="R979">_xlfn.IFS(Q979="Y","Yes", Q979="Yes","Yes", Q979="N","No", Q979="No","No", Q979=1,"N/A", Q979=0,"N/A", TRUE,"")</f>
        <v>N/A</v>
      </c>
      <c r="S979">
        <f t="shared" si="126"/>
        <v>12</v>
      </c>
      <c r="T979">
        <f t="shared" si="127"/>
        <v>1</v>
      </c>
      <c r="U979" t="str" cm="1">
        <f t="array" ref="U979">_xlfn.IFS(D979&lt;40,"Young Adult",AND(D979&gt;=40,D979&lt;65),"Middle Aged", D979&gt;=65,"Elderly")</f>
        <v>Young Adult</v>
      </c>
    </row>
    <row r="980" spans="1:21" x14ac:dyDescent="0.2">
      <c r="A980">
        <v>1088</v>
      </c>
      <c r="B980">
        <f t="shared" si="120"/>
        <v>979</v>
      </c>
      <c r="C980" t="s">
        <v>2873</v>
      </c>
      <c r="D980">
        <v>19</v>
      </c>
      <c r="E980" t="s">
        <v>38</v>
      </c>
      <c r="F980" t="str">
        <f t="shared" si="121"/>
        <v>Female</v>
      </c>
      <c r="G980" s="1">
        <v>45861</v>
      </c>
      <c r="H980" s="1">
        <v>45775</v>
      </c>
      <c r="I980" t="s">
        <v>1713</v>
      </c>
      <c r="J980" t="str">
        <f t="shared" si="122"/>
        <v>Nancy Wilson</v>
      </c>
      <c r="K980" t="s">
        <v>28</v>
      </c>
      <c r="L980" t="str">
        <f t="shared" si="123"/>
        <v>General</v>
      </c>
      <c r="M980" t="s">
        <v>2874</v>
      </c>
      <c r="N980" t="str">
        <f t="shared" si="124"/>
        <v>EUR</v>
      </c>
      <c r="O980">
        <f t="shared" si="125"/>
        <v>96.78</v>
      </c>
      <c r="P980" cm="1">
        <f t="array" ref="P980">_xlfn.IFS(N980="USD",O980*1,N980="GBP",O980*1.27,N980="EUR",O980*1.09,N980="INR",O980*0.012,N980="N/A","N/A")</f>
        <v>105.49020000000002</v>
      </c>
      <c r="Q980" t="s">
        <v>60</v>
      </c>
      <c r="R980" t="str" cm="1">
        <f t="array" ref="R980">_xlfn.IFS(Q980="Y","Yes", Q980="Yes","Yes", Q980="N","No", Q980="No","No", Q980=1,"N/A", Q980=0,"N/A", TRUE,"")</f>
        <v>No</v>
      </c>
      <c r="S980">
        <f t="shared" si="126"/>
        <v>16</v>
      </c>
      <c r="T980">
        <f t="shared" si="127"/>
        <v>1</v>
      </c>
      <c r="U980" t="str" cm="1">
        <f t="array" ref="U980">_xlfn.IFS(D980&lt;40,"Young Adult",AND(D980&gt;=40,D980&lt;65),"Middle Aged", D980&gt;=65,"Elderly")</f>
        <v>Young Adult</v>
      </c>
    </row>
    <row r="981" spans="1:21" x14ac:dyDescent="0.2">
      <c r="A981">
        <v>1059</v>
      </c>
      <c r="B981">
        <f t="shared" si="120"/>
        <v>980</v>
      </c>
      <c r="C981" t="s">
        <v>2875</v>
      </c>
      <c r="D981">
        <v>65</v>
      </c>
      <c r="E981" t="s">
        <v>16</v>
      </c>
      <c r="F981" t="str">
        <f t="shared" si="121"/>
        <v>Female</v>
      </c>
      <c r="G981" s="1">
        <v>45862</v>
      </c>
      <c r="H981" s="1">
        <v>45808</v>
      </c>
      <c r="I981" t="s">
        <v>2876</v>
      </c>
      <c r="J981" t="str">
        <f t="shared" si="122"/>
        <v>Kathy Lawson</v>
      </c>
      <c r="K981" t="s">
        <v>24</v>
      </c>
      <c r="L981" t="str">
        <f t="shared" si="123"/>
        <v>Neurology</v>
      </c>
      <c r="M981" t="s">
        <v>2877</v>
      </c>
      <c r="N981" t="str">
        <f t="shared" si="124"/>
        <v>GBP</v>
      </c>
      <c r="O981">
        <f t="shared" si="125"/>
        <v>384.42</v>
      </c>
      <c r="P981" cm="1">
        <f t="array" ref="P981">_xlfn.IFS(N981="USD",O981*1,N981="GBP",O981*1.27,N981="EUR",O981*1.09,N981="INR",O981*0.012,N981="N/A","N/A")</f>
        <v>488.21340000000004</v>
      </c>
      <c r="Q981">
        <v>0</v>
      </c>
      <c r="R981" t="str" cm="1">
        <f t="array" ref="R981">_xlfn.IFS(Q981="Y","Yes", Q981="Yes","Yes", Q981="N","No", Q981="No","No", Q981=1,"N/A", Q981=0,"N/A", TRUE,"")</f>
        <v>N/A</v>
      </c>
      <c r="S981">
        <f t="shared" si="126"/>
        <v>13</v>
      </c>
      <c r="T981">
        <f t="shared" si="127"/>
        <v>1</v>
      </c>
      <c r="U981" t="str" cm="1">
        <f t="array" ref="U981">_xlfn.IFS(D981&lt;40,"Young Adult",AND(D981&gt;=40,D981&lt;65),"Middle Aged", D981&gt;=65,"Elderly")</f>
        <v>Elderly</v>
      </c>
    </row>
    <row r="982" spans="1:21" x14ac:dyDescent="0.2">
      <c r="A982">
        <v>1028</v>
      </c>
      <c r="B982">
        <f t="shared" si="120"/>
        <v>981</v>
      </c>
      <c r="C982" t="s">
        <v>2878</v>
      </c>
      <c r="D982">
        <v>43</v>
      </c>
      <c r="E982" t="s">
        <v>2937</v>
      </c>
      <c r="F982" t="str">
        <f t="shared" si="121"/>
        <v>N/A</v>
      </c>
      <c r="G982" s="1">
        <v>45841</v>
      </c>
      <c r="H982" s="1">
        <v>45428</v>
      </c>
      <c r="I982" t="s">
        <v>2879</v>
      </c>
      <c r="J982" t="str">
        <f t="shared" si="122"/>
        <v>Daniel Love</v>
      </c>
      <c r="K982" t="s">
        <v>24</v>
      </c>
      <c r="L982" t="str">
        <f t="shared" si="123"/>
        <v>Neurology</v>
      </c>
      <c r="M982" t="s">
        <v>2880</v>
      </c>
      <c r="N982" t="str">
        <f t="shared" si="124"/>
        <v>INR</v>
      </c>
      <c r="O982">
        <f t="shared" si="125"/>
        <v>187.7</v>
      </c>
      <c r="P982" cm="1">
        <f t="array" ref="P982">_xlfn.IFS(N982="USD",O982*1,N982="GBP",O982*1.27,N982="EUR",O982*1.09,N982="INR",O982*0.012,N982="N/A","N/A")</f>
        <v>2.2523999999999997</v>
      </c>
      <c r="Q982">
        <v>1</v>
      </c>
      <c r="R982" t="str" cm="1">
        <f t="array" ref="R982">_xlfn.IFS(Q982="Y","Yes", Q982="Yes","Yes", Q982="N","No", Q982="No","No", Q982=1,"N/A", Q982=0,"N/A", TRUE,"")</f>
        <v>N/A</v>
      </c>
      <c r="S982">
        <f t="shared" si="126"/>
        <v>8</v>
      </c>
      <c r="T982">
        <f t="shared" si="127"/>
        <v>1</v>
      </c>
      <c r="U982" t="str" cm="1">
        <f t="array" ref="U982">_xlfn.IFS(D982&lt;40,"Young Adult",AND(D982&gt;=40,D982&lt;65),"Middle Aged", D982&gt;=65,"Elderly")</f>
        <v>Middle Aged</v>
      </c>
    </row>
    <row r="983" spans="1:21" x14ac:dyDescent="0.2">
      <c r="A983">
        <v>1019</v>
      </c>
      <c r="B983">
        <f t="shared" si="120"/>
        <v>982</v>
      </c>
      <c r="C983" t="s">
        <v>2881</v>
      </c>
      <c r="D983">
        <v>66</v>
      </c>
      <c r="E983" t="s">
        <v>16</v>
      </c>
      <c r="F983" t="str">
        <f t="shared" si="121"/>
        <v>Female</v>
      </c>
      <c r="G983" s="1">
        <v>45865</v>
      </c>
      <c r="H983" s="1">
        <v>45855</v>
      </c>
      <c r="I983" t="s">
        <v>2882</v>
      </c>
      <c r="J983" t="str">
        <f t="shared" si="122"/>
        <v>Rachel Wells</v>
      </c>
      <c r="K983" t="s">
        <v>18</v>
      </c>
      <c r="L983" t="str">
        <f t="shared" si="123"/>
        <v>Orthopedics</v>
      </c>
      <c r="M983" t="s">
        <v>2883</v>
      </c>
      <c r="N983" t="str">
        <f t="shared" si="124"/>
        <v>GBP</v>
      </c>
      <c r="O983">
        <f t="shared" si="125"/>
        <v>382.67</v>
      </c>
      <c r="P983" cm="1">
        <f t="array" ref="P983">_xlfn.IFS(N983="USD",O983*1,N983="GBP",O983*1.27,N983="EUR",O983*1.09,N983="INR",O983*0.012,N983="N/A","N/A")</f>
        <v>485.99090000000001</v>
      </c>
      <c r="Q983" t="s">
        <v>30</v>
      </c>
      <c r="R983" t="str" cm="1">
        <f t="array" ref="R983">_xlfn.IFS(Q983="Y","Yes", Q983="Yes","Yes", Q983="N","No", Q983="No","No", Q983=1,"N/A", Q983=0,"N/A", TRUE,"")</f>
        <v>No</v>
      </c>
      <c r="S983">
        <f t="shared" si="126"/>
        <v>6</v>
      </c>
      <c r="T983">
        <f t="shared" si="127"/>
        <v>1</v>
      </c>
      <c r="U983" t="str" cm="1">
        <f t="array" ref="U983">_xlfn.IFS(D983&lt;40,"Young Adult",AND(D983&gt;=40,D983&lt;65),"Middle Aged", D983&gt;=65,"Elderly")</f>
        <v>Elderly</v>
      </c>
    </row>
    <row r="984" spans="1:21" x14ac:dyDescent="0.2">
      <c r="A984">
        <v>1012</v>
      </c>
      <c r="B984">
        <f t="shared" si="120"/>
        <v>983</v>
      </c>
      <c r="C984" t="s">
        <v>2884</v>
      </c>
      <c r="D984">
        <v>78</v>
      </c>
      <c r="E984" t="s">
        <v>38</v>
      </c>
      <c r="F984" t="str">
        <f t="shared" si="121"/>
        <v>Female</v>
      </c>
      <c r="G984" s="1">
        <v>45853</v>
      </c>
      <c r="H984" s="1">
        <v>45842</v>
      </c>
      <c r="I984" t="s">
        <v>2885</v>
      </c>
      <c r="J984" t="str">
        <f t="shared" si="122"/>
        <v>Donna Stephens</v>
      </c>
      <c r="K984" t="s">
        <v>28</v>
      </c>
      <c r="L984" t="str">
        <f t="shared" si="123"/>
        <v>General</v>
      </c>
      <c r="M984" t="s">
        <v>2886</v>
      </c>
      <c r="N984" t="str">
        <f t="shared" si="124"/>
        <v>EUR</v>
      </c>
      <c r="O984">
        <f t="shared" si="125"/>
        <v>236.27</v>
      </c>
      <c r="P984" cm="1">
        <f t="array" ref="P984">_xlfn.IFS(N984="USD",O984*1,N984="GBP",O984*1.27,N984="EUR",O984*1.09,N984="INR",O984*0.012,N984="N/A","N/A")</f>
        <v>257.53430000000003</v>
      </c>
      <c r="Q984">
        <v>0</v>
      </c>
      <c r="R984" t="str" cm="1">
        <f t="array" ref="R984">_xlfn.IFS(Q984="Y","Yes", Q984="Yes","Yes", Q984="N","No", Q984="No","No", Q984=1,"N/A", Q984=0,"N/A", TRUE,"")</f>
        <v>N/A</v>
      </c>
      <c r="S984">
        <f t="shared" si="126"/>
        <v>9</v>
      </c>
      <c r="T984">
        <f t="shared" si="127"/>
        <v>1</v>
      </c>
      <c r="U984" t="str" cm="1">
        <f t="array" ref="U984">_xlfn.IFS(D984&lt;40,"Young Adult",AND(D984&gt;=40,D984&lt;65),"Middle Aged", D984&gt;=65,"Elderly")</f>
        <v>Elderly</v>
      </c>
    </row>
    <row r="985" spans="1:21" x14ac:dyDescent="0.2">
      <c r="A985">
        <v>1049</v>
      </c>
      <c r="B985">
        <f t="shared" si="120"/>
        <v>984</v>
      </c>
      <c r="C985" t="s">
        <v>2887</v>
      </c>
      <c r="D985">
        <v>84</v>
      </c>
      <c r="E985" t="s">
        <v>71</v>
      </c>
      <c r="F985" t="str">
        <f t="shared" si="121"/>
        <v>Male</v>
      </c>
      <c r="G985" s="1">
        <v>46017</v>
      </c>
      <c r="H985" s="1">
        <v>45876</v>
      </c>
      <c r="I985" t="s">
        <v>2888</v>
      </c>
      <c r="J985" t="str">
        <f t="shared" si="122"/>
        <v>Autumn Hill</v>
      </c>
      <c r="K985" t="s">
        <v>13</v>
      </c>
      <c r="L985" t="str">
        <f t="shared" si="123"/>
        <v>Cardiology</v>
      </c>
      <c r="M985" t="s">
        <v>2889</v>
      </c>
      <c r="N985" t="str">
        <f t="shared" si="124"/>
        <v>USD</v>
      </c>
      <c r="O985">
        <f t="shared" si="125"/>
        <v>359.17</v>
      </c>
      <c r="P985" cm="1">
        <f t="array" ref="P985">_xlfn.IFS(N985="USD",O985*1,N985="GBP",O985*1.27,N985="EUR",O985*1.09,N985="INR",O985*0.012,N985="N/A","N/A")</f>
        <v>359.17</v>
      </c>
      <c r="Q985" t="s">
        <v>20</v>
      </c>
      <c r="R985" t="str" cm="1">
        <f t="array" ref="R985">_xlfn.IFS(Q985="Y","Yes", Q985="Yes","Yes", Q985="N","No", Q985="No","No", Q985=1,"N/A", Q985=0,"N/A", TRUE,"")</f>
        <v>Yes</v>
      </c>
      <c r="S985">
        <f t="shared" si="126"/>
        <v>8</v>
      </c>
      <c r="T985">
        <f t="shared" si="127"/>
        <v>1</v>
      </c>
      <c r="U985" t="str" cm="1">
        <f t="array" ref="U985">_xlfn.IFS(D985&lt;40,"Young Adult",AND(D985&gt;=40,D985&lt;65),"Middle Aged", D985&gt;=65,"Elderly")</f>
        <v>Elderly</v>
      </c>
    </row>
    <row r="986" spans="1:21" x14ac:dyDescent="0.2">
      <c r="A986">
        <v>1081</v>
      </c>
      <c r="B986">
        <f t="shared" si="120"/>
        <v>985</v>
      </c>
      <c r="C986" t="s">
        <v>2890</v>
      </c>
      <c r="D986">
        <v>43</v>
      </c>
      <c r="E986" t="s">
        <v>2937</v>
      </c>
      <c r="F986" t="str">
        <f t="shared" si="121"/>
        <v>N/A</v>
      </c>
      <c r="G986" s="1">
        <v>45864</v>
      </c>
      <c r="H986" s="1">
        <v>45436</v>
      </c>
      <c r="I986" t="s">
        <v>2891</v>
      </c>
      <c r="J986" t="str">
        <f t="shared" si="122"/>
        <v>Daniel Morris</v>
      </c>
      <c r="K986" t="s">
        <v>18</v>
      </c>
      <c r="L986" t="str">
        <f t="shared" si="123"/>
        <v>Orthopedics</v>
      </c>
      <c r="M986" t="s">
        <v>2892</v>
      </c>
      <c r="N986" t="str">
        <f t="shared" si="124"/>
        <v>INR</v>
      </c>
      <c r="O986">
        <f t="shared" si="125"/>
        <v>362.65</v>
      </c>
      <c r="P986" cm="1">
        <f t="array" ref="P986">_xlfn.IFS(N986="USD",O986*1,N986="GBP",O986*1.27,N986="EUR",O986*1.09,N986="INR",O986*0.012,N986="N/A","N/A")</f>
        <v>4.3517999999999999</v>
      </c>
      <c r="Q986">
        <v>1</v>
      </c>
      <c r="R986" t="str" cm="1">
        <f t="array" ref="R986">_xlfn.IFS(Q986="Y","Yes", Q986="Yes","Yes", Q986="N","No", Q986="No","No", Q986=1,"N/A", Q986=0,"N/A", TRUE,"")</f>
        <v>N/A</v>
      </c>
      <c r="S986">
        <f t="shared" si="126"/>
        <v>9</v>
      </c>
      <c r="T986">
        <f t="shared" si="127"/>
        <v>1</v>
      </c>
      <c r="U986" t="str" cm="1">
        <f t="array" ref="U986">_xlfn.IFS(D986&lt;40,"Young Adult",AND(D986&gt;=40,D986&lt;65),"Middle Aged", D986&gt;=65,"Elderly")</f>
        <v>Middle Aged</v>
      </c>
    </row>
    <row r="987" spans="1:21" x14ac:dyDescent="0.2">
      <c r="A987">
        <v>1045</v>
      </c>
      <c r="B987">
        <f t="shared" si="120"/>
        <v>986</v>
      </c>
      <c r="C987" t="s">
        <v>2893</v>
      </c>
      <c r="D987">
        <v>29</v>
      </c>
      <c r="E987" t="s">
        <v>38</v>
      </c>
      <c r="F987" t="str">
        <f t="shared" si="121"/>
        <v>Female</v>
      </c>
      <c r="G987" s="1">
        <v>45856</v>
      </c>
      <c r="H987" s="1">
        <v>45740</v>
      </c>
      <c r="I987" t="s">
        <v>2894</v>
      </c>
      <c r="J987" t="str">
        <f t="shared" si="122"/>
        <v>Jennifer Paul</v>
      </c>
      <c r="K987" t="s">
        <v>24</v>
      </c>
      <c r="L987" t="str">
        <f t="shared" si="123"/>
        <v>Neurology</v>
      </c>
      <c r="M987" t="s">
        <v>2895</v>
      </c>
      <c r="N987" t="str">
        <f t="shared" si="124"/>
        <v>GBP</v>
      </c>
      <c r="O987">
        <f t="shared" si="125"/>
        <v>401.58</v>
      </c>
      <c r="P987" cm="1">
        <f t="array" ref="P987">_xlfn.IFS(N987="USD",O987*1,N987="GBP",O987*1.27,N987="EUR",O987*1.09,N987="INR",O987*0.012,N987="N/A","N/A")</f>
        <v>510.00659999999999</v>
      </c>
      <c r="Q987" t="s">
        <v>30</v>
      </c>
      <c r="R987" t="str" cm="1">
        <f t="array" ref="R987">_xlfn.IFS(Q987="Y","Yes", Q987="Yes","Yes", Q987="N","No", Q987="No","No", Q987=1,"N/A", Q987=0,"N/A", TRUE,"")</f>
        <v>No</v>
      </c>
      <c r="S987">
        <f t="shared" si="126"/>
        <v>8</v>
      </c>
      <c r="T987">
        <f t="shared" si="127"/>
        <v>1</v>
      </c>
      <c r="U987" t="str" cm="1">
        <f t="array" ref="U987">_xlfn.IFS(D987&lt;40,"Young Adult",AND(D987&gt;=40,D987&lt;65),"Middle Aged", D987&gt;=65,"Elderly")</f>
        <v>Young Adult</v>
      </c>
    </row>
    <row r="988" spans="1:21" x14ac:dyDescent="0.2">
      <c r="A988">
        <v>1076</v>
      </c>
      <c r="B988">
        <f t="shared" si="120"/>
        <v>987</v>
      </c>
      <c r="C988" t="s">
        <v>2896</v>
      </c>
      <c r="D988">
        <v>79</v>
      </c>
      <c r="E988" t="s">
        <v>22</v>
      </c>
      <c r="F988" t="str">
        <f t="shared" si="121"/>
        <v>Male</v>
      </c>
      <c r="G988" s="1">
        <v>46074</v>
      </c>
      <c r="H988" s="1">
        <v>45512</v>
      </c>
      <c r="I988" t="s">
        <v>2897</v>
      </c>
      <c r="J988" t="str">
        <f t="shared" si="122"/>
        <v>Courtney Foley</v>
      </c>
      <c r="K988" t="s">
        <v>18</v>
      </c>
      <c r="L988" t="str">
        <f t="shared" si="123"/>
        <v>Orthopedics</v>
      </c>
      <c r="M988" t="s">
        <v>2898</v>
      </c>
      <c r="N988" t="str">
        <f t="shared" si="124"/>
        <v>USD</v>
      </c>
      <c r="O988">
        <f t="shared" si="125"/>
        <v>120.7</v>
      </c>
      <c r="P988" cm="1">
        <f t="array" ref="P988">_xlfn.IFS(N988="USD",O988*1,N988="GBP",O988*1.27,N988="EUR",O988*1.09,N988="INR",O988*0.012,N988="N/A","N/A")</f>
        <v>120.7</v>
      </c>
      <c r="Q988" t="s">
        <v>20</v>
      </c>
      <c r="R988" t="str" cm="1">
        <f t="array" ref="R988">_xlfn.IFS(Q988="Y","Yes", Q988="Yes","Yes", Q988="N","No", Q988="No","No", Q988=1,"N/A", Q988=0,"N/A", TRUE,"")</f>
        <v>Yes</v>
      </c>
      <c r="S988">
        <f t="shared" si="126"/>
        <v>6</v>
      </c>
      <c r="T988">
        <f t="shared" si="127"/>
        <v>1</v>
      </c>
      <c r="U988" t="str" cm="1">
        <f t="array" ref="U988">_xlfn.IFS(D988&lt;40,"Young Adult",AND(D988&gt;=40,D988&lt;65),"Middle Aged", D988&gt;=65,"Elderly")</f>
        <v>Elderly</v>
      </c>
    </row>
    <row r="989" spans="1:21" x14ac:dyDescent="0.2">
      <c r="A989">
        <v>1047</v>
      </c>
      <c r="B989">
        <f t="shared" si="120"/>
        <v>988</v>
      </c>
      <c r="C989" t="s">
        <v>2899</v>
      </c>
      <c r="D989">
        <v>54</v>
      </c>
      <c r="E989" t="s">
        <v>2937</v>
      </c>
      <c r="F989" t="str">
        <f t="shared" si="121"/>
        <v>N/A</v>
      </c>
      <c r="G989" s="1">
        <v>45810</v>
      </c>
      <c r="H989" s="1">
        <v>45504</v>
      </c>
      <c r="I989" t="s">
        <v>2900</v>
      </c>
      <c r="J989" t="str">
        <f t="shared" si="122"/>
        <v>Stephanie Mercer</v>
      </c>
      <c r="K989" t="s">
        <v>13</v>
      </c>
      <c r="L989" t="str">
        <f t="shared" si="123"/>
        <v>Cardiology</v>
      </c>
      <c r="M989" t="s">
        <v>2901</v>
      </c>
      <c r="N989" t="str">
        <f t="shared" si="124"/>
        <v>GBP</v>
      </c>
      <c r="O989">
        <f t="shared" si="125"/>
        <v>405.15</v>
      </c>
      <c r="P989" cm="1">
        <f t="array" ref="P989">_xlfn.IFS(N989="USD",O989*1,N989="GBP",O989*1.27,N989="EUR",O989*1.09,N989="INR",O989*0.012,N989="N/A","N/A")</f>
        <v>514.54049999999995</v>
      </c>
      <c r="Q989" t="s">
        <v>36</v>
      </c>
      <c r="R989" t="str" cm="1">
        <f t="array" ref="R989">_xlfn.IFS(Q989="Y","Yes", Q989="Yes","Yes", Q989="N","No", Q989="No","No", Q989=1,"N/A", Q989=0,"N/A", TRUE,"")</f>
        <v>Yes</v>
      </c>
      <c r="S989">
        <f t="shared" si="126"/>
        <v>17</v>
      </c>
      <c r="T989">
        <f t="shared" si="127"/>
        <v>1</v>
      </c>
      <c r="U989" t="str" cm="1">
        <f t="array" ref="U989">_xlfn.IFS(D989&lt;40,"Young Adult",AND(D989&gt;=40,D989&lt;65),"Middle Aged", D989&gt;=65,"Elderly")</f>
        <v>Middle Aged</v>
      </c>
    </row>
    <row r="990" spans="1:21" x14ac:dyDescent="0.2">
      <c r="A990">
        <v>1068</v>
      </c>
      <c r="B990">
        <f t="shared" si="120"/>
        <v>989</v>
      </c>
      <c r="C990" t="s">
        <v>2902</v>
      </c>
      <c r="D990">
        <v>42</v>
      </c>
      <c r="E990" t="s">
        <v>71</v>
      </c>
      <c r="F990" t="str">
        <f t="shared" si="121"/>
        <v>Male</v>
      </c>
      <c r="G990" s="1">
        <v>45951</v>
      </c>
      <c r="H990" s="1">
        <v>45747</v>
      </c>
      <c r="I990" t="s">
        <v>2903</v>
      </c>
      <c r="J990" t="str">
        <f t="shared" si="122"/>
        <v>Jacob Mckay</v>
      </c>
      <c r="K990" t="s">
        <v>24</v>
      </c>
      <c r="L990" t="str">
        <f t="shared" si="123"/>
        <v>Neurology</v>
      </c>
      <c r="M990" t="s">
        <v>2904</v>
      </c>
      <c r="N990" t="str">
        <f t="shared" si="124"/>
        <v>USD</v>
      </c>
      <c r="O990">
        <f t="shared" si="125"/>
        <v>263.3</v>
      </c>
      <c r="P990" cm="1">
        <f t="array" ref="P990">_xlfn.IFS(N990="USD",O990*1,N990="GBP",O990*1.27,N990="EUR",O990*1.09,N990="INR",O990*0.012,N990="N/A","N/A")</f>
        <v>263.3</v>
      </c>
      <c r="Q990" t="s">
        <v>36</v>
      </c>
      <c r="R990" t="str" cm="1">
        <f t="array" ref="R990">_xlfn.IFS(Q990="Y","Yes", Q990="Yes","Yes", Q990="N","No", Q990="No","No", Q990=1,"N/A", Q990=0,"N/A", TRUE,"")</f>
        <v>Yes</v>
      </c>
      <c r="S990">
        <f t="shared" si="126"/>
        <v>14</v>
      </c>
      <c r="T990">
        <f t="shared" si="127"/>
        <v>1</v>
      </c>
      <c r="U990" t="str" cm="1">
        <f t="array" ref="U990">_xlfn.IFS(D990&lt;40,"Young Adult",AND(D990&gt;=40,D990&lt;65),"Middle Aged", D990&gt;=65,"Elderly")</f>
        <v>Middle Aged</v>
      </c>
    </row>
    <row r="991" spans="1:21" x14ac:dyDescent="0.2">
      <c r="A991">
        <v>1021</v>
      </c>
      <c r="B991">
        <f t="shared" si="120"/>
        <v>990</v>
      </c>
      <c r="C991" t="s">
        <v>2905</v>
      </c>
      <c r="D991">
        <v>41</v>
      </c>
      <c r="E991" t="s">
        <v>2937</v>
      </c>
      <c r="F991" t="str">
        <f t="shared" si="121"/>
        <v>N/A</v>
      </c>
      <c r="G991" s="1">
        <v>45750</v>
      </c>
      <c r="H991" s="1">
        <v>45526</v>
      </c>
      <c r="I991" t="s">
        <v>2906</v>
      </c>
      <c r="J991" t="str">
        <f t="shared" si="122"/>
        <v>James Berger</v>
      </c>
      <c r="K991" t="s">
        <v>18</v>
      </c>
      <c r="L991" t="str">
        <f t="shared" si="123"/>
        <v>Orthopedics</v>
      </c>
      <c r="M991" t="s">
        <v>2907</v>
      </c>
      <c r="N991" t="str">
        <f t="shared" si="124"/>
        <v>GBP</v>
      </c>
      <c r="O991">
        <f t="shared" si="125"/>
        <v>470.08</v>
      </c>
      <c r="P991" cm="1">
        <f t="array" ref="P991">_xlfn.IFS(N991="USD",O991*1,N991="GBP",O991*1.27,N991="EUR",O991*1.09,N991="INR",O991*0.012,N991="N/A","N/A")</f>
        <v>597.00159999999994</v>
      </c>
      <c r="Q991">
        <v>1</v>
      </c>
      <c r="R991" t="str" cm="1">
        <f t="array" ref="R991">_xlfn.IFS(Q991="Y","Yes", Q991="Yes","Yes", Q991="N","No", Q991="No","No", Q991=1,"N/A", Q991=0,"N/A", TRUE,"")</f>
        <v>N/A</v>
      </c>
      <c r="S991">
        <f t="shared" si="126"/>
        <v>16</v>
      </c>
      <c r="T991">
        <f t="shared" si="127"/>
        <v>1</v>
      </c>
      <c r="U991" t="str" cm="1">
        <f t="array" ref="U991">_xlfn.IFS(D991&lt;40,"Young Adult",AND(D991&gt;=40,D991&lt;65),"Middle Aged", D991&gt;=65,"Elderly")</f>
        <v>Middle Aged</v>
      </c>
    </row>
    <row r="992" spans="1:21" x14ac:dyDescent="0.2">
      <c r="A992">
        <v>1052</v>
      </c>
      <c r="B992">
        <f t="shared" si="120"/>
        <v>991</v>
      </c>
      <c r="C992" t="s">
        <v>2908</v>
      </c>
      <c r="D992">
        <v>48</v>
      </c>
      <c r="E992" t="s">
        <v>16</v>
      </c>
      <c r="F992" t="str">
        <f t="shared" si="121"/>
        <v>Female</v>
      </c>
      <c r="G992" s="1">
        <v>45878</v>
      </c>
      <c r="H992" s="1">
        <v>45773</v>
      </c>
      <c r="I992" t="s">
        <v>2909</v>
      </c>
      <c r="J992" t="str">
        <f t="shared" si="122"/>
        <v>Daniel Smith</v>
      </c>
      <c r="K992" t="s">
        <v>18</v>
      </c>
      <c r="L992" t="str">
        <f t="shared" si="123"/>
        <v>Orthopedics</v>
      </c>
      <c r="M992" t="s">
        <v>2910</v>
      </c>
      <c r="N992" t="str">
        <f t="shared" si="124"/>
        <v>EUR</v>
      </c>
      <c r="O992">
        <f t="shared" si="125"/>
        <v>79.73</v>
      </c>
      <c r="P992" cm="1">
        <f t="array" ref="P992">_xlfn.IFS(N992="USD",O992*1,N992="GBP",O992*1.27,N992="EUR",O992*1.09,N992="INR",O992*0.012,N992="N/A","N/A")</f>
        <v>86.90570000000001</v>
      </c>
      <c r="Q992">
        <v>0</v>
      </c>
      <c r="R992" t="str" cm="1">
        <f t="array" ref="R992">_xlfn.IFS(Q992="Y","Yes", Q992="Yes","Yes", Q992="N","No", Q992="No","No", Q992=1,"N/A", Q992=0,"N/A", TRUE,"")</f>
        <v>N/A</v>
      </c>
      <c r="S992">
        <f t="shared" si="126"/>
        <v>8</v>
      </c>
      <c r="T992">
        <f t="shared" si="127"/>
        <v>1</v>
      </c>
      <c r="U992" t="str" cm="1">
        <f t="array" ref="U992">_xlfn.IFS(D992&lt;40,"Young Adult",AND(D992&gt;=40,D992&lt;65),"Middle Aged", D992&gt;=65,"Elderly")</f>
        <v>Middle Aged</v>
      </c>
    </row>
    <row r="993" spans="1:21" x14ac:dyDescent="0.2">
      <c r="A993">
        <v>1075</v>
      </c>
      <c r="B993">
        <f t="shared" si="120"/>
        <v>992</v>
      </c>
      <c r="C993" t="s">
        <v>2911</v>
      </c>
      <c r="D993">
        <v>43</v>
      </c>
      <c r="E993" t="s">
        <v>22</v>
      </c>
      <c r="F993" t="str">
        <f t="shared" si="121"/>
        <v>Male</v>
      </c>
      <c r="G993" s="1">
        <v>46034</v>
      </c>
      <c r="H993" s="1">
        <v>45960</v>
      </c>
      <c r="I993" t="s">
        <v>2912</v>
      </c>
      <c r="J993" t="str">
        <f t="shared" si="122"/>
        <v>Victoria Hansen</v>
      </c>
      <c r="K993" t="s">
        <v>28</v>
      </c>
      <c r="L993" t="str">
        <f t="shared" si="123"/>
        <v>General</v>
      </c>
      <c r="M993" t="s">
        <v>2913</v>
      </c>
      <c r="N993" t="str">
        <f t="shared" si="124"/>
        <v>GBP</v>
      </c>
      <c r="O993">
        <f t="shared" si="125"/>
        <v>376.76</v>
      </c>
      <c r="P993" cm="1">
        <f t="array" ref="P993">_xlfn.IFS(N993="USD",O993*1,N993="GBP",O993*1.27,N993="EUR",O993*1.09,N993="INR",O993*0.012,N993="N/A","N/A")</f>
        <v>478.48520000000002</v>
      </c>
      <c r="Q993" t="s">
        <v>20</v>
      </c>
      <c r="R993" t="str" cm="1">
        <f t="array" ref="R993">_xlfn.IFS(Q993="Y","Yes", Q993="Yes","Yes", Q993="N","No", Q993="No","No", Q993=1,"N/A", Q993=0,"N/A", TRUE,"")</f>
        <v>Yes</v>
      </c>
      <c r="S993">
        <f t="shared" si="126"/>
        <v>11</v>
      </c>
      <c r="T993">
        <f t="shared" si="127"/>
        <v>1</v>
      </c>
      <c r="U993" t="str" cm="1">
        <f t="array" ref="U993">_xlfn.IFS(D993&lt;40,"Young Adult",AND(D993&gt;=40,D993&lt;65),"Middle Aged", D993&gt;=65,"Elderly")</f>
        <v>Middle Aged</v>
      </c>
    </row>
    <row r="994" spans="1:21" x14ac:dyDescent="0.2">
      <c r="A994">
        <v>1047</v>
      </c>
      <c r="B994">
        <f t="shared" si="120"/>
        <v>993</v>
      </c>
      <c r="C994" t="s">
        <v>2914</v>
      </c>
      <c r="D994">
        <v>76</v>
      </c>
      <c r="E994" t="s">
        <v>2937</v>
      </c>
      <c r="F994" t="str">
        <f t="shared" si="121"/>
        <v>N/A</v>
      </c>
      <c r="G994" s="1">
        <v>46081</v>
      </c>
      <c r="H994" s="1">
        <v>45615</v>
      </c>
      <c r="I994" t="s">
        <v>869</v>
      </c>
      <c r="J994" t="str">
        <f t="shared" si="122"/>
        <v>Jennifer Martin</v>
      </c>
      <c r="K994" t="s">
        <v>13</v>
      </c>
      <c r="L994" t="str">
        <f t="shared" si="123"/>
        <v>Cardiology</v>
      </c>
      <c r="M994" t="s">
        <v>2915</v>
      </c>
      <c r="N994" t="str">
        <f t="shared" si="124"/>
        <v>INR</v>
      </c>
      <c r="O994">
        <f t="shared" si="125"/>
        <v>378.92</v>
      </c>
      <c r="P994" cm="1">
        <f t="array" ref="P994">_xlfn.IFS(N994="USD",O994*1,N994="GBP",O994*1.27,N994="EUR",O994*1.09,N994="INR",O994*0.012,N994="N/A","N/A")</f>
        <v>4.54704</v>
      </c>
      <c r="Q994">
        <v>0</v>
      </c>
      <c r="R994" t="str" cm="1">
        <f t="array" ref="R994">_xlfn.IFS(Q994="Y","Yes", Q994="Yes","Yes", Q994="N","No", Q994="No","No", Q994=1,"N/A", Q994=0,"N/A", TRUE,"")</f>
        <v>N/A</v>
      </c>
      <c r="S994">
        <f t="shared" si="126"/>
        <v>17</v>
      </c>
      <c r="T994">
        <f t="shared" si="127"/>
        <v>1</v>
      </c>
      <c r="U994" t="str" cm="1">
        <f t="array" ref="U994">_xlfn.IFS(D994&lt;40,"Young Adult",AND(D994&gt;=40,D994&lt;65),"Middle Aged", D994&gt;=65,"Elderly")</f>
        <v>Elderly</v>
      </c>
    </row>
    <row r="995" spans="1:21" x14ac:dyDescent="0.2">
      <c r="A995">
        <v>1017</v>
      </c>
      <c r="B995">
        <f t="shared" si="120"/>
        <v>994</v>
      </c>
      <c r="C995" t="s">
        <v>2916</v>
      </c>
      <c r="D995">
        <v>50</v>
      </c>
      <c r="E995" t="s">
        <v>22</v>
      </c>
      <c r="F995" t="str">
        <f t="shared" si="121"/>
        <v>Male</v>
      </c>
      <c r="G995" s="1">
        <v>45821</v>
      </c>
      <c r="H995" s="1">
        <v>45672</v>
      </c>
      <c r="I995" t="s">
        <v>2917</v>
      </c>
      <c r="J995" t="str">
        <f t="shared" si="122"/>
        <v>Chelsea Harris</v>
      </c>
      <c r="K995" t="s">
        <v>13</v>
      </c>
      <c r="L995" t="str">
        <f t="shared" si="123"/>
        <v>Cardiology</v>
      </c>
      <c r="M995" t="s">
        <v>2918</v>
      </c>
      <c r="N995" t="str">
        <f t="shared" si="124"/>
        <v>USD</v>
      </c>
      <c r="O995">
        <f t="shared" si="125"/>
        <v>370.13</v>
      </c>
      <c r="P995" cm="1">
        <f t="array" ref="P995">_xlfn.IFS(N995="USD",O995*1,N995="GBP",O995*1.27,N995="EUR",O995*1.09,N995="INR",O995*0.012,N995="N/A","N/A")</f>
        <v>370.13</v>
      </c>
      <c r="Q995" t="s">
        <v>20</v>
      </c>
      <c r="R995" t="str" cm="1">
        <f t="array" ref="R995">_xlfn.IFS(Q995="Y","Yes", Q995="Yes","Yes", Q995="N","No", Q995="No","No", Q995=1,"N/A", Q995=0,"N/A", TRUE,"")</f>
        <v>Yes</v>
      </c>
      <c r="S995">
        <f t="shared" si="126"/>
        <v>8</v>
      </c>
      <c r="T995">
        <f t="shared" si="127"/>
        <v>1</v>
      </c>
      <c r="U995" t="str" cm="1">
        <f t="array" ref="U995">_xlfn.IFS(D995&lt;40,"Young Adult",AND(D995&gt;=40,D995&lt;65),"Middle Aged", D995&gt;=65,"Elderly")</f>
        <v>Middle Aged</v>
      </c>
    </row>
    <row r="996" spans="1:21" x14ac:dyDescent="0.2">
      <c r="A996">
        <v>1068</v>
      </c>
      <c r="B996">
        <f t="shared" si="120"/>
        <v>995</v>
      </c>
      <c r="C996" t="s">
        <v>2919</v>
      </c>
      <c r="D996">
        <v>19</v>
      </c>
      <c r="E996" t="s">
        <v>71</v>
      </c>
      <c r="F996" t="str">
        <f t="shared" si="121"/>
        <v>Male</v>
      </c>
      <c r="G996" s="1">
        <v>46048</v>
      </c>
      <c r="H996" s="1">
        <v>45624</v>
      </c>
      <c r="I996" t="s">
        <v>2920</v>
      </c>
      <c r="J996" t="str">
        <f t="shared" si="122"/>
        <v>Lauren Ayers</v>
      </c>
      <c r="K996" t="s">
        <v>28</v>
      </c>
      <c r="L996" t="str">
        <f t="shared" si="123"/>
        <v>General</v>
      </c>
      <c r="M996" t="s">
        <v>2921</v>
      </c>
      <c r="N996" t="str">
        <f t="shared" si="124"/>
        <v>INR</v>
      </c>
      <c r="O996">
        <f t="shared" si="125"/>
        <v>377.38</v>
      </c>
      <c r="P996" cm="1">
        <f t="array" ref="P996">_xlfn.IFS(N996="USD",O996*1,N996="GBP",O996*1.27,N996="EUR",O996*1.09,N996="INR",O996*0.012,N996="N/A","N/A")</f>
        <v>4.5285599999999997</v>
      </c>
      <c r="Q996" t="s">
        <v>20</v>
      </c>
      <c r="R996" t="str" cm="1">
        <f t="array" ref="R996">_xlfn.IFS(Q996="Y","Yes", Q996="Yes","Yes", Q996="N","No", Q996="No","No", Q996=1,"N/A", Q996=0,"N/A", TRUE,"")</f>
        <v>Yes</v>
      </c>
      <c r="S996">
        <f t="shared" si="126"/>
        <v>14</v>
      </c>
      <c r="T996">
        <f t="shared" si="127"/>
        <v>1</v>
      </c>
      <c r="U996" t="str" cm="1">
        <f t="array" ref="U996">_xlfn.IFS(D996&lt;40,"Young Adult",AND(D996&gt;=40,D996&lt;65),"Middle Aged", D996&gt;=65,"Elderly")</f>
        <v>Young Adult</v>
      </c>
    </row>
    <row r="997" spans="1:21" x14ac:dyDescent="0.2">
      <c r="A997">
        <v>1082</v>
      </c>
      <c r="B997">
        <f t="shared" si="120"/>
        <v>996</v>
      </c>
      <c r="C997" t="s">
        <v>2922</v>
      </c>
      <c r="D997">
        <v>64</v>
      </c>
      <c r="E997" t="s">
        <v>38</v>
      </c>
      <c r="F997" t="str">
        <f t="shared" si="121"/>
        <v>Female</v>
      </c>
      <c r="G997" s="1">
        <v>45914</v>
      </c>
      <c r="H997" s="1">
        <v>45488</v>
      </c>
      <c r="I997" t="s">
        <v>2923</v>
      </c>
      <c r="J997" t="str">
        <f t="shared" si="122"/>
        <v>Robert Bass</v>
      </c>
      <c r="K997" t="s">
        <v>28</v>
      </c>
      <c r="L997" t="str">
        <f t="shared" si="123"/>
        <v>General</v>
      </c>
      <c r="M997" t="s">
        <v>2924</v>
      </c>
      <c r="N997" t="str">
        <f t="shared" si="124"/>
        <v>INR</v>
      </c>
      <c r="O997">
        <f t="shared" si="125"/>
        <v>200.43</v>
      </c>
      <c r="P997" cm="1">
        <f t="array" ref="P997">_xlfn.IFS(N997="USD",O997*1,N997="GBP",O997*1.27,N997="EUR",O997*1.09,N997="INR",O997*0.012,N997="N/A","N/A")</f>
        <v>2.40516</v>
      </c>
      <c r="Q997" t="s">
        <v>36</v>
      </c>
      <c r="R997" t="str" cm="1">
        <f t="array" ref="R997">_xlfn.IFS(Q997="Y","Yes", Q997="Yes","Yes", Q997="N","No", Q997="No","No", Q997=1,"N/A", Q997=0,"N/A", TRUE,"")</f>
        <v>Yes</v>
      </c>
      <c r="S997">
        <f t="shared" si="126"/>
        <v>14</v>
      </c>
      <c r="T997">
        <f t="shared" si="127"/>
        <v>1</v>
      </c>
      <c r="U997" t="str" cm="1">
        <f t="array" ref="U997">_xlfn.IFS(D997&lt;40,"Young Adult",AND(D997&gt;=40,D997&lt;65),"Middle Aged", D997&gt;=65,"Elderly")</f>
        <v>Middle Aged</v>
      </c>
    </row>
    <row r="998" spans="1:21" x14ac:dyDescent="0.2">
      <c r="A998">
        <v>1008</v>
      </c>
      <c r="B998">
        <f t="shared" si="120"/>
        <v>997</v>
      </c>
      <c r="C998" t="s">
        <v>2925</v>
      </c>
      <c r="D998">
        <v>67</v>
      </c>
      <c r="E998" t="s">
        <v>16</v>
      </c>
      <c r="F998" t="str">
        <f t="shared" si="121"/>
        <v>Female</v>
      </c>
      <c r="G998" s="1">
        <v>45756</v>
      </c>
      <c r="H998" s="1">
        <v>45463</v>
      </c>
      <c r="I998" t="s">
        <v>1136</v>
      </c>
      <c r="J998" t="str">
        <f t="shared" si="122"/>
        <v>Christopher Smith</v>
      </c>
      <c r="K998" t="s">
        <v>28</v>
      </c>
      <c r="L998" t="str">
        <f t="shared" si="123"/>
        <v>General</v>
      </c>
      <c r="M998" t="s">
        <v>2926</v>
      </c>
      <c r="N998" t="str">
        <f t="shared" si="124"/>
        <v>INR</v>
      </c>
      <c r="O998">
        <f t="shared" si="125"/>
        <v>244.49</v>
      </c>
      <c r="P998" cm="1">
        <f t="array" ref="P998">_xlfn.IFS(N998="USD",O998*1,N998="GBP",O998*1.27,N998="EUR",O998*1.09,N998="INR",O998*0.012,N998="N/A","N/A")</f>
        <v>2.9338800000000003</v>
      </c>
      <c r="Q998" t="s">
        <v>30</v>
      </c>
      <c r="R998" t="str" cm="1">
        <f t="array" ref="R998">_xlfn.IFS(Q998="Y","Yes", Q998="Yes","Yes", Q998="N","No", Q998="No","No", Q998=1,"N/A", Q998=0,"N/A", TRUE,"")</f>
        <v>No</v>
      </c>
      <c r="S998">
        <f t="shared" si="126"/>
        <v>11</v>
      </c>
      <c r="T998">
        <f t="shared" si="127"/>
        <v>1</v>
      </c>
      <c r="U998" t="str" cm="1">
        <f t="array" ref="U998">_xlfn.IFS(D998&lt;40,"Young Adult",AND(D998&gt;=40,D998&lt;65),"Middle Aged", D998&gt;=65,"Elderly")</f>
        <v>Elderly</v>
      </c>
    </row>
    <row r="999" spans="1:21" x14ac:dyDescent="0.2">
      <c r="A999">
        <v>1022</v>
      </c>
      <c r="B999">
        <f t="shared" si="120"/>
        <v>998</v>
      </c>
      <c r="C999" t="s">
        <v>1565</v>
      </c>
      <c r="D999">
        <v>28</v>
      </c>
      <c r="E999" t="s">
        <v>2937</v>
      </c>
      <c r="F999" t="str">
        <f t="shared" si="121"/>
        <v>N/A</v>
      </c>
      <c r="G999" s="1">
        <v>46066</v>
      </c>
      <c r="H999" s="1">
        <v>45456</v>
      </c>
      <c r="I999" t="s">
        <v>2927</v>
      </c>
      <c r="J999" t="str">
        <f t="shared" si="122"/>
        <v>Kimberly Johnson</v>
      </c>
      <c r="K999" t="s">
        <v>24</v>
      </c>
      <c r="L999" t="str">
        <f t="shared" si="123"/>
        <v>Neurology</v>
      </c>
      <c r="M999" t="s">
        <v>2928</v>
      </c>
      <c r="N999" t="str">
        <f t="shared" si="124"/>
        <v>GBP</v>
      </c>
      <c r="O999">
        <f t="shared" si="125"/>
        <v>154.47999999999999</v>
      </c>
      <c r="P999" cm="1">
        <f t="array" ref="P999">_xlfn.IFS(N999="USD",O999*1,N999="GBP",O999*1.27,N999="EUR",O999*1.09,N999="INR",O999*0.012,N999="N/A","N/A")</f>
        <v>196.18959999999998</v>
      </c>
      <c r="Q999" t="s">
        <v>60</v>
      </c>
      <c r="R999" t="str" cm="1">
        <f t="array" ref="R999">_xlfn.IFS(Q999="Y","Yes", Q999="Yes","Yes", Q999="N","No", Q999="No","No", Q999=1,"N/A", Q999=0,"N/A", TRUE,"")</f>
        <v>No</v>
      </c>
      <c r="S999">
        <f t="shared" si="126"/>
        <v>9</v>
      </c>
      <c r="T999">
        <f t="shared" si="127"/>
        <v>1</v>
      </c>
      <c r="U999" t="str" cm="1">
        <f t="array" ref="U999">_xlfn.IFS(D999&lt;40,"Young Adult",AND(D999&gt;=40,D999&lt;65),"Middle Aged", D999&gt;=65,"Elderly")</f>
        <v>Young Adult</v>
      </c>
    </row>
    <row r="1000" spans="1:21" x14ac:dyDescent="0.2">
      <c r="A1000">
        <v>1088</v>
      </c>
      <c r="B1000">
        <f t="shared" si="120"/>
        <v>999</v>
      </c>
      <c r="C1000" t="s">
        <v>1294</v>
      </c>
      <c r="D1000">
        <v>65</v>
      </c>
      <c r="E1000" t="s">
        <v>16</v>
      </c>
      <c r="F1000" t="str">
        <f t="shared" si="121"/>
        <v>Female</v>
      </c>
      <c r="G1000" s="1">
        <v>45842</v>
      </c>
      <c r="H1000" s="1">
        <v>45397</v>
      </c>
      <c r="I1000" t="s">
        <v>2929</v>
      </c>
      <c r="J1000" t="str">
        <f t="shared" si="122"/>
        <v>Anthony Mccoy</v>
      </c>
      <c r="K1000" t="s">
        <v>24</v>
      </c>
      <c r="L1000" t="str">
        <f t="shared" si="123"/>
        <v>Neurology</v>
      </c>
      <c r="M1000" t="s">
        <v>2930</v>
      </c>
      <c r="N1000" t="str">
        <f t="shared" si="124"/>
        <v>USD</v>
      </c>
      <c r="O1000">
        <f t="shared" si="125"/>
        <v>434.95</v>
      </c>
      <c r="P1000" cm="1">
        <f t="array" ref="P1000">_xlfn.IFS(N1000="USD",O1000*1,N1000="GBP",O1000*1.27,N1000="EUR",O1000*1.09,N1000="INR",O1000*0.012,N1000="N/A","N/A")</f>
        <v>434.95</v>
      </c>
      <c r="Q1000">
        <v>0</v>
      </c>
      <c r="R1000" t="str" cm="1">
        <f t="array" ref="R1000">_xlfn.IFS(Q1000="Y","Yes", Q1000="Yes","Yes", Q1000="N","No", Q1000="No","No", Q1000=1,"N/A", Q1000=0,"N/A", TRUE,"")</f>
        <v>N/A</v>
      </c>
      <c r="S1000">
        <f t="shared" si="126"/>
        <v>16</v>
      </c>
      <c r="T1000">
        <f t="shared" si="127"/>
        <v>1</v>
      </c>
      <c r="U1000" t="str" cm="1">
        <f t="array" ref="U1000">_xlfn.IFS(D1000&lt;40,"Young Adult",AND(D1000&gt;=40,D1000&lt;65),"Middle Aged", D1000&gt;=65,"Elderly")</f>
        <v>Elderly</v>
      </c>
    </row>
    <row r="1001" spans="1:21" x14ac:dyDescent="0.2">
      <c r="A1001">
        <v>1003</v>
      </c>
      <c r="B1001">
        <f t="shared" si="120"/>
        <v>1000</v>
      </c>
      <c r="C1001" t="s">
        <v>2931</v>
      </c>
      <c r="D1001">
        <v>79</v>
      </c>
      <c r="E1001" t="s">
        <v>71</v>
      </c>
      <c r="F1001" t="str">
        <f t="shared" si="121"/>
        <v>Male</v>
      </c>
      <c r="G1001" s="1">
        <v>45966</v>
      </c>
      <c r="H1001" s="1">
        <v>45495</v>
      </c>
      <c r="I1001" t="s">
        <v>2932</v>
      </c>
      <c r="J1001" t="str">
        <f t="shared" si="122"/>
        <v>Marvin Hicks</v>
      </c>
      <c r="K1001" t="s">
        <v>13</v>
      </c>
      <c r="L1001" t="str">
        <f t="shared" si="123"/>
        <v>Cardiology</v>
      </c>
      <c r="M1001" t="s">
        <v>2933</v>
      </c>
      <c r="N1001" t="str">
        <f t="shared" si="124"/>
        <v>EUR</v>
      </c>
      <c r="O1001">
        <f t="shared" si="125"/>
        <v>102.23</v>
      </c>
      <c r="P1001" cm="1">
        <f t="array" ref="P1001">_xlfn.IFS(N1001="USD",O1001*1,N1001="GBP",O1001*1.27,N1001="EUR",O1001*1.09,N1001="INR",O1001*0.012,N1001="N/A","N/A")</f>
        <v>111.43070000000002</v>
      </c>
      <c r="Q1001" t="s">
        <v>20</v>
      </c>
      <c r="R1001" t="str" cm="1">
        <f t="array" ref="R1001">_xlfn.IFS(Q1001="Y","Yes", Q1001="Yes","Yes", Q1001="N","No", Q1001="No","No", Q1001=1,"N/A", Q1001=0,"N/A", TRUE,"")</f>
        <v>Yes</v>
      </c>
      <c r="S1001">
        <f t="shared" si="126"/>
        <v>12</v>
      </c>
      <c r="T1001">
        <f t="shared" si="127"/>
        <v>1</v>
      </c>
      <c r="U1001" t="str" cm="1">
        <f t="array" ref="U1001">_xlfn.IFS(D1001&lt;40,"Young Adult",AND(D1001&gt;=40,D1001&lt;65),"Middle Aged", D1001&gt;=65,"Elderly")</f>
        <v>Elderly</v>
      </c>
    </row>
  </sheetData>
  <autoFilter ref="A1:T1001" xr:uid="{75EE1068-D250-104C-8A55-DC562609C09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CA7E9-EFA1-1948-9FB1-3FE8501FF693}">
  <dimension ref="A1:E17"/>
  <sheetViews>
    <sheetView tabSelected="1" zoomScale="112" workbookViewId="0">
      <selection activeCell="G7" sqref="G7"/>
    </sheetView>
  </sheetViews>
  <sheetFormatPr baseColWidth="10" defaultRowHeight="16" x14ac:dyDescent="0.2"/>
  <cols>
    <col min="1" max="1" width="26.83203125" bestFit="1" customWidth="1"/>
    <col min="2" max="2" width="16" bestFit="1" customWidth="1"/>
    <col min="3" max="3" width="3.5" bestFit="1" customWidth="1"/>
    <col min="4" max="4" width="4.1640625" bestFit="1" customWidth="1"/>
    <col min="5" max="5" width="10.5" bestFit="1" customWidth="1"/>
  </cols>
  <sheetData>
    <row r="1" spans="1:5" x14ac:dyDescent="0.2">
      <c r="A1" s="4" t="s">
        <v>2952</v>
      </c>
      <c r="B1" s="4" t="s">
        <v>2951</v>
      </c>
    </row>
    <row r="2" spans="1:5" x14ac:dyDescent="0.2">
      <c r="A2" s="4" t="s">
        <v>2946</v>
      </c>
      <c r="B2" t="s">
        <v>2937</v>
      </c>
      <c r="C2" t="s">
        <v>30</v>
      </c>
      <c r="D2" t="s">
        <v>36</v>
      </c>
      <c r="E2" t="s">
        <v>2950</v>
      </c>
    </row>
    <row r="3" spans="1:5" x14ac:dyDescent="0.2">
      <c r="A3" s="5" t="s">
        <v>2947</v>
      </c>
      <c r="B3" s="6">
        <v>31</v>
      </c>
      <c r="C3" s="6">
        <v>22</v>
      </c>
      <c r="D3" s="6">
        <v>35</v>
      </c>
      <c r="E3" s="6">
        <v>88</v>
      </c>
    </row>
    <row r="4" spans="1:5" x14ac:dyDescent="0.2">
      <c r="A4" s="5" t="s">
        <v>2948</v>
      </c>
      <c r="B4" s="6">
        <v>19</v>
      </c>
      <c r="C4" s="6">
        <v>24</v>
      </c>
      <c r="D4" s="6">
        <v>26</v>
      </c>
      <c r="E4" s="6">
        <v>69</v>
      </c>
    </row>
    <row r="5" spans="1:5" x14ac:dyDescent="0.2">
      <c r="A5" s="5" t="s">
        <v>2949</v>
      </c>
      <c r="B5" s="6">
        <v>30</v>
      </c>
      <c r="C5" s="6">
        <v>17</v>
      </c>
      <c r="D5" s="6">
        <v>27</v>
      </c>
      <c r="E5" s="6">
        <v>74</v>
      </c>
    </row>
    <row r="6" spans="1:5" x14ac:dyDescent="0.2">
      <c r="A6" s="5" t="s">
        <v>2950</v>
      </c>
      <c r="B6" s="6">
        <v>80</v>
      </c>
      <c r="C6" s="6">
        <v>63</v>
      </c>
      <c r="D6" s="6">
        <v>88</v>
      </c>
      <c r="E6" s="6">
        <v>231</v>
      </c>
    </row>
    <row r="8" spans="1:5" x14ac:dyDescent="0.2">
      <c r="B8" s="4" t="s">
        <v>2951</v>
      </c>
    </row>
    <row r="9" spans="1:5" x14ac:dyDescent="0.2">
      <c r="B9" t="s">
        <v>2937</v>
      </c>
      <c r="C9" t="s">
        <v>30</v>
      </c>
      <c r="D9" t="s">
        <v>36</v>
      </c>
      <c r="E9" t="s">
        <v>2950</v>
      </c>
    </row>
    <row r="10" spans="1:5" x14ac:dyDescent="0.2">
      <c r="A10" t="s">
        <v>2953</v>
      </c>
      <c r="B10" s="6">
        <v>204.20086077922082</v>
      </c>
      <c r="C10" s="6">
        <v>217.5906115254237</v>
      </c>
      <c r="D10" s="6">
        <v>260.70759421686745</v>
      </c>
      <c r="E10" s="6">
        <v>229.22393917808228</v>
      </c>
    </row>
    <row r="12" spans="1:5" x14ac:dyDescent="0.2">
      <c r="A12" s="4" t="s">
        <v>2952</v>
      </c>
      <c r="B12" s="4" t="s">
        <v>2951</v>
      </c>
    </row>
    <row r="13" spans="1:5" x14ac:dyDescent="0.2">
      <c r="A13" s="4" t="s">
        <v>2946</v>
      </c>
      <c r="B13" t="s">
        <v>2937</v>
      </c>
      <c r="C13" t="s">
        <v>30</v>
      </c>
      <c r="D13" t="s">
        <v>36</v>
      </c>
      <c r="E13" t="s">
        <v>2950</v>
      </c>
    </row>
    <row r="14" spans="1:5" x14ac:dyDescent="0.2">
      <c r="A14" s="5" t="s">
        <v>38</v>
      </c>
      <c r="B14" s="6">
        <v>34</v>
      </c>
      <c r="C14" s="6">
        <v>24</v>
      </c>
      <c r="D14" s="6">
        <v>36</v>
      </c>
      <c r="E14" s="6">
        <v>94</v>
      </c>
    </row>
    <row r="15" spans="1:5" x14ac:dyDescent="0.2">
      <c r="A15" s="5" t="s">
        <v>71</v>
      </c>
      <c r="B15" s="6">
        <v>24</v>
      </c>
      <c r="C15" s="6">
        <v>21</v>
      </c>
      <c r="D15" s="6">
        <v>33</v>
      </c>
      <c r="E15" s="6">
        <v>78</v>
      </c>
    </row>
    <row r="16" spans="1:5" x14ac:dyDescent="0.2">
      <c r="A16" s="5" t="s">
        <v>2937</v>
      </c>
      <c r="B16" s="6">
        <v>22</v>
      </c>
      <c r="C16" s="6">
        <v>18</v>
      </c>
      <c r="D16" s="6">
        <v>19</v>
      </c>
      <c r="E16" s="6">
        <v>59</v>
      </c>
    </row>
    <row r="17" spans="1:5" x14ac:dyDescent="0.2">
      <c r="A17" s="5" t="s">
        <v>2950</v>
      </c>
      <c r="B17" s="6">
        <v>80</v>
      </c>
      <c r="C17" s="6">
        <v>63</v>
      </c>
      <c r="D17" s="6">
        <v>88</v>
      </c>
      <c r="E17" s="6">
        <v>231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65C7A-15C7-134D-AC38-3AF8D389CD5D}">
  <dimension ref="A1:I5"/>
  <sheetViews>
    <sheetView zoomScale="87" workbookViewId="0">
      <selection activeCell="N14" sqref="N14"/>
    </sheetView>
  </sheetViews>
  <sheetFormatPr baseColWidth="10" defaultRowHeight="16" x14ac:dyDescent="0.2"/>
  <sheetData>
    <row r="1" spans="1:9" x14ac:dyDescent="0.2">
      <c r="A1" s="7"/>
      <c r="B1" s="7"/>
      <c r="C1" s="7"/>
      <c r="D1" s="7"/>
      <c r="E1" s="7"/>
      <c r="F1" s="7"/>
      <c r="G1" s="7"/>
      <c r="H1" s="7"/>
      <c r="I1" s="7"/>
    </row>
    <row r="2" spans="1:9" x14ac:dyDescent="0.2">
      <c r="A2" s="7"/>
      <c r="B2" s="7"/>
      <c r="C2" s="7"/>
      <c r="D2" s="7"/>
      <c r="E2" s="7"/>
      <c r="F2" s="7"/>
      <c r="G2" s="7"/>
      <c r="H2" s="7"/>
      <c r="I2" s="7"/>
    </row>
    <row r="3" spans="1:9" ht="32" x14ac:dyDescent="0.2">
      <c r="A3" s="7"/>
      <c r="B3" s="7"/>
      <c r="C3" s="8"/>
      <c r="D3" s="7"/>
      <c r="E3" s="9" t="s">
        <v>2954</v>
      </c>
      <c r="F3" s="7"/>
      <c r="G3" s="7"/>
      <c r="H3" s="7"/>
      <c r="I3" s="7"/>
    </row>
    <row r="4" spans="1:9" x14ac:dyDescent="0.2">
      <c r="A4" s="7"/>
      <c r="B4" s="7"/>
      <c r="C4" s="7"/>
      <c r="D4" s="7"/>
      <c r="E4" s="7"/>
      <c r="F4" s="7"/>
      <c r="G4" s="7"/>
      <c r="H4" s="7"/>
      <c r="I4" s="7"/>
    </row>
    <row r="5" spans="1:9" x14ac:dyDescent="0.2">
      <c r="A5" s="7"/>
      <c r="B5" s="7"/>
      <c r="C5" s="7"/>
      <c r="D5" s="7"/>
      <c r="E5" s="7"/>
      <c r="F5" s="7"/>
      <c r="G5" s="7"/>
      <c r="H5" s="7"/>
      <c r="I5"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messy_clinic_appointments</vt:lpstr>
      <vt:lpstr>Working Sheet</vt:lpstr>
      <vt:lpstr>Pivot Tables</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Veronica Kwon</cp:lastModifiedBy>
  <dcterms:created xsi:type="dcterms:W3CDTF">2026-08-01T17:44:20Z</dcterms:created>
  <dcterms:modified xsi:type="dcterms:W3CDTF">2026-08-03T20:12:45Z</dcterms:modified>
</cp:coreProperties>
</file>